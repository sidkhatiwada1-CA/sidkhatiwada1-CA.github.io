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khati\OneDrive\Desktop\Projects\"/>
    </mc:Choice>
  </mc:AlternateContent>
  <xr:revisionPtr revIDLastSave="0" documentId="13_ncr:1_{0569240B-467F-4A70-9D83-9D5D690148A7}" xr6:coauthVersionLast="47" xr6:coauthVersionMax="47" xr10:uidLastSave="{00000000-0000-0000-0000-000000000000}"/>
  <bookViews>
    <workbookView xWindow="-108" yWindow="-108" windowWidth="23256" windowHeight="12456" firstSheet="2" activeTab="2" xr2:uid="{00000000-000D-0000-FFFF-FFFF00000000}"/>
  </bookViews>
  <sheets>
    <sheet name="0. README" sheetId="12" r:id="rId1"/>
    <sheet name="1. Assumptions" sheetId="2" r:id="rId2"/>
    <sheet name="2. Dashboard" sheetId="11" r:id="rId3"/>
    <sheet name="3. Revenue Model" sheetId="3" r:id="rId4"/>
    <sheet name="4. Headcount" sheetId="4" r:id="rId5"/>
    <sheet name="5. COGS " sheetId="10" r:id="rId6"/>
    <sheet name="6. Unit Economics" sheetId="5" r:id="rId7"/>
    <sheet name="7. P&amp;L + cash" sheetId="6" r:id="rId8"/>
    <sheet name="8. Scenarios" sheetId="7" r:id="rId9"/>
    <sheet name="9. Budget Vs Actual" sheetId="9" r:id="rId10"/>
  </sheets>
  <definedNames>
    <definedName name="_xlnm._FilterDatabase" localSheetId="1" hidden="1">'1. Assumptions'!$A$3:$J$203</definedName>
    <definedName name="_xlnm._FilterDatabase" localSheetId="3" hidden="1">'3. Revenue Model'!$A$2:$AC$118</definedName>
    <definedName name="_xlnm._FilterDatabase" localSheetId="4" hidden="1">'4. Headcount'!$A$3:$AC$137</definedName>
    <definedName name="_xlnm._FilterDatabase" localSheetId="5" hidden="1">'5. COGS '!$A$3:$AC$94</definedName>
    <definedName name="_xlnm._FilterDatabase" localSheetId="7" hidden="1">'7. P&amp;L + cash'!$A$3:$AC$101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3" i="11" l="1"/>
  <c r="R22" i="11"/>
  <c r="R21" i="11"/>
  <c r="R20" i="11"/>
  <c r="CB30" i="11"/>
  <c r="CD30" i="11"/>
  <c r="CB31" i="11"/>
  <c r="CD31" i="11"/>
  <c r="CB32" i="11"/>
  <c r="CD32" i="11"/>
  <c r="CB33" i="11"/>
  <c r="CD33" i="11"/>
  <c r="CB34" i="11"/>
  <c r="CD34" i="11"/>
  <c r="CB35" i="11"/>
  <c r="CD35" i="11"/>
  <c r="CB36" i="11"/>
  <c r="CD36" i="11"/>
  <c r="CB37" i="11"/>
  <c r="CD37" i="11"/>
  <c r="CB38" i="11"/>
  <c r="CD38" i="11"/>
  <c r="CB39" i="11"/>
  <c r="CD39" i="11"/>
  <c r="CB40" i="11"/>
  <c r="CD40" i="11"/>
  <c r="CB41" i="11"/>
  <c r="CD41" i="11"/>
  <c r="CB42" i="11"/>
  <c r="CD42" i="11"/>
  <c r="CB43" i="11"/>
  <c r="CD43" i="11"/>
  <c r="CB44" i="11"/>
  <c r="CD44" i="11"/>
  <c r="CB45" i="11"/>
  <c r="CD45" i="11"/>
  <c r="CB46" i="11"/>
  <c r="CD46" i="11"/>
  <c r="CB47" i="11"/>
  <c r="CD47" i="11"/>
  <c r="CB48" i="11"/>
  <c r="CD48" i="11"/>
  <c r="CB49" i="11"/>
  <c r="CD49" i="11"/>
  <c r="CB50" i="11"/>
  <c r="CD50" i="11"/>
  <c r="CB51" i="11"/>
  <c r="CD51" i="11"/>
  <c r="CB52" i="11"/>
  <c r="CD52" i="11"/>
  <c r="CD29" i="11"/>
  <c r="BU30" i="11"/>
  <c r="BU31" i="11"/>
  <c r="BU32" i="11"/>
  <c r="BU33" i="11"/>
  <c r="BU34" i="11"/>
  <c r="BU35" i="11"/>
  <c r="BU36" i="11"/>
  <c r="BU37" i="11"/>
  <c r="BU38" i="11"/>
  <c r="BU39" i="11"/>
  <c r="BU40" i="11"/>
  <c r="BU41" i="11"/>
  <c r="BU42" i="11"/>
  <c r="BU43" i="11"/>
  <c r="BU44" i="11"/>
  <c r="BU45" i="11"/>
  <c r="BU46" i="11"/>
  <c r="BU47" i="11"/>
  <c r="BU48" i="11"/>
  <c r="BU49" i="11"/>
  <c r="BU50" i="11"/>
  <c r="BU51" i="11"/>
  <c r="BU52" i="11"/>
  <c r="BU29" i="11"/>
  <c r="CB29" i="11"/>
  <c r="BW30" i="11"/>
  <c r="BW31" i="11"/>
  <c r="BW32" i="11"/>
  <c r="BW33" i="11"/>
  <c r="BW34" i="11"/>
  <c r="BW35" i="11"/>
  <c r="BW36" i="11"/>
  <c r="BW37" i="11"/>
  <c r="BW38" i="11"/>
  <c r="BW39" i="11"/>
  <c r="BW40" i="11"/>
  <c r="BW41" i="11"/>
  <c r="BW42" i="11"/>
  <c r="BW43" i="11"/>
  <c r="BW44" i="11"/>
  <c r="BW45" i="11"/>
  <c r="BW46" i="11"/>
  <c r="BW47" i="11"/>
  <c r="BW48" i="11"/>
  <c r="BW49" i="11"/>
  <c r="BW50" i="11"/>
  <c r="BW51" i="11"/>
  <c r="BW52" i="11"/>
  <c r="BW29" i="11"/>
  <c r="BN30" i="11"/>
  <c r="BN31" i="11"/>
  <c r="BN32" i="11"/>
  <c r="BN33" i="11"/>
  <c r="BN34" i="11"/>
  <c r="BN35" i="11"/>
  <c r="BN36" i="11"/>
  <c r="BN37" i="11"/>
  <c r="BN38" i="11"/>
  <c r="BN39" i="11"/>
  <c r="BN40" i="11"/>
  <c r="BN41" i="11"/>
  <c r="BN42" i="11"/>
  <c r="BN43" i="11"/>
  <c r="BN44" i="11"/>
  <c r="BN45" i="11"/>
  <c r="BN46" i="11"/>
  <c r="BN47" i="11"/>
  <c r="BN48" i="11"/>
  <c r="BN49" i="11"/>
  <c r="BN50" i="11"/>
  <c r="BN51" i="11"/>
  <c r="BN52" i="11"/>
  <c r="BN29" i="11"/>
  <c r="BF30" i="11"/>
  <c r="BF31" i="11"/>
  <c r="BF32" i="11"/>
  <c r="BF33" i="11"/>
  <c r="BF34" i="11"/>
  <c r="BF35" i="11"/>
  <c r="BF36" i="11"/>
  <c r="BF37" i="11"/>
  <c r="BF38" i="11"/>
  <c r="BF39" i="11"/>
  <c r="BF40" i="11"/>
  <c r="BF41" i="11"/>
  <c r="BF42" i="11"/>
  <c r="BF43" i="11"/>
  <c r="BF44" i="11"/>
  <c r="BF45" i="11"/>
  <c r="BF46" i="11"/>
  <c r="BF47" i="11"/>
  <c r="BF48" i="11"/>
  <c r="BF49" i="11"/>
  <c r="BF50" i="11"/>
  <c r="BF51" i="11"/>
  <c r="BF52" i="11"/>
  <c r="BF29" i="11"/>
  <c r="G106" i="9"/>
  <c r="C101" i="9" a="1"/>
  <c r="C101" i="9" s="1"/>
  <c r="C102" i="9" a="1"/>
  <c r="C102" i="9" s="1"/>
  <c r="A101" i="9"/>
  <c r="A102" i="9"/>
  <c r="C94" i="9" a="1"/>
  <c r="C94" i="9" s="1"/>
  <c r="C95" i="9" a="1"/>
  <c r="C95" i="9" s="1"/>
  <c r="C96" i="9" a="1"/>
  <c r="C96" i="9" s="1"/>
  <c r="C97" i="9" a="1"/>
  <c r="C97" i="9" s="1"/>
  <c r="C98" i="9" a="1"/>
  <c r="C98" i="9" s="1"/>
  <c r="C99" i="9" a="1"/>
  <c r="C99" i="9" s="1"/>
  <c r="C100" i="9" a="1"/>
  <c r="C100" i="9" s="1"/>
  <c r="C93" i="9" a="1"/>
  <c r="C93" i="9" s="1"/>
  <c r="A94" i="9"/>
  <c r="A95" i="9"/>
  <c r="A96" i="9"/>
  <c r="A97" i="9"/>
  <c r="A98" i="9"/>
  <c r="A99" i="9"/>
  <c r="A100" i="9"/>
  <c r="A93" i="9"/>
  <c r="D56" i="9"/>
  <c r="E56" i="9"/>
  <c r="F56" i="9"/>
  <c r="G56" i="9"/>
  <c r="H56" i="9"/>
  <c r="I56" i="9"/>
  <c r="J56" i="9"/>
  <c r="K56" i="9"/>
  <c r="L56" i="9"/>
  <c r="M56" i="9"/>
  <c r="N56" i="9"/>
  <c r="O56" i="9"/>
  <c r="P56" i="9"/>
  <c r="Q56" i="9"/>
  <c r="R56" i="9"/>
  <c r="S56" i="9"/>
  <c r="T56" i="9"/>
  <c r="U56" i="9"/>
  <c r="V56" i="9"/>
  <c r="W56" i="9"/>
  <c r="X56" i="9"/>
  <c r="Y56" i="9"/>
  <c r="Z56" i="9"/>
  <c r="Z86" i="9"/>
  <c r="Y86" i="9"/>
  <c r="X86" i="9"/>
  <c r="W86" i="9"/>
  <c r="V86" i="9"/>
  <c r="U86" i="9"/>
  <c r="T86" i="9"/>
  <c r="S86" i="9"/>
  <c r="R86" i="9"/>
  <c r="Q86" i="9"/>
  <c r="P86" i="9"/>
  <c r="O86" i="9"/>
  <c r="N86" i="9"/>
  <c r="M86" i="9"/>
  <c r="L86" i="9"/>
  <c r="K86" i="9"/>
  <c r="J86" i="9"/>
  <c r="I86" i="9"/>
  <c r="H86" i="9"/>
  <c r="G86" i="9"/>
  <c r="F86" i="9"/>
  <c r="E86" i="9"/>
  <c r="D86" i="9"/>
  <c r="C86" i="9"/>
  <c r="Z81" i="9"/>
  <c r="Y81" i="9"/>
  <c r="X81" i="9"/>
  <c r="W81" i="9"/>
  <c r="V81" i="9"/>
  <c r="U81" i="9"/>
  <c r="T81" i="9"/>
  <c r="S81" i="9"/>
  <c r="R81" i="9"/>
  <c r="Q81" i="9"/>
  <c r="P81" i="9"/>
  <c r="O81" i="9"/>
  <c r="N81" i="9"/>
  <c r="M81" i="9"/>
  <c r="L81" i="9"/>
  <c r="K81" i="9"/>
  <c r="J81" i="9"/>
  <c r="I81" i="9"/>
  <c r="H81" i="9"/>
  <c r="G81" i="9"/>
  <c r="F81" i="9"/>
  <c r="E81" i="9"/>
  <c r="D81" i="9"/>
  <c r="C81" i="9"/>
  <c r="Z76" i="9"/>
  <c r="Y76" i="9"/>
  <c r="X76" i="9"/>
  <c r="W76" i="9"/>
  <c r="V76" i="9"/>
  <c r="U76" i="9"/>
  <c r="T76" i="9"/>
  <c r="S76" i="9"/>
  <c r="R76" i="9"/>
  <c r="Q76" i="9"/>
  <c r="P76" i="9"/>
  <c r="O76" i="9"/>
  <c r="N76" i="9"/>
  <c r="M76" i="9"/>
  <c r="L76" i="9"/>
  <c r="K76" i="9"/>
  <c r="J76" i="9"/>
  <c r="I76" i="9"/>
  <c r="H76" i="9"/>
  <c r="G76" i="9"/>
  <c r="F76" i="9"/>
  <c r="E76" i="9"/>
  <c r="D76" i="9"/>
  <c r="C76" i="9"/>
  <c r="Z71" i="9"/>
  <c r="Y71" i="9"/>
  <c r="X71" i="9"/>
  <c r="W71" i="9"/>
  <c r="V71" i="9"/>
  <c r="U71" i="9"/>
  <c r="T71" i="9"/>
  <c r="S71" i="9"/>
  <c r="R71" i="9"/>
  <c r="Q71" i="9"/>
  <c r="P71" i="9"/>
  <c r="O71" i="9"/>
  <c r="N71" i="9"/>
  <c r="M71" i="9"/>
  <c r="L71" i="9"/>
  <c r="K71" i="9"/>
  <c r="J71" i="9"/>
  <c r="I71" i="9"/>
  <c r="H71" i="9"/>
  <c r="G71" i="9"/>
  <c r="F71" i="9"/>
  <c r="E71" i="9"/>
  <c r="D71" i="9"/>
  <c r="C71" i="9"/>
  <c r="Z66" i="9"/>
  <c r="Y66" i="9"/>
  <c r="X66" i="9"/>
  <c r="W66" i="9"/>
  <c r="V66" i="9"/>
  <c r="U66" i="9"/>
  <c r="T66" i="9"/>
  <c r="S66" i="9"/>
  <c r="R66" i="9"/>
  <c r="Q66" i="9"/>
  <c r="P66" i="9"/>
  <c r="O66" i="9"/>
  <c r="N66" i="9"/>
  <c r="M66" i="9"/>
  <c r="L66" i="9"/>
  <c r="K66" i="9"/>
  <c r="J66" i="9"/>
  <c r="I66" i="9"/>
  <c r="H66" i="9"/>
  <c r="G66" i="9"/>
  <c r="F66" i="9"/>
  <c r="E66" i="9"/>
  <c r="D66" i="9"/>
  <c r="C66" i="9"/>
  <c r="Z61" i="9"/>
  <c r="Y61" i="9"/>
  <c r="X61" i="9"/>
  <c r="W61" i="9"/>
  <c r="V61" i="9"/>
  <c r="U61" i="9"/>
  <c r="T61" i="9"/>
  <c r="S61" i="9"/>
  <c r="R61" i="9"/>
  <c r="Q61" i="9"/>
  <c r="P61" i="9"/>
  <c r="O61" i="9"/>
  <c r="N61" i="9"/>
  <c r="M61" i="9"/>
  <c r="L61" i="9"/>
  <c r="K61" i="9"/>
  <c r="J61" i="9"/>
  <c r="I61" i="9"/>
  <c r="H61" i="9"/>
  <c r="G61" i="9"/>
  <c r="F61" i="9"/>
  <c r="E61" i="9"/>
  <c r="D61" i="9"/>
  <c r="C61" i="9"/>
  <c r="C56" i="9"/>
  <c r="Z51" i="9"/>
  <c r="Y51" i="9"/>
  <c r="X51" i="9"/>
  <c r="W51" i="9"/>
  <c r="V51" i="9"/>
  <c r="U51" i="9"/>
  <c r="T51" i="9"/>
  <c r="S51" i="9"/>
  <c r="R51" i="9"/>
  <c r="Q51" i="9"/>
  <c r="P51" i="9"/>
  <c r="O51" i="9"/>
  <c r="N51" i="9"/>
  <c r="M51" i="9"/>
  <c r="L51" i="9"/>
  <c r="K51" i="9"/>
  <c r="J51" i="9"/>
  <c r="I51" i="9"/>
  <c r="H51" i="9"/>
  <c r="G51" i="9"/>
  <c r="F51" i="9"/>
  <c r="E51" i="9"/>
  <c r="D51" i="9"/>
  <c r="C51" i="9"/>
  <c r="Z46" i="9"/>
  <c r="Y46" i="9"/>
  <c r="X46" i="9"/>
  <c r="W46" i="9"/>
  <c r="V46" i="9"/>
  <c r="U46" i="9"/>
  <c r="T46" i="9"/>
  <c r="S46" i="9"/>
  <c r="R46" i="9"/>
  <c r="Q46" i="9"/>
  <c r="P46" i="9"/>
  <c r="O46" i="9"/>
  <c r="N46" i="9"/>
  <c r="M46" i="9"/>
  <c r="L46" i="9"/>
  <c r="K46" i="9"/>
  <c r="J46" i="9"/>
  <c r="I46" i="9"/>
  <c r="H46" i="9"/>
  <c r="G46" i="9"/>
  <c r="F46" i="9"/>
  <c r="E46" i="9"/>
  <c r="D46" i="9"/>
  <c r="C46" i="9"/>
  <c r="D41" i="9"/>
  <c r="E41" i="9"/>
  <c r="F41" i="9"/>
  <c r="G41" i="9"/>
  <c r="H41" i="9"/>
  <c r="I41" i="9"/>
  <c r="J41" i="9"/>
  <c r="K41" i="9"/>
  <c r="L41" i="9"/>
  <c r="M41" i="9"/>
  <c r="N41" i="9"/>
  <c r="O41" i="9"/>
  <c r="P41" i="9"/>
  <c r="Q41" i="9"/>
  <c r="R41" i="9"/>
  <c r="S41" i="9"/>
  <c r="T41" i="9"/>
  <c r="U41" i="9"/>
  <c r="V41" i="9"/>
  <c r="W41" i="9"/>
  <c r="X41" i="9"/>
  <c r="Y41" i="9"/>
  <c r="Z41" i="9"/>
  <c r="C41" i="9"/>
  <c r="H15" i="9" a="1"/>
  <c r="H15" i="9"/>
  <c r="G94" i="9" s="1"/>
  <c r="H16" i="9" a="1"/>
  <c r="H16" i="9" s="1"/>
  <c r="G95" i="9" s="1"/>
  <c r="H17" i="9" a="1"/>
  <c r="H17" i="9" s="1"/>
  <c r="G96" i="9" s="1"/>
  <c r="H18" i="9" a="1"/>
  <c r="H18" i="9" s="1"/>
  <c r="G97" i="9" s="1"/>
  <c r="H19" i="9" a="1"/>
  <c r="H19" i="9" s="1"/>
  <c r="G98" i="9" s="1"/>
  <c r="H20" i="9" a="1"/>
  <c r="H20" i="9" s="1"/>
  <c r="G99" i="9" s="1"/>
  <c r="H21" i="9" a="1"/>
  <c r="H21" i="9" s="1"/>
  <c r="G100" i="9" s="1"/>
  <c r="H22" i="9" a="1"/>
  <c r="H22" i="9" s="1"/>
  <c r="G101" i="9" s="1"/>
  <c r="H23" i="9" a="1"/>
  <c r="H23" i="9" s="1"/>
  <c r="G102" i="9" s="1"/>
  <c r="H14" i="9" a="1"/>
  <c r="H14" i="9" s="1"/>
  <c r="G93" i="9" s="1"/>
  <c r="C15" i="9"/>
  <c r="E107" i="9" s="1"/>
  <c r="C16" i="9"/>
  <c r="E108" i="9" s="1"/>
  <c r="C17" i="9"/>
  <c r="E109" i="9" s="1"/>
  <c r="C18" i="9"/>
  <c r="E110" i="9" s="1"/>
  <c r="C19" i="9"/>
  <c r="E111" i="9" s="1"/>
  <c r="C20" i="9"/>
  <c r="E112" i="9" s="1"/>
  <c r="C21" i="9"/>
  <c r="E113" i="9" s="1"/>
  <c r="C22" i="9"/>
  <c r="C23" i="9"/>
  <c r="C14" i="9"/>
  <c r="E106" i="9" s="1"/>
  <c r="B10" i="9"/>
  <c r="I112" i="7"/>
  <c r="E112" i="7"/>
  <c r="A112" i="7"/>
  <c r="C106" i="7"/>
  <c r="C105" i="7"/>
  <c r="C104" i="7"/>
  <c r="C103" i="7"/>
  <c r="C102" i="7"/>
  <c r="A94" i="7"/>
  <c r="A95" i="7" s="1"/>
  <c r="A96" i="7" s="1"/>
  <c r="A97" i="7" s="1"/>
  <c r="E88" i="7"/>
  <c r="E87" i="7"/>
  <c r="E86" i="7"/>
  <c r="E85" i="7"/>
  <c r="E84" i="7"/>
  <c r="E83" i="7"/>
  <c r="D88" i="7"/>
  <c r="D87" i="7"/>
  <c r="D86" i="7"/>
  <c r="D85" i="7"/>
  <c r="D84" i="7"/>
  <c r="D83" i="7"/>
  <c r="C88" i="7"/>
  <c r="C87" i="7"/>
  <c r="C86" i="7"/>
  <c r="C85" i="7"/>
  <c r="C84" i="7"/>
  <c r="C83" i="7"/>
  <c r="E82" i="7"/>
  <c r="D82" i="7"/>
  <c r="C82" i="7"/>
  <c r="E81" i="7"/>
  <c r="D81" i="7"/>
  <c r="C81" i="7"/>
  <c r="F88" i="7"/>
  <c r="F87" i="7"/>
  <c r="F86" i="7"/>
  <c r="F85" i="7"/>
  <c r="F84" i="7"/>
  <c r="F83" i="7"/>
  <c r="F82" i="7"/>
  <c r="F81" i="7"/>
  <c r="C21" i="7"/>
  <c r="D21" i="7"/>
  <c r="E21" i="7"/>
  <c r="F21" i="7"/>
  <c r="G21" i="7"/>
  <c r="H21" i="7"/>
  <c r="I21" i="7"/>
  <c r="J21" i="7"/>
  <c r="K21" i="7"/>
  <c r="L21" i="7"/>
  <c r="M21" i="7"/>
  <c r="N21" i="7"/>
  <c r="O21" i="7"/>
  <c r="P21" i="7"/>
  <c r="Q21" i="7"/>
  <c r="R21" i="7"/>
  <c r="S21" i="7"/>
  <c r="T21" i="7"/>
  <c r="U21" i="7"/>
  <c r="V21" i="7"/>
  <c r="W21" i="7"/>
  <c r="X21" i="7"/>
  <c r="Y21" i="7"/>
  <c r="B21" i="7"/>
  <c r="F13" i="7"/>
  <c r="F12" i="7"/>
  <c r="F14" i="7"/>
  <c r="F15" i="7"/>
  <c r="F16" i="7"/>
  <c r="F11" i="7"/>
  <c r="B5" i="7"/>
  <c r="E5" i="6"/>
  <c r="F5" i="6"/>
  <c r="G5" i="6"/>
  <c r="H5" i="6"/>
  <c r="I5" i="6"/>
  <c r="J5" i="6"/>
  <c r="K5" i="6"/>
  <c r="L5" i="6"/>
  <c r="M5" i="6"/>
  <c r="N5" i="6"/>
  <c r="O5" i="6"/>
  <c r="P5" i="6"/>
  <c r="Q5" i="6"/>
  <c r="R5" i="6"/>
  <c r="S5" i="6"/>
  <c r="T5" i="6"/>
  <c r="U5" i="6"/>
  <c r="V5" i="6"/>
  <c r="W5" i="6"/>
  <c r="X5" i="6"/>
  <c r="Y5" i="6"/>
  <c r="Z5" i="6"/>
  <c r="AA5" i="6"/>
  <c r="D6" i="6"/>
  <c r="D5" i="6"/>
  <c r="H5" i="10"/>
  <c r="E3" i="6"/>
  <c r="F3" i="6"/>
  <c r="G3" i="6"/>
  <c r="H3" i="6"/>
  <c r="I3" i="6"/>
  <c r="J3" i="6"/>
  <c r="K3" i="6"/>
  <c r="L3" i="6"/>
  <c r="M3" i="6"/>
  <c r="N3" i="6"/>
  <c r="O3" i="6"/>
  <c r="P3" i="6"/>
  <c r="Q3" i="6"/>
  <c r="R3" i="6"/>
  <c r="S3" i="6"/>
  <c r="T3" i="6"/>
  <c r="U3" i="6"/>
  <c r="V3" i="6"/>
  <c r="W3" i="6"/>
  <c r="X3" i="6"/>
  <c r="Y3" i="6"/>
  <c r="Z3" i="6"/>
  <c r="AA3" i="6"/>
  <c r="AB3" i="6"/>
  <c r="AC3" i="6"/>
  <c r="D3" i="6"/>
  <c r="C64" i="5"/>
  <c r="B64" i="5"/>
  <c r="C63" i="5"/>
  <c r="B63" i="5"/>
  <c r="C47" i="5"/>
  <c r="D47" i="5"/>
  <c r="E47" i="5"/>
  <c r="F47" i="5"/>
  <c r="G47" i="5"/>
  <c r="H47" i="5"/>
  <c r="I47" i="5"/>
  <c r="J47" i="5"/>
  <c r="K47" i="5"/>
  <c r="L47" i="5"/>
  <c r="M47" i="5"/>
  <c r="N47" i="5"/>
  <c r="O47" i="5"/>
  <c r="P47" i="5"/>
  <c r="Q47" i="5"/>
  <c r="R47" i="5"/>
  <c r="S47" i="5"/>
  <c r="T47" i="5"/>
  <c r="U47" i="5"/>
  <c r="V47" i="5"/>
  <c r="W47" i="5"/>
  <c r="X47" i="5"/>
  <c r="Y47" i="5"/>
  <c r="B47" i="5"/>
  <c r="D4" i="3"/>
  <c r="B6" i="5"/>
  <c r="B5" i="5"/>
  <c r="G109" i="9" l="1"/>
  <c r="G108" i="9"/>
  <c r="G113" i="9"/>
  <c r="G112" i="9"/>
  <c r="G111" i="9"/>
  <c r="G110" i="9"/>
  <c r="G107" i="9"/>
  <c r="T3" i="4"/>
  <c r="D6" i="10"/>
  <c r="E5" i="10"/>
  <c r="F5" i="10"/>
  <c r="G5" i="10"/>
  <c r="I5" i="10"/>
  <c r="J5" i="10"/>
  <c r="K5" i="10"/>
  <c r="L5" i="10"/>
  <c r="M5" i="10"/>
  <c r="N5" i="10"/>
  <c r="O5" i="10"/>
  <c r="P5" i="10"/>
  <c r="Q5" i="10"/>
  <c r="R5" i="10"/>
  <c r="S5" i="10"/>
  <c r="T5" i="10"/>
  <c r="U5" i="10"/>
  <c r="V5" i="10"/>
  <c r="W5" i="10"/>
  <c r="X5" i="10"/>
  <c r="Y5" i="10"/>
  <c r="Z5" i="10"/>
  <c r="AA5" i="10"/>
  <c r="D5" i="10"/>
  <c r="D5" i="4"/>
  <c r="D3" i="10"/>
  <c r="E3" i="10"/>
  <c r="F3" i="10"/>
  <c r="G3" i="10"/>
  <c r="H3" i="10"/>
  <c r="I3" i="10"/>
  <c r="J3" i="10"/>
  <c r="K3" i="10"/>
  <c r="L3" i="10"/>
  <c r="M3" i="10"/>
  <c r="N3" i="10"/>
  <c r="O3" i="10"/>
  <c r="P3" i="10"/>
  <c r="Q3" i="10"/>
  <c r="R3" i="10"/>
  <c r="S3" i="10"/>
  <c r="T3" i="10"/>
  <c r="U3" i="10"/>
  <c r="V3" i="10"/>
  <c r="W3" i="10"/>
  <c r="X3" i="10"/>
  <c r="Y3" i="10"/>
  <c r="Z3" i="10"/>
  <c r="AA3" i="10"/>
  <c r="AB3" i="10"/>
  <c r="AC3" i="10"/>
  <c r="C3" i="10"/>
  <c r="AA5" i="4"/>
  <c r="Z5" i="4"/>
  <c r="Y5" i="4"/>
  <c r="X5" i="4"/>
  <c r="W5" i="4"/>
  <c r="V5" i="4"/>
  <c r="U5" i="4"/>
  <c r="T5" i="4"/>
  <c r="S5" i="4"/>
  <c r="R5" i="4"/>
  <c r="Q5" i="4"/>
  <c r="P5" i="4"/>
  <c r="O5" i="4"/>
  <c r="N5" i="4"/>
  <c r="M5" i="4"/>
  <c r="L5" i="4"/>
  <c r="K5" i="4"/>
  <c r="J5" i="4"/>
  <c r="I5" i="4"/>
  <c r="H5" i="4"/>
  <c r="G5" i="4"/>
  <c r="F5" i="4"/>
  <c r="E5" i="4"/>
  <c r="D6" i="4"/>
  <c r="AB3" i="4"/>
  <c r="AC3" i="4"/>
  <c r="E3" i="4"/>
  <c r="F3" i="4"/>
  <c r="G3" i="4"/>
  <c r="H3" i="4"/>
  <c r="I3" i="4"/>
  <c r="J3" i="4"/>
  <c r="K3" i="4"/>
  <c r="L3" i="4"/>
  <c r="M3" i="4"/>
  <c r="N3" i="4"/>
  <c r="O3" i="4"/>
  <c r="P3" i="4"/>
  <c r="Q3" i="4"/>
  <c r="R3" i="4"/>
  <c r="S3" i="4"/>
  <c r="U3" i="4"/>
  <c r="V3" i="4"/>
  <c r="W3" i="4"/>
  <c r="X3" i="4"/>
  <c r="Y3" i="4"/>
  <c r="Z3" i="4"/>
  <c r="AA3" i="4"/>
  <c r="D3" i="4"/>
  <c r="E4" i="3"/>
  <c r="F4" i="3"/>
  <c r="G4" i="3"/>
  <c r="H4" i="3"/>
  <c r="I4" i="3"/>
  <c r="J4" i="3"/>
  <c r="K4" i="3"/>
  <c r="L4" i="3"/>
  <c r="M4" i="3"/>
  <c r="N4" i="3"/>
  <c r="O4" i="3"/>
  <c r="P4" i="3"/>
  <c r="Q4" i="3"/>
  <c r="R4" i="3"/>
  <c r="S4" i="3"/>
  <c r="T4" i="3"/>
  <c r="U4" i="3"/>
  <c r="V4" i="3"/>
  <c r="W4" i="3"/>
  <c r="X4" i="3"/>
  <c r="Y4" i="3"/>
  <c r="Z4" i="3"/>
  <c r="AA4" i="3"/>
  <c r="E5" i="3"/>
  <c r="E6" i="6" s="1"/>
  <c r="G202" i="2"/>
  <c r="G201" i="2"/>
  <c r="G200" i="2"/>
  <c r="G199" i="2"/>
  <c r="G198" i="2"/>
  <c r="G197" i="2"/>
  <c r="G196" i="2"/>
  <c r="G195" i="2"/>
  <c r="G194" i="2"/>
  <c r="G192" i="2"/>
  <c r="G191" i="2"/>
  <c r="G190" i="2"/>
  <c r="G189" i="2"/>
  <c r="G188" i="2"/>
  <c r="G187" i="2"/>
  <c r="G186" i="2"/>
  <c r="G185" i="2"/>
  <c r="G183" i="2"/>
  <c r="G182" i="2"/>
  <c r="G181" i="2"/>
  <c r="G180" i="2"/>
  <c r="G179" i="2"/>
  <c r="G178" i="2"/>
  <c r="G177" i="2"/>
  <c r="G176" i="2"/>
  <c r="G175" i="2"/>
  <c r="G173" i="2"/>
  <c r="G172" i="2"/>
  <c r="G171" i="2"/>
  <c r="G170" i="2"/>
  <c r="G166" i="2"/>
  <c r="B69" i="5" s="1"/>
  <c r="G165" i="2"/>
  <c r="B71" i="5" s="1"/>
  <c r="G164" i="2"/>
  <c r="G163" i="2"/>
  <c r="B84" i="5" s="1"/>
  <c r="G162" i="2"/>
  <c r="G160" i="2"/>
  <c r="G159" i="2"/>
  <c r="G158" i="2"/>
  <c r="G157" i="2"/>
  <c r="G156" i="2"/>
  <c r="G155" i="2"/>
  <c r="G154" i="2"/>
  <c r="G153" i="2"/>
  <c r="G151" i="2"/>
  <c r="G150" i="2"/>
  <c r="G149" i="2"/>
  <c r="G148" i="2"/>
  <c r="G147" i="2"/>
  <c r="G146" i="2"/>
  <c r="G145" i="2"/>
  <c r="G144" i="2"/>
  <c r="G143" i="2"/>
  <c r="G142" i="2"/>
  <c r="G140" i="2"/>
  <c r="G139" i="2"/>
  <c r="G41" i="4" s="1"/>
  <c r="G138" i="2"/>
  <c r="G137" i="2"/>
  <c r="F40" i="4" s="1"/>
  <c r="G136" i="2"/>
  <c r="E39" i="4" s="1"/>
  <c r="G135" i="2"/>
  <c r="G134" i="2"/>
  <c r="P36" i="4" s="1"/>
  <c r="G133" i="2"/>
  <c r="G132" i="2"/>
  <c r="J35" i="4" s="1"/>
  <c r="G131" i="2"/>
  <c r="G130" i="2"/>
  <c r="I34" i="4" s="1"/>
  <c r="G129" i="2"/>
  <c r="G128" i="2"/>
  <c r="H33" i="4" s="1"/>
  <c r="G127" i="2"/>
  <c r="G126" i="2"/>
  <c r="P30" i="4" s="1"/>
  <c r="G125" i="2"/>
  <c r="G124" i="2"/>
  <c r="O29" i="4" s="1"/>
  <c r="G123" i="2"/>
  <c r="G122" i="2"/>
  <c r="N28" i="4" s="1"/>
  <c r="G121" i="2"/>
  <c r="G120" i="2"/>
  <c r="M27" i="4" s="1"/>
  <c r="G119" i="2"/>
  <c r="G118" i="2"/>
  <c r="L26" i="4" s="1"/>
  <c r="G117" i="2"/>
  <c r="G116" i="2"/>
  <c r="K25" i="4" s="1"/>
  <c r="G115" i="2"/>
  <c r="G114" i="2"/>
  <c r="O24" i="4" s="1"/>
  <c r="G113" i="2"/>
  <c r="G112" i="2"/>
  <c r="G110" i="2"/>
  <c r="G109" i="2"/>
  <c r="G108" i="2"/>
  <c r="G107" i="2"/>
  <c r="G106" i="2"/>
  <c r="G105" i="2"/>
  <c r="G104" i="2"/>
  <c r="G103" i="2"/>
  <c r="G102" i="2"/>
  <c r="G101" i="2"/>
  <c r="G100" i="2"/>
  <c r="G99" i="2"/>
  <c r="G98" i="2"/>
  <c r="G97" i="2"/>
  <c r="G96" i="2"/>
  <c r="G95" i="2"/>
  <c r="G94" i="2"/>
  <c r="G92" i="2"/>
  <c r="C23" i="5" s="1"/>
  <c r="G91" i="2"/>
  <c r="G90" i="2"/>
  <c r="G89" i="2"/>
  <c r="G52" i="10" s="1"/>
  <c r="G88" i="2"/>
  <c r="G87" i="2"/>
  <c r="G86" i="2"/>
  <c r="G42" i="10" s="1"/>
  <c r="G85" i="2"/>
  <c r="G37" i="10" s="1"/>
  <c r="G84" i="2"/>
  <c r="G27" i="10" s="1"/>
  <c r="G83" i="2"/>
  <c r="H28" i="10" s="1"/>
  <c r="G82" i="2"/>
  <c r="G81" i="2"/>
  <c r="G78" i="2"/>
  <c r="D28" i="3" s="1"/>
  <c r="G77" i="2"/>
  <c r="G75" i="2"/>
  <c r="G74" i="2"/>
  <c r="G73" i="2"/>
  <c r="G71" i="2"/>
  <c r="G70" i="2"/>
  <c r="G69" i="2"/>
  <c r="G68" i="2"/>
  <c r="G67" i="2"/>
  <c r="G66" i="2"/>
  <c r="G65" i="2"/>
  <c r="G64" i="2"/>
  <c r="G62" i="2"/>
  <c r="G61" i="2"/>
  <c r="G60" i="2"/>
  <c r="G59" i="2"/>
  <c r="G58" i="2"/>
  <c r="G57" i="2"/>
  <c r="D19" i="3" s="1"/>
  <c r="G56" i="2"/>
  <c r="G55" i="2"/>
  <c r="G54" i="2"/>
  <c r="D18" i="3" s="1"/>
  <c r="G53" i="2"/>
  <c r="D17" i="3" s="1"/>
  <c r="G52" i="2"/>
  <c r="G51" i="2"/>
  <c r="G50" i="2"/>
  <c r="G49" i="2"/>
  <c r="D10" i="3" s="1"/>
  <c r="E10" i="3" s="1"/>
  <c r="G47" i="2"/>
  <c r="G46" i="2"/>
  <c r="J76" i="3" s="1"/>
  <c r="G45" i="2"/>
  <c r="G44" i="2"/>
  <c r="G43" i="2"/>
  <c r="G42" i="2"/>
  <c r="G41" i="2"/>
  <c r="G40" i="2"/>
  <c r="G39" i="2"/>
  <c r="D74" i="3" s="1"/>
  <c r="G38" i="2"/>
  <c r="G37" i="2"/>
  <c r="G36" i="2"/>
  <c r="G35" i="2"/>
  <c r="G34" i="2"/>
  <c r="J77" i="3" s="1"/>
  <c r="G32" i="2"/>
  <c r="G31" i="2"/>
  <c r="G30" i="2"/>
  <c r="G29" i="2"/>
  <c r="G28" i="2"/>
  <c r="V86" i="3" s="1"/>
  <c r="G27" i="2"/>
  <c r="G26" i="2"/>
  <c r="J83" i="3" s="1"/>
  <c r="G25" i="2"/>
  <c r="G24" i="2"/>
  <c r="G23" i="2"/>
  <c r="C22" i="5" s="1"/>
  <c r="G22" i="2"/>
  <c r="G18" i="2"/>
  <c r="G17" i="2"/>
  <c r="D40" i="3" s="1"/>
  <c r="G16" i="2"/>
  <c r="D32" i="3" s="1"/>
  <c r="G15" i="2"/>
  <c r="D24" i="3" s="1"/>
  <c r="G14" i="2"/>
  <c r="D9" i="3" s="1"/>
  <c r="G13" i="2"/>
  <c r="G12" i="2"/>
  <c r="D79" i="6" s="1"/>
  <c r="G10" i="2"/>
  <c r="G9" i="2"/>
  <c r="G8" i="2"/>
  <c r="G7" i="2"/>
  <c r="B7" i="7" s="1"/>
  <c r="G6" i="2"/>
  <c r="E167" i="2"/>
  <c r="E168" i="2" s="1"/>
  <c r="E169" i="2" s="1"/>
  <c r="F167" i="2"/>
  <c r="F168" i="2" s="1"/>
  <c r="F169" i="2" s="1"/>
  <c r="G169" i="2" s="1"/>
  <c r="D167" i="2"/>
  <c r="D168" i="2" s="1"/>
  <c r="D169" i="2" s="1"/>
  <c r="E79" i="2"/>
  <c r="F79" i="2"/>
  <c r="G79" i="2" s="1"/>
  <c r="D79" i="2"/>
  <c r="E76" i="2"/>
  <c r="F76" i="2"/>
  <c r="G76" i="2" s="1"/>
  <c r="D76" i="2"/>
  <c r="E19" i="2"/>
  <c r="E20" i="2" s="1"/>
  <c r="F19" i="2"/>
  <c r="F20" i="2" s="1"/>
  <c r="G20" i="2" s="1"/>
  <c r="D19" i="2"/>
  <c r="D20" i="2" s="1"/>
  <c r="E6" i="10" l="1"/>
  <c r="E76" i="10" s="1"/>
  <c r="D77" i="10"/>
  <c r="D76" i="10"/>
  <c r="D6" i="3"/>
  <c r="D7" i="10" s="1"/>
  <c r="B6" i="7"/>
  <c r="D13" i="3"/>
  <c r="D27" i="3"/>
  <c r="C24" i="5"/>
  <c r="C27" i="5" s="1"/>
  <c r="B81" i="5" s="1"/>
  <c r="B80" i="5"/>
  <c r="D52" i="6"/>
  <c r="E52" i="6"/>
  <c r="F58" i="6"/>
  <c r="N58" i="6"/>
  <c r="V58" i="6"/>
  <c r="H58" i="6"/>
  <c r="P58" i="6"/>
  <c r="X58" i="6"/>
  <c r="I58" i="6"/>
  <c r="Q58" i="6"/>
  <c r="J58" i="6"/>
  <c r="U58" i="6"/>
  <c r="K58" i="6"/>
  <c r="W58" i="6"/>
  <c r="L58" i="6"/>
  <c r="Y58" i="6"/>
  <c r="M58" i="6"/>
  <c r="Z58" i="6"/>
  <c r="O58" i="6"/>
  <c r="AA58" i="6"/>
  <c r="D58" i="6"/>
  <c r="R58" i="6"/>
  <c r="E58" i="6"/>
  <c r="S58" i="6"/>
  <c r="T58" i="6"/>
  <c r="G58" i="6"/>
  <c r="B12" i="5"/>
  <c r="C25" i="5" s="1"/>
  <c r="C36" i="5"/>
  <c r="H53" i="6"/>
  <c r="P53" i="6"/>
  <c r="X53" i="6"/>
  <c r="I53" i="6"/>
  <c r="Q53" i="6"/>
  <c r="Y53" i="6"/>
  <c r="K53" i="6"/>
  <c r="S53" i="6"/>
  <c r="AA53" i="6"/>
  <c r="L53" i="6"/>
  <c r="T53" i="6"/>
  <c r="J53" i="6"/>
  <c r="M53" i="6"/>
  <c r="N53" i="6"/>
  <c r="O53" i="6"/>
  <c r="R53" i="6"/>
  <c r="E53" i="6"/>
  <c r="U53" i="6"/>
  <c r="F53" i="6"/>
  <c r="V53" i="6"/>
  <c r="G53" i="6"/>
  <c r="W53" i="6"/>
  <c r="Z53" i="6"/>
  <c r="D53" i="6"/>
  <c r="N24" i="4"/>
  <c r="C26" i="5"/>
  <c r="D82" i="3"/>
  <c r="B50" i="5"/>
  <c r="B13" i="5"/>
  <c r="C37" i="5"/>
  <c r="I54" i="6"/>
  <c r="Q54" i="6"/>
  <c r="Y54" i="6"/>
  <c r="J54" i="6"/>
  <c r="R54" i="6"/>
  <c r="Z54" i="6"/>
  <c r="L54" i="6"/>
  <c r="T54" i="6"/>
  <c r="E54" i="6"/>
  <c r="M54" i="6"/>
  <c r="U54" i="6"/>
  <c r="F54" i="6"/>
  <c r="V54" i="6"/>
  <c r="G54" i="6"/>
  <c r="W54" i="6"/>
  <c r="H54" i="6"/>
  <c r="X54" i="6"/>
  <c r="K54" i="6"/>
  <c r="AA54" i="6"/>
  <c r="N54" i="6"/>
  <c r="O54" i="6"/>
  <c r="P54" i="6"/>
  <c r="D54" i="6"/>
  <c r="S54" i="6"/>
  <c r="C42" i="5"/>
  <c r="B14" i="5"/>
  <c r="C38" i="5"/>
  <c r="W26" i="4"/>
  <c r="S77" i="3"/>
  <c r="Q40" i="4"/>
  <c r="B15" i="5"/>
  <c r="C41" i="5"/>
  <c r="D51" i="6"/>
  <c r="E51" i="6"/>
  <c r="F52" i="10"/>
  <c r="E55" i="6"/>
  <c r="D55" i="6"/>
  <c r="L56" i="6"/>
  <c r="T56" i="6"/>
  <c r="F56" i="6"/>
  <c r="N56" i="6"/>
  <c r="V56" i="6"/>
  <c r="G56" i="6"/>
  <c r="O56" i="6"/>
  <c r="W56" i="6"/>
  <c r="Q56" i="6"/>
  <c r="E56" i="6"/>
  <c r="R56" i="6"/>
  <c r="H56" i="6"/>
  <c r="S56" i="6"/>
  <c r="I56" i="6"/>
  <c r="U56" i="6"/>
  <c r="J56" i="6"/>
  <c r="X56" i="6"/>
  <c r="K56" i="6"/>
  <c r="Y56" i="6"/>
  <c r="D56" i="6"/>
  <c r="M56" i="6"/>
  <c r="Z56" i="6"/>
  <c r="P56" i="6"/>
  <c r="AA56" i="6"/>
  <c r="E18" i="3"/>
  <c r="E33" i="3" s="1"/>
  <c r="B49" i="5"/>
  <c r="E57" i="6"/>
  <c r="M57" i="6"/>
  <c r="U57" i="6"/>
  <c r="D57" i="6"/>
  <c r="G57" i="6"/>
  <c r="O57" i="6"/>
  <c r="W57" i="6"/>
  <c r="H57" i="6"/>
  <c r="P57" i="6"/>
  <c r="X57" i="6"/>
  <c r="F57" i="6"/>
  <c r="S57" i="6"/>
  <c r="I57" i="6"/>
  <c r="T57" i="6"/>
  <c r="J57" i="6"/>
  <c r="V57" i="6"/>
  <c r="K57" i="6"/>
  <c r="Y57" i="6"/>
  <c r="L57" i="6"/>
  <c r="Z57" i="6"/>
  <c r="N57" i="6"/>
  <c r="AA57" i="6"/>
  <c r="Q57" i="6"/>
  <c r="R57" i="6"/>
  <c r="U77" i="3"/>
  <c r="Z24" i="4"/>
  <c r="L27" i="4"/>
  <c r="F41" i="4"/>
  <c r="R52" i="10"/>
  <c r="I77" i="3"/>
  <c r="K26" i="4"/>
  <c r="E40" i="4"/>
  <c r="E19" i="3"/>
  <c r="C50" i="5" s="1"/>
  <c r="G77" i="3"/>
  <c r="AA30" i="4"/>
  <c r="V25" i="4"/>
  <c r="P39" i="4"/>
  <c r="K86" i="3"/>
  <c r="O30" i="4"/>
  <c r="J25" i="4"/>
  <c r="S28" i="10"/>
  <c r="D36" i="3"/>
  <c r="W86" i="3"/>
  <c r="AA36" i="4"/>
  <c r="U35" i="4"/>
  <c r="G28" i="10"/>
  <c r="D76" i="3"/>
  <c r="O36" i="4"/>
  <c r="I35" i="4"/>
  <c r="R27" i="10"/>
  <c r="U76" i="3"/>
  <c r="Z29" i="4"/>
  <c r="T34" i="4"/>
  <c r="F27" i="10"/>
  <c r="S76" i="3"/>
  <c r="N29" i="4"/>
  <c r="H34" i="4"/>
  <c r="R37" i="10"/>
  <c r="R76" i="3"/>
  <c r="Y28" i="4"/>
  <c r="S33" i="4"/>
  <c r="F37" i="10"/>
  <c r="I76" i="3"/>
  <c r="M28" i="4"/>
  <c r="G33" i="4"/>
  <c r="R42" i="10"/>
  <c r="G76" i="3"/>
  <c r="D25" i="4"/>
  <c r="D45" i="4" s="1"/>
  <c r="X27" i="4"/>
  <c r="R41" i="4"/>
  <c r="F42" i="10"/>
  <c r="D43" i="3"/>
  <c r="T76" i="3"/>
  <c r="H76" i="3"/>
  <c r="T77" i="3"/>
  <c r="H77" i="3"/>
  <c r="T83" i="3"/>
  <c r="H83" i="3"/>
  <c r="L86" i="3"/>
  <c r="X86" i="3"/>
  <c r="D26" i="4"/>
  <c r="D46" i="4" s="1"/>
  <c r="D69" i="4" s="1"/>
  <c r="Y24" i="4"/>
  <c r="M24" i="4"/>
  <c r="Z30" i="4"/>
  <c r="N30" i="4"/>
  <c r="Z36" i="4"/>
  <c r="N36" i="4"/>
  <c r="Y29" i="4"/>
  <c r="M29" i="4"/>
  <c r="X28" i="4"/>
  <c r="L28" i="4"/>
  <c r="W27" i="4"/>
  <c r="K27" i="4"/>
  <c r="V26" i="4"/>
  <c r="J26" i="4"/>
  <c r="U25" i="4"/>
  <c r="I25" i="4"/>
  <c r="T35" i="4"/>
  <c r="H35" i="4"/>
  <c r="S34" i="4"/>
  <c r="G34" i="4"/>
  <c r="R33" i="4"/>
  <c r="F33" i="4"/>
  <c r="Q41" i="4"/>
  <c r="E41" i="4"/>
  <c r="P40" i="4"/>
  <c r="AA39" i="4"/>
  <c r="O39" i="4"/>
  <c r="R28" i="10"/>
  <c r="F28" i="10"/>
  <c r="Q27" i="10"/>
  <c r="E27" i="10"/>
  <c r="Q37" i="10"/>
  <c r="E37" i="10"/>
  <c r="Q42" i="10"/>
  <c r="E42" i="10"/>
  <c r="Q52" i="10"/>
  <c r="E52" i="10"/>
  <c r="D41" i="4"/>
  <c r="D56" i="4" s="1"/>
  <c r="D79" i="4" s="1"/>
  <c r="X24" i="4"/>
  <c r="L24" i="4"/>
  <c r="Y30" i="4"/>
  <c r="M30" i="4"/>
  <c r="Y36" i="4"/>
  <c r="M36" i="4"/>
  <c r="X29" i="4"/>
  <c r="L29" i="4"/>
  <c r="W28" i="4"/>
  <c r="K28" i="4"/>
  <c r="V27" i="4"/>
  <c r="J27" i="4"/>
  <c r="U26" i="4"/>
  <c r="I26" i="4"/>
  <c r="T25" i="4"/>
  <c r="H25" i="4"/>
  <c r="S35" i="4"/>
  <c r="G35" i="4"/>
  <c r="R34" i="4"/>
  <c r="F34" i="4"/>
  <c r="Q33" i="4"/>
  <c r="E33" i="4"/>
  <c r="P41" i="4"/>
  <c r="AA40" i="4"/>
  <c r="O40" i="4"/>
  <c r="Z39" i="4"/>
  <c r="N39" i="4"/>
  <c r="D27" i="10"/>
  <c r="Q28" i="10"/>
  <c r="E28" i="10"/>
  <c r="P27" i="10"/>
  <c r="D37" i="10"/>
  <c r="P37" i="10"/>
  <c r="D42" i="10"/>
  <c r="P42" i="10"/>
  <c r="D52" i="10"/>
  <c r="P52" i="10"/>
  <c r="G83" i="3"/>
  <c r="F76" i="3"/>
  <c r="R77" i="3"/>
  <c r="F77" i="3"/>
  <c r="R83" i="3"/>
  <c r="F83" i="3"/>
  <c r="N86" i="3"/>
  <c r="Z86" i="3"/>
  <c r="D40" i="4"/>
  <c r="W24" i="4"/>
  <c r="K24" i="4"/>
  <c r="X30" i="4"/>
  <c r="L30" i="4"/>
  <c r="X36" i="4"/>
  <c r="L36" i="4"/>
  <c r="W29" i="4"/>
  <c r="K29" i="4"/>
  <c r="V28" i="4"/>
  <c r="J28" i="4"/>
  <c r="U27" i="4"/>
  <c r="I27" i="4"/>
  <c r="T26" i="4"/>
  <c r="H26" i="4"/>
  <c r="S25" i="4"/>
  <c r="G25" i="4"/>
  <c r="R35" i="4"/>
  <c r="F35" i="4"/>
  <c r="Q34" i="4"/>
  <c r="E34" i="4"/>
  <c r="P33" i="4"/>
  <c r="AA41" i="4"/>
  <c r="O41" i="4"/>
  <c r="Z40" i="4"/>
  <c r="N40" i="4"/>
  <c r="Y39" i="4"/>
  <c r="M39" i="4"/>
  <c r="D28" i="10"/>
  <c r="P28" i="10"/>
  <c r="AA27" i="10"/>
  <c r="O27" i="10"/>
  <c r="AA37" i="10"/>
  <c r="O37" i="10"/>
  <c r="AA42" i="10"/>
  <c r="O42" i="10"/>
  <c r="AA52" i="10"/>
  <c r="O52" i="10"/>
  <c r="Q76" i="3"/>
  <c r="E76" i="3"/>
  <c r="Q77" i="3"/>
  <c r="E77" i="3"/>
  <c r="Q83" i="3"/>
  <c r="E83" i="3"/>
  <c r="O86" i="3"/>
  <c r="AA86" i="3"/>
  <c r="D39" i="4"/>
  <c r="D55" i="4" s="1"/>
  <c r="V24" i="4"/>
  <c r="J24" i="4"/>
  <c r="W30" i="4"/>
  <c r="K30" i="4"/>
  <c r="W36" i="4"/>
  <c r="K36" i="4"/>
  <c r="V29" i="4"/>
  <c r="J29" i="4"/>
  <c r="U28" i="4"/>
  <c r="I28" i="4"/>
  <c r="T27" i="4"/>
  <c r="H27" i="4"/>
  <c r="S26" i="4"/>
  <c r="G26" i="4"/>
  <c r="R25" i="4"/>
  <c r="F25" i="4"/>
  <c r="Q35" i="4"/>
  <c r="E35" i="4"/>
  <c r="P34" i="4"/>
  <c r="AA33" i="4"/>
  <c r="O33" i="4"/>
  <c r="Z41" i="4"/>
  <c r="N41" i="4"/>
  <c r="Y40" i="4"/>
  <c r="M40" i="4"/>
  <c r="X39" i="4"/>
  <c r="L39" i="4"/>
  <c r="AA28" i="10"/>
  <c r="O28" i="10"/>
  <c r="Z27" i="10"/>
  <c r="N27" i="10"/>
  <c r="Z37" i="10"/>
  <c r="N37" i="10"/>
  <c r="Z42" i="10"/>
  <c r="N42" i="10"/>
  <c r="Z52" i="10"/>
  <c r="N52" i="10"/>
  <c r="M86" i="3"/>
  <c r="D72" i="3"/>
  <c r="P76" i="3"/>
  <c r="D77" i="3"/>
  <c r="P77" i="3"/>
  <c r="D83" i="3"/>
  <c r="D84" i="3" s="1"/>
  <c r="D85" i="3" s="1"/>
  <c r="D92" i="3" s="1"/>
  <c r="P83" i="3"/>
  <c r="D86" i="3"/>
  <c r="P86" i="3"/>
  <c r="D35" i="4"/>
  <c r="D53" i="4" s="1"/>
  <c r="D76" i="4" s="1"/>
  <c r="U24" i="4"/>
  <c r="I24" i="4"/>
  <c r="V30" i="4"/>
  <c r="J30" i="4"/>
  <c r="V36" i="4"/>
  <c r="J36" i="4"/>
  <c r="U29" i="4"/>
  <c r="I29" i="4"/>
  <c r="T28" i="4"/>
  <c r="H28" i="4"/>
  <c r="S27" i="4"/>
  <c r="G27" i="4"/>
  <c r="R26" i="4"/>
  <c r="F26" i="4"/>
  <c r="Q25" i="4"/>
  <c r="E25" i="4"/>
  <c r="P35" i="4"/>
  <c r="AA34" i="4"/>
  <c r="O34" i="4"/>
  <c r="Z33" i="4"/>
  <c r="N33" i="4"/>
  <c r="Y41" i="4"/>
  <c r="M41" i="4"/>
  <c r="X40" i="4"/>
  <c r="L40" i="4"/>
  <c r="W39" i="4"/>
  <c r="K39" i="4"/>
  <c r="Z28" i="10"/>
  <c r="N28" i="10"/>
  <c r="Y27" i="10"/>
  <c r="M27" i="10"/>
  <c r="Y37" i="10"/>
  <c r="M37" i="10"/>
  <c r="Y42" i="10"/>
  <c r="M42" i="10"/>
  <c r="Y52" i="10"/>
  <c r="M52" i="10"/>
  <c r="U83" i="3"/>
  <c r="AA76" i="3"/>
  <c r="O76" i="3"/>
  <c r="AA77" i="3"/>
  <c r="O77" i="3"/>
  <c r="AA83" i="3"/>
  <c r="O83" i="3"/>
  <c r="E86" i="3"/>
  <c r="Q86" i="3"/>
  <c r="D34" i="4"/>
  <c r="D52" i="4" s="1"/>
  <c r="D75" i="4" s="1"/>
  <c r="T24" i="4"/>
  <c r="H24" i="4"/>
  <c r="U30" i="4"/>
  <c r="I30" i="4"/>
  <c r="U36" i="4"/>
  <c r="I36" i="4"/>
  <c r="T29" i="4"/>
  <c r="H29" i="4"/>
  <c r="S28" i="4"/>
  <c r="G28" i="4"/>
  <c r="R27" i="4"/>
  <c r="F27" i="4"/>
  <c r="Q26" i="4"/>
  <c r="E26" i="4"/>
  <c r="P25" i="4"/>
  <c r="AA35" i="4"/>
  <c r="O35" i="4"/>
  <c r="Z34" i="4"/>
  <c r="N34" i="4"/>
  <c r="Y33" i="4"/>
  <c r="M33" i="4"/>
  <c r="X41" i="4"/>
  <c r="L41" i="4"/>
  <c r="W40" i="4"/>
  <c r="K40" i="4"/>
  <c r="V39" i="4"/>
  <c r="J39" i="4"/>
  <c r="Y28" i="10"/>
  <c r="M28" i="10"/>
  <c r="X27" i="10"/>
  <c r="L27" i="10"/>
  <c r="X37" i="10"/>
  <c r="L37" i="10"/>
  <c r="X42" i="10"/>
  <c r="L42" i="10"/>
  <c r="X52" i="10"/>
  <c r="L52" i="10"/>
  <c r="S83" i="3"/>
  <c r="Z76" i="3"/>
  <c r="N76" i="3"/>
  <c r="Z77" i="3"/>
  <c r="N77" i="3"/>
  <c r="Z83" i="3"/>
  <c r="N83" i="3"/>
  <c r="F86" i="3"/>
  <c r="R86" i="3"/>
  <c r="D33" i="4"/>
  <c r="S24" i="4"/>
  <c r="G24" i="4"/>
  <c r="T30" i="4"/>
  <c r="H30" i="4"/>
  <c r="T36" i="4"/>
  <c r="H36" i="4"/>
  <c r="S29" i="4"/>
  <c r="G29" i="4"/>
  <c r="R28" i="4"/>
  <c r="F28" i="4"/>
  <c r="Q27" i="4"/>
  <c r="E27" i="4"/>
  <c r="P26" i="4"/>
  <c r="AA25" i="4"/>
  <c r="O25" i="4"/>
  <c r="Z35" i="4"/>
  <c r="N35" i="4"/>
  <c r="Y34" i="4"/>
  <c r="M34" i="4"/>
  <c r="X33" i="4"/>
  <c r="L33" i="4"/>
  <c r="W41" i="4"/>
  <c r="K41" i="4"/>
  <c r="V40" i="4"/>
  <c r="J40" i="4"/>
  <c r="U39" i="4"/>
  <c r="I39" i="4"/>
  <c r="X28" i="10"/>
  <c r="L28" i="10"/>
  <c r="W27" i="10"/>
  <c r="K27" i="10"/>
  <c r="W37" i="10"/>
  <c r="K37" i="10"/>
  <c r="W42" i="10"/>
  <c r="K42" i="10"/>
  <c r="W52" i="10"/>
  <c r="K52" i="10"/>
  <c r="Y76" i="3"/>
  <c r="M76" i="3"/>
  <c r="Y77" i="3"/>
  <c r="M77" i="3"/>
  <c r="Y83" i="3"/>
  <c r="M83" i="3"/>
  <c r="G86" i="3"/>
  <c r="S86" i="3"/>
  <c r="D29" i="4"/>
  <c r="D49" i="4" s="1"/>
  <c r="D72" i="4" s="1"/>
  <c r="R24" i="4"/>
  <c r="F24" i="4"/>
  <c r="S30" i="4"/>
  <c r="G30" i="4"/>
  <c r="S36" i="4"/>
  <c r="G36" i="4"/>
  <c r="R29" i="4"/>
  <c r="F29" i="4"/>
  <c r="Q28" i="4"/>
  <c r="E28" i="4"/>
  <c r="P27" i="4"/>
  <c r="AA26" i="4"/>
  <c r="O26" i="4"/>
  <c r="Z25" i="4"/>
  <c r="N25" i="4"/>
  <c r="Y35" i="4"/>
  <c r="M35" i="4"/>
  <c r="X34" i="4"/>
  <c r="L34" i="4"/>
  <c r="W33" i="4"/>
  <c r="K33" i="4"/>
  <c r="V41" i="4"/>
  <c r="J41" i="4"/>
  <c r="U40" i="4"/>
  <c r="I40" i="4"/>
  <c r="T39" i="4"/>
  <c r="H39" i="4"/>
  <c r="W28" i="10"/>
  <c r="K28" i="10"/>
  <c r="V27" i="10"/>
  <c r="J27" i="10"/>
  <c r="V37" i="10"/>
  <c r="J37" i="10"/>
  <c r="V42" i="10"/>
  <c r="J42" i="10"/>
  <c r="V52" i="10"/>
  <c r="J52" i="10"/>
  <c r="I83" i="3"/>
  <c r="X76" i="3"/>
  <c r="L76" i="3"/>
  <c r="X77" i="3"/>
  <c r="L77" i="3"/>
  <c r="X83" i="3"/>
  <c r="L83" i="3"/>
  <c r="H86" i="3"/>
  <c r="T86" i="3"/>
  <c r="D19" i="10"/>
  <c r="D51" i="10" s="1"/>
  <c r="D28" i="4"/>
  <c r="D48" i="4" s="1"/>
  <c r="D71" i="4" s="1"/>
  <c r="Q24" i="4"/>
  <c r="E24" i="4"/>
  <c r="R30" i="4"/>
  <c r="F30" i="4"/>
  <c r="R36" i="4"/>
  <c r="F36" i="4"/>
  <c r="Q29" i="4"/>
  <c r="E29" i="4"/>
  <c r="P28" i="4"/>
  <c r="AA27" i="4"/>
  <c r="O27" i="4"/>
  <c r="Z26" i="4"/>
  <c r="N26" i="4"/>
  <c r="Y25" i="4"/>
  <c r="M25" i="4"/>
  <c r="X35" i="4"/>
  <c r="L35" i="4"/>
  <c r="W34" i="4"/>
  <c r="K34" i="4"/>
  <c r="V33" i="4"/>
  <c r="J33" i="4"/>
  <c r="U41" i="4"/>
  <c r="I41" i="4"/>
  <c r="T40" i="4"/>
  <c r="H40" i="4"/>
  <c r="S39" i="4"/>
  <c r="G39" i="4"/>
  <c r="V28" i="10"/>
  <c r="J28" i="10"/>
  <c r="U27" i="10"/>
  <c r="I27" i="10"/>
  <c r="U37" i="10"/>
  <c r="I37" i="10"/>
  <c r="U42" i="10"/>
  <c r="I42" i="10"/>
  <c r="U52" i="10"/>
  <c r="I52" i="10"/>
  <c r="E22" i="10"/>
  <c r="Y86" i="3"/>
  <c r="W76" i="3"/>
  <c r="K76" i="3"/>
  <c r="W77" i="3"/>
  <c r="K77" i="3"/>
  <c r="W83" i="3"/>
  <c r="K83" i="3"/>
  <c r="I86" i="3"/>
  <c r="U86" i="3"/>
  <c r="D27" i="4"/>
  <c r="D47" i="4" s="1"/>
  <c r="P24" i="4"/>
  <c r="Q30" i="4"/>
  <c r="E30" i="4"/>
  <c r="Q36" i="4"/>
  <c r="E36" i="4"/>
  <c r="P29" i="4"/>
  <c r="AA28" i="4"/>
  <c r="O28" i="4"/>
  <c r="Z27" i="4"/>
  <c r="N27" i="4"/>
  <c r="Y26" i="4"/>
  <c r="M26" i="4"/>
  <c r="X25" i="4"/>
  <c r="L25" i="4"/>
  <c r="W35" i="4"/>
  <c r="K35" i="4"/>
  <c r="V34" i="4"/>
  <c r="J34" i="4"/>
  <c r="U33" i="4"/>
  <c r="I33" i="4"/>
  <c r="T41" i="4"/>
  <c r="H41" i="4"/>
  <c r="S40" i="4"/>
  <c r="G40" i="4"/>
  <c r="R39" i="4"/>
  <c r="F39" i="4"/>
  <c r="U28" i="10"/>
  <c r="I28" i="10"/>
  <c r="T27" i="10"/>
  <c r="H27" i="10"/>
  <c r="T37" i="10"/>
  <c r="H37" i="10"/>
  <c r="T42" i="10"/>
  <c r="H42" i="10"/>
  <c r="T52" i="10"/>
  <c r="H52" i="10"/>
  <c r="D35" i="3"/>
  <c r="V76" i="3"/>
  <c r="V77" i="3"/>
  <c r="V83" i="3"/>
  <c r="J86" i="3"/>
  <c r="D22" i="10"/>
  <c r="D24" i="4"/>
  <c r="D44" i="4" s="1"/>
  <c r="AA24" i="4"/>
  <c r="D30" i="4"/>
  <c r="D36" i="4"/>
  <c r="AA29" i="4"/>
  <c r="Z28" i="4"/>
  <c r="Y27" i="4"/>
  <c r="X26" i="4"/>
  <c r="W25" i="4"/>
  <c r="V35" i="4"/>
  <c r="U34" i="4"/>
  <c r="T33" i="4"/>
  <c r="S41" i="4"/>
  <c r="R40" i="4"/>
  <c r="Q39" i="4"/>
  <c r="T28" i="10"/>
  <c r="S27" i="10"/>
  <c r="S37" i="10"/>
  <c r="S42" i="10"/>
  <c r="S52" i="10"/>
  <c r="D87" i="10"/>
  <c r="E19" i="10"/>
  <c r="E51" i="10" s="1"/>
  <c r="D51" i="4"/>
  <c r="D74" i="4" s="1"/>
  <c r="D14" i="4"/>
  <c r="D108" i="4" s="1"/>
  <c r="E6" i="4"/>
  <c r="D63" i="3"/>
  <c r="D20" i="6" s="1"/>
  <c r="BG29" i="11" s="1" a="1"/>
  <c r="BG29" i="11" s="1"/>
  <c r="E72" i="3"/>
  <c r="E74" i="3"/>
  <c r="D47" i="3"/>
  <c r="D11" i="3"/>
  <c r="E17" i="3"/>
  <c r="E6" i="3"/>
  <c r="E7" i="6" s="1"/>
  <c r="F10" i="3"/>
  <c r="G10" i="3" s="1"/>
  <c r="H10" i="3" s="1"/>
  <c r="E11" i="3"/>
  <c r="D12" i="3"/>
  <c r="D64" i="3" s="1"/>
  <c r="G19" i="2"/>
  <c r="D62" i="3" s="1"/>
  <c r="G167" i="2"/>
  <c r="G168" i="2"/>
  <c r="D33" i="3"/>
  <c r="D41" i="3"/>
  <c r="D25" i="3"/>
  <c r="F5" i="3"/>
  <c r="E77" i="10" l="1"/>
  <c r="D66" i="3"/>
  <c r="D23" i="6" s="1"/>
  <c r="BI29" i="11" s="1" a="1"/>
  <c r="BI29" i="11" s="1"/>
  <c r="F6" i="4"/>
  <c r="F6" i="6"/>
  <c r="F6" i="10"/>
  <c r="D65" i="3"/>
  <c r="D21" i="6" s="1"/>
  <c r="BH29" i="11" s="1" a="1"/>
  <c r="BH29" i="11" s="1"/>
  <c r="D7" i="6"/>
  <c r="C29" i="5"/>
  <c r="D7" i="4"/>
  <c r="E14" i="4"/>
  <c r="E108" i="4" s="1"/>
  <c r="F18" i="3"/>
  <c r="C49" i="5"/>
  <c r="B52" i="5"/>
  <c r="X52" i="5"/>
  <c r="C52" i="5"/>
  <c r="V52" i="5"/>
  <c r="Y52" i="5"/>
  <c r="D52" i="5"/>
  <c r="J52" i="5"/>
  <c r="R52" i="5"/>
  <c r="M52" i="5"/>
  <c r="N52" i="5"/>
  <c r="F52" i="5"/>
  <c r="P52" i="5"/>
  <c r="Q52" i="5"/>
  <c r="L52" i="5"/>
  <c r="E52" i="5"/>
  <c r="U52" i="5"/>
  <c r="S52" i="5"/>
  <c r="H52" i="5"/>
  <c r="O52" i="5"/>
  <c r="W52" i="5"/>
  <c r="K52" i="5"/>
  <c r="I52" i="5"/>
  <c r="G52" i="5"/>
  <c r="T52" i="5"/>
  <c r="C28" i="5"/>
  <c r="D42" i="3"/>
  <c r="D44" i="3" s="1"/>
  <c r="D13" i="4" s="1"/>
  <c r="D53" i="10"/>
  <c r="D54" i="10" s="1"/>
  <c r="D58" i="10" s="1"/>
  <c r="D34" i="6" s="1"/>
  <c r="D16" i="10"/>
  <c r="D55" i="10" s="1"/>
  <c r="D12" i="6"/>
  <c r="D71" i="6" s="1"/>
  <c r="C43" i="5"/>
  <c r="C44" i="5" s="1"/>
  <c r="B53" i="5"/>
  <c r="C53" i="5"/>
  <c r="M53" i="5"/>
  <c r="X53" i="5"/>
  <c r="V53" i="5"/>
  <c r="T53" i="5"/>
  <c r="J53" i="5"/>
  <c r="H53" i="5"/>
  <c r="O53" i="5"/>
  <c r="D53" i="5"/>
  <c r="G53" i="5"/>
  <c r="N53" i="5"/>
  <c r="U53" i="5"/>
  <c r="F53" i="5"/>
  <c r="L53" i="5"/>
  <c r="W53" i="5"/>
  <c r="Q53" i="5"/>
  <c r="K53" i="5"/>
  <c r="E53" i="5"/>
  <c r="I53" i="5"/>
  <c r="R53" i="5"/>
  <c r="P53" i="5"/>
  <c r="Y53" i="5"/>
  <c r="S53" i="5"/>
  <c r="B54" i="5"/>
  <c r="C54" i="5"/>
  <c r="K54" i="5"/>
  <c r="I54" i="5"/>
  <c r="M54" i="5"/>
  <c r="V54" i="5"/>
  <c r="J54" i="5"/>
  <c r="S54" i="5"/>
  <c r="F54" i="5"/>
  <c r="W54" i="5"/>
  <c r="U54" i="5"/>
  <c r="D54" i="5"/>
  <c r="P54" i="5"/>
  <c r="R54" i="5"/>
  <c r="Q54" i="5"/>
  <c r="G54" i="5"/>
  <c r="Y54" i="5"/>
  <c r="O54" i="5"/>
  <c r="E54" i="5"/>
  <c r="X54" i="5"/>
  <c r="T54" i="5"/>
  <c r="H54" i="5"/>
  <c r="N54" i="5"/>
  <c r="L54" i="5"/>
  <c r="D59" i="6"/>
  <c r="E53" i="10"/>
  <c r="F17" i="3"/>
  <c r="D49" i="3"/>
  <c r="D51" i="3" s="1"/>
  <c r="D67" i="3"/>
  <c r="D19" i="6"/>
  <c r="D78" i="4"/>
  <c r="D70" i="4"/>
  <c r="D103" i="4"/>
  <c r="D60" i="4"/>
  <c r="D41" i="6" s="1"/>
  <c r="E55" i="4"/>
  <c r="E56" i="4"/>
  <c r="E79" i="4" s="1"/>
  <c r="E44" i="4"/>
  <c r="E45" i="4"/>
  <c r="E46" i="4"/>
  <c r="E69" i="4" s="1"/>
  <c r="E47" i="4"/>
  <c r="E48" i="4"/>
  <c r="E71" i="4" s="1"/>
  <c r="E49" i="4"/>
  <c r="E72" i="4" s="1"/>
  <c r="E51" i="4"/>
  <c r="E74" i="4" s="1"/>
  <c r="E52" i="4"/>
  <c r="E75" i="4" s="1"/>
  <c r="E53" i="4"/>
  <c r="E76" i="4" s="1"/>
  <c r="D68" i="4"/>
  <c r="D86" i="4" s="1"/>
  <c r="D59" i="4"/>
  <c r="D40" i="6" s="1"/>
  <c r="D61" i="4"/>
  <c r="D43" i="6" s="1"/>
  <c r="D67" i="4"/>
  <c r="D88" i="4" s="1"/>
  <c r="F56" i="4"/>
  <c r="F79" i="4" s="1"/>
  <c r="F44" i="4"/>
  <c r="F45" i="4"/>
  <c r="F46" i="4"/>
  <c r="F69" i="4" s="1"/>
  <c r="F47" i="4"/>
  <c r="F48" i="4"/>
  <c r="F71" i="4" s="1"/>
  <c r="F49" i="4"/>
  <c r="F72" i="4" s="1"/>
  <c r="F55" i="4"/>
  <c r="F51" i="4"/>
  <c r="F74" i="4" s="1"/>
  <c r="F52" i="4"/>
  <c r="F75" i="4" s="1"/>
  <c r="F53" i="4"/>
  <c r="F76" i="4" s="1"/>
  <c r="E7" i="4"/>
  <c r="E7" i="10"/>
  <c r="F74" i="3"/>
  <c r="F72" i="3"/>
  <c r="E63" i="3"/>
  <c r="E20" i="6" s="1"/>
  <c r="G11" i="3"/>
  <c r="D20" i="3"/>
  <c r="F6" i="3"/>
  <c r="F7" i="6" s="1"/>
  <c r="F19" i="3"/>
  <c r="D26" i="3"/>
  <c r="D29" i="3" s="1"/>
  <c r="D11" i="4" s="1"/>
  <c r="D105" i="3"/>
  <c r="F11" i="3"/>
  <c r="I10" i="3"/>
  <c r="H11" i="3"/>
  <c r="D14" i="3"/>
  <c r="E9" i="3" s="1"/>
  <c r="E13" i="3" s="1"/>
  <c r="D34" i="3"/>
  <c r="E82" i="3"/>
  <c r="E41" i="3"/>
  <c r="F33" i="3"/>
  <c r="E25" i="3"/>
  <c r="G5" i="3"/>
  <c r="F76" i="10" l="1"/>
  <c r="F77" i="10"/>
  <c r="F22" i="10"/>
  <c r="F51" i="6"/>
  <c r="F52" i="6"/>
  <c r="F55" i="6"/>
  <c r="G6" i="4"/>
  <c r="G56" i="4" s="1"/>
  <c r="G79" i="4" s="1"/>
  <c r="G6" i="6"/>
  <c r="G6" i="10"/>
  <c r="E54" i="10"/>
  <c r="E81" i="10" s="1"/>
  <c r="D106" i="3"/>
  <c r="B30" i="7"/>
  <c r="C80" i="9" s="1" a="1"/>
  <c r="C80" i="9" s="1"/>
  <c r="C82" i="9" s="1"/>
  <c r="D81" i="10"/>
  <c r="F19" i="10"/>
  <c r="F51" i="10" s="1"/>
  <c r="F53" i="10" s="1"/>
  <c r="F54" i="10" s="1"/>
  <c r="F58" i="10" s="1"/>
  <c r="F34" i="6" s="1"/>
  <c r="D50" i="5"/>
  <c r="D90" i="4"/>
  <c r="D96" i="4" s="1"/>
  <c r="D48" i="6" s="1"/>
  <c r="D87" i="4"/>
  <c r="D91" i="4" s="1"/>
  <c r="D97" i="4" s="1"/>
  <c r="D49" i="6" s="1"/>
  <c r="D21" i="3"/>
  <c r="D48" i="3" s="1"/>
  <c r="B48" i="5"/>
  <c r="B51" i="5" s="1"/>
  <c r="B55" i="5" s="1"/>
  <c r="G17" i="3"/>
  <c r="E59" i="6"/>
  <c r="D58" i="3"/>
  <c r="D22" i="6"/>
  <c r="G18" i="3"/>
  <c r="G33" i="3" s="1"/>
  <c r="D49" i="5"/>
  <c r="E103" i="4"/>
  <c r="E104" i="4" s="1"/>
  <c r="E105" i="4" s="1"/>
  <c r="E106" i="4" s="1"/>
  <c r="E107" i="4" s="1"/>
  <c r="E109" i="4" s="1"/>
  <c r="F78" i="4"/>
  <c r="F103" i="4"/>
  <c r="D114" i="4"/>
  <c r="D104" i="4"/>
  <c r="D105" i="4" s="1"/>
  <c r="D106" i="4" s="1"/>
  <c r="D107" i="4" s="1"/>
  <c r="D109" i="4" s="1"/>
  <c r="E78" i="4"/>
  <c r="D92" i="4"/>
  <c r="D98" i="4" s="1"/>
  <c r="F60" i="4"/>
  <c r="F41" i="6" s="1"/>
  <c r="F70" i="4"/>
  <c r="F68" i="4"/>
  <c r="F86" i="4" s="1"/>
  <c r="F59" i="4"/>
  <c r="F40" i="6" s="1"/>
  <c r="G46" i="4"/>
  <c r="G69" i="4" s="1"/>
  <c r="G48" i="4"/>
  <c r="G71" i="4" s="1"/>
  <c r="G49" i="4"/>
  <c r="G72" i="4" s="1"/>
  <c r="G51" i="4"/>
  <c r="G74" i="4" s="1"/>
  <c r="F67" i="4"/>
  <c r="F88" i="4" s="1"/>
  <c r="F61" i="4"/>
  <c r="F43" i="6" s="1"/>
  <c r="E60" i="4"/>
  <c r="E41" i="6" s="1"/>
  <c r="E70" i="4"/>
  <c r="E59" i="4"/>
  <c r="E40" i="6" s="1"/>
  <c r="E68" i="4"/>
  <c r="E86" i="4" s="1"/>
  <c r="E67" i="4"/>
  <c r="E88" i="4" s="1"/>
  <c r="E61" i="4"/>
  <c r="E43" i="6" s="1"/>
  <c r="F7" i="4"/>
  <c r="F7" i="10"/>
  <c r="F63" i="3"/>
  <c r="F20" i="6" s="1"/>
  <c r="F14" i="4"/>
  <c r="F108" i="4" s="1"/>
  <c r="E84" i="3"/>
  <c r="E85" i="3" s="1"/>
  <c r="E92" i="3" s="1"/>
  <c r="D56" i="3"/>
  <c r="G74" i="3"/>
  <c r="G72" i="3"/>
  <c r="E40" i="3"/>
  <c r="E43" i="3" s="1"/>
  <c r="D117" i="3"/>
  <c r="D112" i="3"/>
  <c r="D110" i="3"/>
  <c r="D54" i="3"/>
  <c r="G6" i="3"/>
  <c r="G7" i="6" s="1"/>
  <c r="G19" i="3"/>
  <c r="I11" i="3"/>
  <c r="J10" i="3"/>
  <c r="E12" i="3"/>
  <c r="D115" i="3"/>
  <c r="E24" i="3"/>
  <c r="F82" i="3"/>
  <c r="F41" i="3"/>
  <c r="F25" i="3"/>
  <c r="D37" i="3"/>
  <c r="D12" i="4" s="1"/>
  <c r="H5" i="3"/>
  <c r="G47" i="4" l="1"/>
  <c r="G44" i="4"/>
  <c r="G55" i="4"/>
  <c r="G52" i="4"/>
  <c r="G75" i="4" s="1"/>
  <c r="G52" i="6"/>
  <c r="G55" i="6"/>
  <c r="G51" i="6"/>
  <c r="G53" i="4"/>
  <c r="G76" i="4" s="1"/>
  <c r="G45" i="4"/>
  <c r="H6" i="4"/>
  <c r="H6" i="6"/>
  <c r="H6" i="10"/>
  <c r="G76" i="10"/>
  <c r="G22" i="10"/>
  <c r="G77" i="10"/>
  <c r="E58" i="10"/>
  <c r="E34" i="6" s="1"/>
  <c r="D24" i="6"/>
  <c r="BK29" i="11" s="1" a="1"/>
  <c r="BK29" i="11" s="1"/>
  <c r="BJ29" i="11" a="1"/>
  <c r="BJ29" i="11" s="1"/>
  <c r="F59" i="6"/>
  <c r="E87" i="4"/>
  <c r="F81" i="10"/>
  <c r="F90" i="4"/>
  <c r="F96" i="4" s="1"/>
  <c r="F48" i="6" s="1"/>
  <c r="H17" i="3"/>
  <c r="H18" i="3"/>
  <c r="H33" i="3" s="1"/>
  <c r="E49" i="5"/>
  <c r="D99" i="4"/>
  <c r="D50" i="6"/>
  <c r="D60" i="6" s="1"/>
  <c r="D64" i="6" s="1"/>
  <c r="G19" i="10"/>
  <c r="G51" i="10" s="1"/>
  <c r="G53" i="10" s="1"/>
  <c r="G54" i="10" s="1"/>
  <c r="E50" i="5"/>
  <c r="E114" i="4"/>
  <c r="D10" i="10"/>
  <c r="D34" i="10" s="1"/>
  <c r="D12" i="10"/>
  <c r="D70" i="6"/>
  <c r="E16" i="10"/>
  <c r="E55" i="10" s="1"/>
  <c r="E12" i="6"/>
  <c r="E71" i="6" s="1"/>
  <c r="F87" i="4"/>
  <c r="F91" i="4" s="1"/>
  <c r="F97" i="4" s="1"/>
  <c r="F49" i="6" s="1"/>
  <c r="F114" i="4"/>
  <c r="F104" i="4"/>
  <c r="F105" i="4" s="1"/>
  <c r="F106" i="4" s="1"/>
  <c r="F107" i="4" s="1"/>
  <c r="F109" i="4" s="1"/>
  <c r="G78" i="4"/>
  <c r="F92" i="4"/>
  <c r="F98" i="4" s="1"/>
  <c r="E90" i="4"/>
  <c r="E96" i="4" s="1"/>
  <c r="E92" i="4"/>
  <c r="E98" i="4" s="1"/>
  <c r="E50" i="6" s="1"/>
  <c r="E91" i="4"/>
  <c r="E97" i="4" s="1"/>
  <c r="E49" i="6" s="1"/>
  <c r="H46" i="4"/>
  <c r="H69" i="4" s="1"/>
  <c r="H47" i="4"/>
  <c r="H48" i="4"/>
  <c r="H71" i="4" s="1"/>
  <c r="H49" i="4"/>
  <c r="H72" i="4" s="1"/>
  <c r="H51" i="4"/>
  <c r="H74" i="4" s="1"/>
  <c r="H52" i="4"/>
  <c r="H75" i="4" s="1"/>
  <c r="H53" i="4"/>
  <c r="H76" i="4" s="1"/>
  <c r="H55" i="4"/>
  <c r="H56" i="4"/>
  <c r="H79" i="4" s="1"/>
  <c r="H44" i="4"/>
  <c r="H45" i="4"/>
  <c r="G60" i="4"/>
  <c r="G41" i="6" s="1"/>
  <c r="G70" i="4"/>
  <c r="G68" i="4"/>
  <c r="G86" i="4" s="1"/>
  <c r="G59" i="4"/>
  <c r="G40" i="6" s="1"/>
  <c r="G67" i="4"/>
  <c r="G88" i="4" s="1"/>
  <c r="G61" i="4"/>
  <c r="G43" i="6" s="1"/>
  <c r="G63" i="3"/>
  <c r="G20" i="6" s="1"/>
  <c r="G14" i="4"/>
  <c r="G108" i="4" s="1"/>
  <c r="G7" i="4"/>
  <c r="G7" i="10"/>
  <c r="F84" i="3"/>
  <c r="F85" i="3" s="1"/>
  <c r="F92" i="3" s="1"/>
  <c r="H74" i="3"/>
  <c r="H72" i="3"/>
  <c r="E27" i="3"/>
  <c r="E28" i="3"/>
  <c r="E14" i="3"/>
  <c r="F9" i="3" s="1"/>
  <c r="E64" i="3"/>
  <c r="BG30" i="11" s="1" a="1"/>
  <c r="BG30" i="11" s="1"/>
  <c r="D111" i="3"/>
  <c r="D55" i="3"/>
  <c r="H6" i="3"/>
  <c r="H7" i="6" s="1"/>
  <c r="H19" i="3"/>
  <c r="J11" i="3"/>
  <c r="K10" i="3"/>
  <c r="E20" i="3"/>
  <c r="E105" i="3"/>
  <c r="E26" i="3"/>
  <c r="G82" i="3"/>
  <c r="G41" i="3"/>
  <c r="I5" i="3"/>
  <c r="D50" i="3"/>
  <c r="D116" i="3"/>
  <c r="E32" i="3"/>
  <c r="E36" i="3" s="1"/>
  <c r="G25" i="3"/>
  <c r="G103" i="4" l="1"/>
  <c r="I6" i="4"/>
  <c r="I6" i="6"/>
  <c r="I6" i="10"/>
  <c r="H52" i="6"/>
  <c r="H55" i="6"/>
  <c r="H51" i="6"/>
  <c r="G87" i="4"/>
  <c r="G91" i="4" s="1"/>
  <c r="G97" i="4" s="1"/>
  <c r="G49" i="6" s="1"/>
  <c r="H76" i="10"/>
  <c r="H77" i="10"/>
  <c r="H22" i="10"/>
  <c r="G59" i="6"/>
  <c r="I18" i="3"/>
  <c r="F49" i="5"/>
  <c r="H19" i="10"/>
  <c r="H51" i="10" s="1"/>
  <c r="H53" i="10" s="1"/>
  <c r="H54" i="10" s="1"/>
  <c r="F50" i="5"/>
  <c r="E99" i="4"/>
  <c r="E48" i="6"/>
  <c r="F99" i="4"/>
  <c r="F50" i="6"/>
  <c r="F60" i="6" s="1"/>
  <c r="F64" i="6" s="1"/>
  <c r="F16" i="10"/>
  <c r="F55" i="10" s="1"/>
  <c r="F12" i="6"/>
  <c r="F71" i="6" s="1"/>
  <c r="E21" i="3"/>
  <c r="E48" i="3" s="1"/>
  <c r="C48" i="5"/>
  <c r="C51" i="5" s="1"/>
  <c r="C55" i="5" s="1"/>
  <c r="I17" i="3"/>
  <c r="H103" i="4"/>
  <c r="H114" i="4" s="1"/>
  <c r="H78" i="4"/>
  <c r="D57" i="3"/>
  <c r="D11" i="10"/>
  <c r="D35" i="10" s="1"/>
  <c r="D36" i="10" s="1"/>
  <c r="D38" i="10" s="1"/>
  <c r="G58" i="10"/>
  <c r="G34" i="6" s="1"/>
  <c r="G81" i="10"/>
  <c r="G104" i="4"/>
  <c r="G105" i="4" s="1"/>
  <c r="G106" i="4" s="1"/>
  <c r="G107" i="4" s="1"/>
  <c r="G109" i="4" s="1"/>
  <c r="G114" i="4"/>
  <c r="G92" i="4"/>
  <c r="G98" i="4" s="1"/>
  <c r="G50" i="6" s="1"/>
  <c r="G90" i="4"/>
  <c r="G96" i="4" s="1"/>
  <c r="G48" i="6" s="1"/>
  <c r="H68" i="4"/>
  <c r="H86" i="4" s="1"/>
  <c r="H59" i="4"/>
  <c r="H40" i="6" s="1"/>
  <c r="H67" i="4"/>
  <c r="H88" i="4" s="1"/>
  <c r="H61" i="4"/>
  <c r="H43" i="6" s="1"/>
  <c r="H70" i="4"/>
  <c r="H60" i="4"/>
  <c r="H41" i="6" s="1"/>
  <c r="I47" i="4"/>
  <c r="I48" i="4"/>
  <c r="I71" i="4" s="1"/>
  <c r="I49" i="4"/>
  <c r="I72" i="4" s="1"/>
  <c r="I51" i="4"/>
  <c r="I74" i="4" s="1"/>
  <c r="I52" i="4"/>
  <c r="I75" i="4" s="1"/>
  <c r="I53" i="4"/>
  <c r="I76" i="4" s="1"/>
  <c r="I55" i="4"/>
  <c r="I56" i="4"/>
  <c r="I79" i="4" s="1"/>
  <c r="I44" i="4"/>
  <c r="I45" i="4"/>
  <c r="I46" i="4"/>
  <c r="I69" i="4" s="1"/>
  <c r="H63" i="3"/>
  <c r="H20" i="6" s="1"/>
  <c r="H14" i="4"/>
  <c r="H108" i="4" s="1"/>
  <c r="H7" i="4"/>
  <c r="H7" i="10"/>
  <c r="G84" i="3"/>
  <c r="G85" i="3" s="1"/>
  <c r="G92" i="3" s="1"/>
  <c r="D73" i="3"/>
  <c r="D75" i="3" s="1"/>
  <c r="D78" i="3" s="1"/>
  <c r="I74" i="3"/>
  <c r="I72" i="3"/>
  <c r="E66" i="3"/>
  <c r="E23" i="6" s="1"/>
  <c r="BI30" i="11" s="1" a="1"/>
  <c r="BI30" i="11" s="1"/>
  <c r="I6" i="3"/>
  <c r="I7" i="6" s="1"/>
  <c r="I19" i="3"/>
  <c r="F12" i="3"/>
  <c r="F64" i="3" s="1"/>
  <c r="BG31" i="11" s="1" a="1"/>
  <c r="BG31" i="11" s="1"/>
  <c r="F13" i="3"/>
  <c r="E47" i="3"/>
  <c r="E35" i="3"/>
  <c r="E42" i="3" s="1"/>
  <c r="K11" i="3"/>
  <c r="L10" i="3"/>
  <c r="E29" i="3"/>
  <c r="E11" i="4" s="1"/>
  <c r="D100" i="3"/>
  <c r="B56" i="5" s="1"/>
  <c r="E34" i="3"/>
  <c r="I33" i="3"/>
  <c r="H25" i="3"/>
  <c r="J5" i="3"/>
  <c r="H82" i="3"/>
  <c r="H41" i="3"/>
  <c r="J6" i="4" l="1"/>
  <c r="J6" i="6"/>
  <c r="J6" i="10"/>
  <c r="I77" i="10"/>
  <c r="I22" i="10"/>
  <c r="I52" i="6"/>
  <c r="I55" i="6"/>
  <c r="I51" i="6"/>
  <c r="H90" i="4"/>
  <c r="H96" i="4" s="1"/>
  <c r="H48" i="6" s="1"/>
  <c r="H59" i="6"/>
  <c r="H87" i="4"/>
  <c r="H91" i="4" s="1"/>
  <c r="H97" i="4" s="1"/>
  <c r="G16" i="10"/>
  <c r="G55" i="10" s="1"/>
  <c r="G12" i="6"/>
  <c r="G71" i="6" s="1"/>
  <c r="J18" i="3"/>
  <c r="J33" i="3" s="1"/>
  <c r="G49" i="5"/>
  <c r="G60" i="6"/>
  <c r="G64" i="6" s="1"/>
  <c r="D14" i="10"/>
  <c r="D23" i="10" s="1"/>
  <c r="D24" i="10" s="1"/>
  <c r="D29" i="6" s="1"/>
  <c r="D11" i="6"/>
  <c r="D69" i="6" s="1"/>
  <c r="D72" i="6" s="1"/>
  <c r="D61" i="10"/>
  <c r="D31" i="6"/>
  <c r="I19" i="10"/>
  <c r="I51" i="10" s="1"/>
  <c r="I53" i="10" s="1"/>
  <c r="I54" i="10" s="1"/>
  <c r="G50" i="5"/>
  <c r="H92" i="4"/>
  <c r="H98" i="4" s="1"/>
  <c r="H50" i="6" s="1"/>
  <c r="H104" i="4"/>
  <c r="H105" i="4" s="1"/>
  <c r="H106" i="4" s="1"/>
  <c r="H107" i="4" s="1"/>
  <c r="H109" i="4" s="1"/>
  <c r="J17" i="3"/>
  <c r="E60" i="6"/>
  <c r="E64" i="6" s="1"/>
  <c r="G99" i="4"/>
  <c r="I103" i="4"/>
  <c r="D10" i="4"/>
  <c r="D18" i="10"/>
  <c r="I78" i="4"/>
  <c r="H58" i="10"/>
  <c r="H34" i="6" s="1"/>
  <c r="H81" i="10"/>
  <c r="I70" i="4"/>
  <c r="I60" i="4"/>
  <c r="I41" i="6" s="1"/>
  <c r="I68" i="4"/>
  <c r="I86" i="4" s="1"/>
  <c r="I59" i="4"/>
  <c r="I40" i="6" s="1"/>
  <c r="J48" i="4"/>
  <c r="J71" i="4" s="1"/>
  <c r="J49" i="4"/>
  <c r="J72" i="4" s="1"/>
  <c r="J51" i="4"/>
  <c r="J74" i="4" s="1"/>
  <c r="J52" i="4"/>
  <c r="J75" i="4" s="1"/>
  <c r="J53" i="4"/>
  <c r="J76" i="4" s="1"/>
  <c r="J55" i="4"/>
  <c r="J56" i="4"/>
  <c r="J79" i="4" s="1"/>
  <c r="J44" i="4"/>
  <c r="J45" i="4"/>
  <c r="J46" i="4"/>
  <c r="J69" i="4" s="1"/>
  <c r="J47" i="4"/>
  <c r="I67" i="4"/>
  <c r="I88" i="4" s="1"/>
  <c r="I61" i="4"/>
  <c r="I43" i="6" s="1"/>
  <c r="I63" i="3"/>
  <c r="I20" i="6" s="1"/>
  <c r="I14" i="4"/>
  <c r="I108" i="4" s="1"/>
  <c r="I7" i="4"/>
  <c r="I7" i="10"/>
  <c r="F24" i="3"/>
  <c r="F27" i="3" s="1"/>
  <c r="H84" i="3"/>
  <c r="H85" i="3" s="1"/>
  <c r="H92" i="3" s="1"/>
  <c r="J74" i="3"/>
  <c r="J72" i="3"/>
  <c r="F14" i="3"/>
  <c r="G9" i="3" s="1"/>
  <c r="G13" i="3" s="1"/>
  <c r="F20" i="3"/>
  <c r="E115" i="3"/>
  <c r="E65" i="3"/>
  <c r="E21" i="6" s="1"/>
  <c r="BH30" i="11" s="1" a="1"/>
  <c r="BH30" i="11" s="1"/>
  <c r="E110" i="3"/>
  <c r="E54" i="3"/>
  <c r="F105" i="3"/>
  <c r="J6" i="3"/>
  <c r="J7" i="6" s="1"/>
  <c r="J19" i="3"/>
  <c r="F26" i="3"/>
  <c r="L11" i="3"/>
  <c r="M10" i="3"/>
  <c r="E37" i="3"/>
  <c r="E12" i="4" s="1"/>
  <c r="E49" i="3"/>
  <c r="E51" i="3" s="1"/>
  <c r="I82" i="3"/>
  <c r="I41" i="3"/>
  <c r="K5" i="3"/>
  <c r="D90" i="3"/>
  <c r="I25" i="3"/>
  <c r="E44" i="3"/>
  <c r="E13" i="4" s="1"/>
  <c r="J77" i="10" l="1"/>
  <c r="J76" i="10"/>
  <c r="J22" i="10"/>
  <c r="K6" i="4"/>
  <c r="K52" i="4" s="1"/>
  <c r="K75" i="4" s="1"/>
  <c r="K6" i="6"/>
  <c r="K6" i="10"/>
  <c r="J51" i="6"/>
  <c r="J55" i="6"/>
  <c r="J52" i="6"/>
  <c r="E106" i="3"/>
  <c r="C30" i="7"/>
  <c r="D80" i="9" s="1" a="1"/>
  <c r="D80" i="9" s="1"/>
  <c r="D82" i="9" s="1"/>
  <c r="D83" i="9" s="1"/>
  <c r="D84" i="9" s="1"/>
  <c r="I92" i="4"/>
  <c r="I98" i="4" s="1"/>
  <c r="I50" i="6" s="1"/>
  <c r="I87" i="4"/>
  <c r="I91" i="4" s="1"/>
  <c r="I97" i="4" s="1"/>
  <c r="I49" i="6" s="1"/>
  <c r="I90" i="4"/>
  <c r="I96" i="4" s="1"/>
  <c r="I48" i="6" s="1"/>
  <c r="F28" i="3"/>
  <c r="E10" i="10"/>
  <c r="E34" i="10" s="1"/>
  <c r="H16" i="10"/>
  <c r="H55" i="10" s="1"/>
  <c r="H12" i="6"/>
  <c r="H71" i="6" s="1"/>
  <c r="J103" i="4"/>
  <c r="J114" i="4" s="1"/>
  <c r="D59" i="10"/>
  <c r="H99" i="4"/>
  <c r="H49" i="6"/>
  <c r="D79" i="10"/>
  <c r="K18" i="3"/>
  <c r="K33" i="3" s="1"/>
  <c r="H49" i="5"/>
  <c r="F21" i="3"/>
  <c r="F48" i="3" s="1"/>
  <c r="D48" i="5"/>
  <c r="J19" i="10"/>
  <c r="J51" i="10" s="1"/>
  <c r="J53" i="10" s="1"/>
  <c r="J54" i="10" s="1"/>
  <c r="H50" i="5"/>
  <c r="I59" i="6"/>
  <c r="K17" i="3"/>
  <c r="J78" i="4"/>
  <c r="I81" i="10"/>
  <c r="I58" i="10"/>
  <c r="I34" i="6" s="1"/>
  <c r="D29" i="10"/>
  <c r="D30" i="10" s="1"/>
  <c r="D31" i="10" s="1"/>
  <c r="D60" i="10" s="1"/>
  <c r="D30" i="6" s="1"/>
  <c r="D41" i="10"/>
  <c r="D43" i="10" s="1"/>
  <c r="I104" i="4"/>
  <c r="I105" i="4" s="1"/>
  <c r="I106" i="4" s="1"/>
  <c r="I107" i="4" s="1"/>
  <c r="I109" i="4" s="1"/>
  <c r="I114" i="4"/>
  <c r="K49" i="4"/>
  <c r="K72" i="4" s="1"/>
  <c r="K51" i="4"/>
  <c r="K74" i="4" s="1"/>
  <c r="K56" i="4"/>
  <c r="K79" i="4" s="1"/>
  <c r="K44" i="4"/>
  <c r="K45" i="4"/>
  <c r="K46" i="4"/>
  <c r="K69" i="4" s="1"/>
  <c r="K47" i="4"/>
  <c r="J70" i="4"/>
  <c r="J60" i="4"/>
  <c r="J41" i="6" s="1"/>
  <c r="J68" i="4"/>
  <c r="J86" i="4" s="1"/>
  <c r="J59" i="4"/>
  <c r="J40" i="6" s="1"/>
  <c r="J67" i="4"/>
  <c r="J88" i="4" s="1"/>
  <c r="J61" i="4"/>
  <c r="J43" i="6" s="1"/>
  <c r="J63" i="3"/>
  <c r="J20" i="6" s="1"/>
  <c r="J14" i="4"/>
  <c r="J108" i="4" s="1"/>
  <c r="J7" i="4"/>
  <c r="J7" i="10"/>
  <c r="G12" i="3"/>
  <c r="G64" i="3" s="1"/>
  <c r="BG32" i="11" s="1" a="1"/>
  <c r="BG32" i="11" s="1"/>
  <c r="I84" i="3"/>
  <c r="I85" i="3" s="1"/>
  <c r="I92" i="3" s="1"/>
  <c r="K74" i="3"/>
  <c r="K72" i="3"/>
  <c r="K6" i="3"/>
  <c r="K7" i="6" s="1"/>
  <c r="K19" i="3"/>
  <c r="E111" i="3"/>
  <c r="E55" i="3"/>
  <c r="E11" i="10" s="1"/>
  <c r="E35" i="10" s="1"/>
  <c r="E112" i="3"/>
  <c r="E56" i="3"/>
  <c r="M11" i="3"/>
  <c r="N10" i="3"/>
  <c r="F34" i="3"/>
  <c r="J25" i="3"/>
  <c r="D96" i="3"/>
  <c r="E117" i="3"/>
  <c r="F40" i="3"/>
  <c r="F43" i="3" s="1"/>
  <c r="L5" i="3"/>
  <c r="J82" i="3"/>
  <c r="J41" i="3"/>
  <c r="F29" i="3"/>
  <c r="F11" i="4" s="1"/>
  <c r="E116" i="3"/>
  <c r="F32" i="3"/>
  <c r="E50" i="3"/>
  <c r="K55" i="4" l="1"/>
  <c r="K53" i="4"/>
  <c r="K76" i="4" s="1"/>
  <c r="K48" i="4"/>
  <c r="K71" i="4" s="1"/>
  <c r="K77" i="10"/>
  <c r="K76" i="10"/>
  <c r="K22" i="10"/>
  <c r="L6" i="4"/>
  <c r="L45" i="4" s="1"/>
  <c r="L6" i="6"/>
  <c r="L6" i="10"/>
  <c r="K52" i="6"/>
  <c r="K55" i="6"/>
  <c r="K51" i="6"/>
  <c r="J87" i="4"/>
  <c r="J91" i="4" s="1"/>
  <c r="J97" i="4" s="1"/>
  <c r="J49" i="6" s="1"/>
  <c r="J90" i="4"/>
  <c r="J96" i="4" s="1"/>
  <c r="J48" i="6" s="1"/>
  <c r="E36" i="10"/>
  <c r="E38" i="10" s="1"/>
  <c r="E61" i="10" s="1"/>
  <c r="K103" i="4"/>
  <c r="K114" i="4" s="1"/>
  <c r="I99" i="4"/>
  <c r="I60" i="6"/>
  <c r="I64" i="6" s="1"/>
  <c r="J104" i="4"/>
  <c r="J105" i="4" s="1"/>
  <c r="J106" i="4" s="1"/>
  <c r="J107" i="4" s="1"/>
  <c r="J109" i="4" s="1"/>
  <c r="H60" i="6"/>
  <c r="H64" i="6" s="1"/>
  <c r="L17" i="3"/>
  <c r="D51" i="5"/>
  <c r="D55" i="5" s="1"/>
  <c r="K19" i="10"/>
  <c r="K51" i="10" s="1"/>
  <c r="K53" i="10" s="1"/>
  <c r="K54" i="10" s="1"/>
  <c r="I50" i="5"/>
  <c r="D62" i="10"/>
  <c r="D32" i="6"/>
  <c r="L18" i="3"/>
  <c r="I49" i="5"/>
  <c r="J59" i="6"/>
  <c r="E12" i="10"/>
  <c r="E70" i="6"/>
  <c r="J92" i="4"/>
  <c r="J98" i="4" s="1"/>
  <c r="J50" i="6" s="1"/>
  <c r="I16" i="10"/>
  <c r="I55" i="10" s="1"/>
  <c r="I12" i="6"/>
  <c r="I71" i="6" s="1"/>
  <c r="G105" i="3"/>
  <c r="G26" i="3"/>
  <c r="K78" i="4"/>
  <c r="J81" i="10"/>
  <c r="J58" i="10"/>
  <c r="J34" i="6" s="1"/>
  <c r="K70" i="4"/>
  <c r="K60" i="4"/>
  <c r="K41" i="6" s="1"/>
  <c r="L44" i="4"/>
  <c r="L49" i="4"/>
  <c r="L72" i="4" s="1"/>
  <c r="K68" i="4"/>
  <c r="K86" i="4" s="1"/>
  <c r="K59" i="4"/>
  <c r="K40" i="6" s="1"/>
  <c r="K67" i="4"/>
  <c r="K88" i="4" s="1"/>
  <c r="K61" i="4"/>
  <c r="K43" i="6" s="1"/>
  <c r="G20" i="3"/>
  <c r="K63" i="3"/>
  <c r="K20" i="6" s="1"/>
  <c r="K14" i="4"/>
  <c r="K108" i="4" s="1"/>
  <c r="K7" i="4"/>
  <c r="K7" i="10"/>
  <c r="G14" i="3"/>
  <c r="H9" i="3" s="1"/>
  <c r="H12" i="3" s="1"/>
  <c r="H64" i="3" s="1"/>
  <c r="BG33" i="11" s="1" a="1"/>
  <c r="BG33" i="11" s="1"/>
  <c r="J84" i="3"/>
  <c r="J85" i="3" s="1"/>
  <c r="J92" i="3" s="1"/>
  <c r="L72" i="3"/>
  <c r="L74" i="3"/>
  <c r="F110" i="3"/>
  <c r="F54" i="3"/>
  <c r="L19" i="3"/>
  <c r="L6" i="3"/>
  <c r="L7" i="6" s="1"/>
  <c r="F35" i="3"/>
  <c r="F65" i="3" s="1"/>
  <c r="F21" i="6" s="1"/>
  <c r="BH31" i="11" s="1" a="1"/>
  <c r="BH31" i="11" s="1"/>
  <c r="F36" i="3"/>
  <c r="F66" i="3" s="1"/>
  <c r="F23" i="6" s="1"/>
  <c r="BI31" i="11" s="1" a="1"/>
  <c r="BI31" i="11" s="1"/>
  <c r="N11" i="3"/>
  <c r="O10" i="3"/>
  <c r="E57" i="3"/>
  <c r="K25" i="3"/>
  <c r="E73" i="3"/>
  <c r="E75" i="3" s="1"/>
  <c r="E78" i="3" s="1"/>
  <c r="E100" i="3"/>
  <c r="C56" i="5" s="1"/>
  <c r="F47" i="3"/>
  <c r="K82" i="3"/>
  <c r="K41" i="3"/>
  <c r="F115" i="3"/>
  <c r="G24" i="3"/>
  <c r="M5" i="3"/>
  <c r="L55" i="4" l="1"/>
  <c r="L56" i="4"/>
  <c r="L79" i="4" s="1"/>
  <c r="L48" i="4"/>
  <c r="L71" i="4" s="1"/>
  <c r="L53" i="4"/>
  <c r="L76" i="4" s="1"/>
  <c r="L47" i="4"/>
  <c r="L52" i="4"/>
  <c r="L75" i="4" s="1"/>
  <c r="L46" i="4"/>
  <c r="L69" i="4" s="1"/>
  <c r="L51" i="4"/>
  <c r="L74" i="4" s="1"/>
  <c r="L77" i="10"/>
  <c r="L76" i="10"/>
  <c r="L22" i="10"/>
  <c r="L55" i="6"/>
  <c r="L51" i="6"/>
  <c r="L52" i="6"/>
  <c r="E31" i="6"/>
  <c r="M6" i="4"/>
  <c r="M53" i="4" s="1"/>
  <c r="M76" i="4" s="1"/>
  <c r="M6" i="6"/>
  <c r="M6" i="10"/>
  <c r="K104" i="4"/>
  <c r="K105" i="4" s="1"/>
  <c r="K106" i="4" s="1"/>
  <c r="K107" i="4" s="1"/>
  <c r="K109" i="4" s="1"/>
  <c r="K92" i="4"/>
  <c r="K98" i="4" s="1"/>
  <c r="K50" i="6" s="1"/>
  <c r="F10" i="10"/>
  <c r="F34" i="10" s="1"/>
  <c r="M18" i="3"/>
  <c r="M33" i="3" s="1"/>
  <c r="J49" i="5"/>
  <c r="M17" i="3"/>
  <c r="L19" i="10"/>
  <c r="L51" i="10" s="1"/>
  <c r="L53" i="10" s="1"/>
  <c r="L54" i="10" s="1"/>
  <c r="J50" i="5"/>
  <c r="K59" i="6"/>
  <c r="G21" i="3"/>
  <c r="G48" i="3" s="1"/>
  <c r="E48" i="5"/>
  <c r="L33" i="3"/>
  <c r="K87" i="4"/>
  <c r="K91" i="4" s="1"/>
  <c r="K97" i="4" s="1"/>
  <c r="K49" i="6" s="1"/>
  <c r="J16" i="10"/>
  <c r="J55" i="10" s="1"/>
  <c r="J12" i="6"/>
  <c r="J71" i="6" s="1"/>
  <c r="J60" i="6"/>
  <c r="J64" i="6" s="1"/>
  <c r="J99" i="4"/>
  <c r="E14" i="10"/>
  <c r="E23" i="10" s="1"/>
  <c r="E24" i="10" s="1"/>
  <c r="E29" i="6" s="1"/>
  <c r="E11" i="6"/>
  <c r="E69" i="6" s="1"/>
  <c r="E72" i="6" s="1"/>
  <c r="L103" i="4"/>
  <c r="L114" i="4" s="1"/>
  <c r="H13" i="3"/>
  <c r="H14" i="3" s="1"/>
  <c r="I9" i="3" s="1"/>
  <c r="I13" i="3" s="1"/>
  <c r="K90" i="4"/>
  <c r="K96" i="4" s="1"/>
  <c r="E10" i="4"/>
  <c r="E18" i="10"/>
  <c r="K58" i="10"/>
  <c r="K34" i="6" s="1"/>
  <c r="K81" i="10"/>
  <c r="L78" i="4"/>
  <c r="L68" i="4"/>
  <c r="L86" i="4" s="1"/>
  <c r="L67" i="4"/>
  <c r="L88" i="4" s="1"/>
  <c r="L61" i="4"/>
  <c r="L43" i="6" s="1"/>
  <c r="L70" i="4"/>
  <c r="L60" i="4"/>
  <c r="L41" i="6" s="1"/>
  <c r="H105" i="3"/>
  <c r="H20" i="3"/>
  <c r="H26" i="3"/>
  <c r="L7" i="4"/>
  <c r="L7" i="10"/>
  <c r="L63" i="3"/>
  <c r="L20" i="6" s="1"/>
  <c r="L14" i="4"/>
  <c r="L108" i="4" s="1"/>
  <c r="K84" i="3"/>
  <c r="K85" i="3" s="1"/>
  <c r="K92" i="3" s="1"/>
  <c r="M72" i="3"/>
  <c r="M19" i="3"/>
  <c r="M6" i="3"/>
  <c r="M7" i="6" s="1"/>
  <c r="G27" i="3"/>
  <c r="G28" i="3"/>
  <c r="O11" i="3"/>
  <c r="P10" i="3"/>
  <c r="F37" i="3"/>
  <c r="F12" i="4" s="1"/>
  <c r="F42" i="3"/>
  <c r="E90" i="3"/>
  <c r="L82" i="3"/>
  <c r="L41" i="3"/>
  <c r="L25" i="3"/>
  <c r="N5" i="3"/>
  <c r="F49" i="3"/>
  <c r="F51" i="3" s="1"/>
  <c r="M52" i="4" l="1"/>
  <c r="M75" i="4" s="1"/>
  <c r="M48" i="4"/>
  <c r="M71" i="4" s="1"/>
  <c r="L59" i="4"/>
  <c r="L40" i="6" s="1"/>
  <c r="N6" i="4"/>
  <c r="N46" i="4" s="1"/>
  <c r="N69" i="4" s="1"/>
  <c r="N6" i="6"/>
  <c r="N6" i="10"/>
  <c r="M46" i="4"/>
  <c r="M69" i="4" s="1"/>
  <c r="M47" i="4"/>
  <c r="M70" i="4" s="1"/>
  <c r="M51" i="4"/>
  <c r="M74" i="4" s="1"/>
  <c r="M45" i="4"/>
  <c r="M68" i="4" s="1"/>
  <c r="M44" i="4"/>
  <c r="M67" i="4" s="1"/>
  <c r="M56" i="4"/>
  <c r="M79" i="4" s="1"/>
  <c r="M77" i="10"/>
  <c r="M76" i="10"/>
  <c r="M22" i="10"/>
  <c r="M55" i="4"/>
  <c r="M78" i="4" s="1"/>
  <c r="M49" i="4"/>
  <c r="M72" i="4" s="1"/>
  <c r="M51" i="6"/>
  <c r="M55" i="6"/>
  <c r="M52" i="6"/>
  <c r="L59" i="6"/>
  <c r="F106" i="3"/>
  <c r="D30" i="7"/>
  <c r="L87" i="4"/>
  <c r="L91" i="4" s="1"/>
  <c r="L97" i="4" s="1"/>
  <c r="L49" i="6" s="1"/>
  <c r="E79" i="10"/>
  <c r="I12" i="3"/>
  <c r="I64" i="3" s="1"/>
  <c r="BG34" i="11" s="1" a="1"/>
  <c r="BG34" i="11" s="1"/>
  <c r="L92" i="4"/>
  <c r="L98" i="4" s="1"/>
  <c r="L50" i="6" s="1"/>
  <c r="N17" i="3"/>
  <c r="E51" i="5"/>
  <c r="E55" i="5" s="1"/>
  <c r="K99" i="4"/>
  <c r="K48" i="6"/>
  <c r="E59" i="10"/>
  <c r="L104" i="4"/>
  <c r="L105" i="4" s="1"/>
  <c r="L106" i="4" s="1"/>
  <c r="L107" i="4" s="1"/>
  <c r="L109" i="4" s="1"/>
  <c r="N18" i="3"/>
  <c r="N33" i="3" s="1"/>
  <c r="K49" i="5"/>
  <c r="H21" i="3"/>
  <c r="H48" i="3" s="1"/>
  <c r="F48" i="5"/>
  <c r="K16" i="10"/>
  <c r="K55" i="10" s="1"/>
  <c r="K12" i="6"/>
  <c r="K71" i="6" s="1"/>
  <c r="M19" i="10"/>
  <c r="M51" i="10" s="1"/>
  <c r="M53" i="10" s="1"/>
  <c r="M54" i="10" s="1"/>
  <c r="K50" i="5"/>
  <c r="L90" i="4"/>
  <c r="L96" i="4" s="1"/>
  <c r="L48" i="6" s="1"/>
  <c r="E41" i="10"/>
  <c r="E43" i="10" s="1"/>
  <c r="E29" i="10"/>
  <c r="E30" i="10" s="1"/>
  <c r="E31" i="10" s="1"/>
  <c r="E60" i="10" s="1"/>
  <c r="E30" i="6" s="1"/>
  <c r="L58" i="10"/>
  <c r="L34" i="6" s="1"/>
  <c r="L81" i="10"/>
  <c r="M103" i="4"/>
  <c r="N52" i="4"/>
  <c r="N75" i="4" s="1"/>
  <c r="N53" i="4"/>
  <c r="N76" i="4" s="1"/>
  <c r="N55" i="4"/>
  <c r="N56" i="4"/>
  <c r="N79" i="4" s="1"/>
  <c r="N44" i="4"/>
  <c r="N45" i="4"/>
  <c r="N47" i="4"/>
  <c r="N48" i="4"/>
  <c r="N71" i="4" s="1"/>
  <c r="N49" i="4"/>
  <c r="N72" i="4" s="1"/>
  <c r="N51" i="4"/>
  <c r="N74" i="4" s="1"/>
  <c r="M7" i="4"/>
  <c r="M7" i="10"/>
  <c r="M63" i="3"/>
  <c r="M20" i="6" s="1"/>
  <c r="M14" i="4"/>
  <c r="M108" i="4" s="1"/>
  <c r="L84" i="3"/>
  <c r="L85" i="3" s="1"/>
  <c r="L92" i="3" s="1"/>
  <c r="F55" i="3"/>
  <c r="I14" i="3"/>
  <c r="J9" i="3" s="1"/>
  <c r="J13" i="3" s="1"/>
  <c r="N72" i="3"/>
  <c r="I20" i="3"/>
  <c r="N6" i="3"/>
  <c r="N7" i="6" s="1"/>
  <c r="N19" i="3"/>
  <c r="Q10" i="3"/>
  <c r="P11" i="3"/>
  <c r="G34" i="3"/>
  <c r="E96" i="3"/>
  <c r="M25" i="3"/>
  <c r="G29" i="3"/>
  <c r="G11" i="4" s="1"/>
  <c r="O5" i="3"/>
  <c r="F44" i="3"/>
  <c r="F13" i="4" s="1"/>
  <c r="M82" i="3"/>
  <c r="M41" i="3"/>
  <c r="F116" i="3"/>
  <c r="G32" i="3"/>
  <c r="F111" i="3"/>
  <c r="M59" i="4" l="1"/>
  <c r="M40" i="6" s="1"/>
  <c r="M60" i="4"/>
  <c r="M41" i="6" s="1"/>
  <c r="M88" i="4"/>
  <c r="M86" i="4"/>
  <c r="I105" i="3"/>
  <c r="M61" i="4"/>
  <c r="M43" i="6" s="1"/>
  <c r="I26" i="3"/>
  <c r="O6" i="4"/>
  <c r="O56" i="4" s="1"/>
  <c r="O79" i="4" s="1"/>
  <c r="O6" i="6"/>
  <c r="O6" i="10"/>
  <c r="N76" i="10"/>
  <c r="N77" i="10"/>
  <c r="N22" i="10"/>
  <c r="N52" i="6"/>
  <c r="N51" i="6"/>
  <c r="N55" i="6"/>
  <c r="M87" i="4"/>
  <c r="M91" i="4" s="1"/>
  <c r="M97" i="4" s="1"/>
  <c r="M49" i="6" s="1"/>
  <c r="E80" i="9" a="1"/>
  <c r="E80" i="9" s="1"/>
  <c r="E82" i="9" s="1"/>
  <c r="E83" i="9" s="1"/>
  <c r="E84" i="9" s="1"/>
  <c r="B22" i="9" a="1"/>
  <c r="B22" i="9" s="1"/>
  <c r="M90" i="4"/>
  <c r="M96" i="4" s="1"/>
  <c r="M48" i="6" s="1"/>
  <c r="M59" i="6"/>
  <c r="M92" i="4"/>
  <c r="M98" i="4" s="1"/>
  <c r="M50" i="6" s="1"/>
  <c r="L99" i="4"/>
  <c r="K60" i="6"/>
  <c r="K64" i="6" s="1"/>
  <c r="I21" i="3"/>
  <c r="I48" i="3" s="1"/>
  <c r="G48" i="5"/>
  <c r="G51" i="5" s="1"/>
  <c r="G55" i="5" s="1"/>
  <c r="E62" i="10"/>
  <c r="E32" i="6"/>
  <c r="L60" i="6"/>
  <c r="L64" i="6" s="1"/>
  <c r="N19" i="10"/>
  <c r="N51" i="10" s="1"/>
  <c r="N53" i="10" s="1"/>
  <c r="N54" i="10" s="1"/>
  <c r="L50" i="5"/>
  <c r="L16" i="10"/>
  <c r="L55" i="10" s="1"/>
  <c r="L12" i="6"/>
  <c r="L71" i="6" s="1"/>
  <c r="F51" i="5"/>
  <c r="F55" i="5" s="1"/>
  <c r="F11" i="10"/>
  <c r="F35" i="10" s="1"/>
  <c r="F36" i="10" s="1"/>
  <c r="F38" i="10" s="1"/>
  <c r="O18" i="3"/>
  <c r="L49" i="5"/>
  <c r="O17" i="3"/>
  <c r="M58" i="10"/>
  <c r="M34" i="6" s="1"/>
  <c r="M81" i="10"/>
  <c r="M114" i="4"/>
  <c r="M104" i="4"/>
  <c r="M105" i="4" s="1"/>
  <c r="M106" i="4" s="1"/>
  <c r="M107" i="4" s="1"/>
  <c r="M109" i="4" s="1"/>
  <c r="N103" i="4"/>
  <c r="N78" i="4"/>
  <c r="N60" i="4"/>
  <c r="N41" i="6" s="1"/>
  <c r="N70" i="4"/>
  <c r="O55" i="4"/>
  <c r="O49" i="4"/>
  <c r="O72" i="4" s="1"/>
  <c r="N59" i="4"/>
  <c r="N40" i="6" s="1"/>
  <c r="N68" i="4"/>
  <c r="N86" i="4" s="1"/>
  <c r="N61" i="4"/>
  <c r="N43" i="6" s="1"/>
  <c r="N67" i="4"/>
  <c r="N88" i="4" s="1"/>
  <c r="N7" i="4"/>
  <c r="N7" i="10"/>
  <c r="N63" i="3"/>
  <c r="N20" i="6" s="1"/>
  <c r="N14" i="4"/>
  <c r="N108" i="4" s="1"/>
  <c r="M84" i="3"/>
  <c r="M85" i="3" s="1"/>
  <c r="M92" i="3" s="1"/>
  <c r="O72" i="3"/>
  <c r="J12" i="3"/>
  <c r="J105" i="3" s="1"/>
  <c r="G110" i="3"/>
  <c r="G54" i="3"/>
  <c r="F112" i="3"/>
  <c r="F56" i="3"/>
  <c r="F70" i="6" s="1"/>
  <c r="O6" i="3"/>
  <c r="O7" i="6" s="1"/>
  <c r="O19" i="3"/>
  <c r="G35" i="3"/>
  <c r="G65" i="3" s="1"/>
  <c r="G21" i="6" s="1"/>
  <c r="BH32" i="11" s="1" a="1"/>
  <c r="BH32" i="11" s="1"/>
  <c r="G36" i="3"/>
  <c r="R10" i="3"/>
  <c r="Q11" i="3"/>
  <c r="N41" i="3"/>
  <c r="N82" i="3"/>
  <c r="F117" i="3"/>
  <c r="G40" i="3"/>
  <c r="O33" i="3"/>
  <c r="F50" i="3"/>
  <c r="G115" i="3"/>
  <c r="H24" i="3"/>
  <c r="N25" i="3"/>
  <c r="P5" i="3"/>
  <c r="O46" i="4" l="1"/>
  <c r="O69" i="4" s="1"/>
  <c r="O52" i="4"/>
  <c r="O75" i="4" s="1"/>
  <c r="O45" i="4"/>
  <c r="O44" i="4"/>
  <c r="O48" i="4"/>
  <c r="O71" i="4" s="1"/>
  <c r="O53" i="4"/>
  <c r="O76" i="4" s="1"/>
  <c r="O47" i="4"/>
  <c r="O103" i="4" s="1"/>
  <c r="O51" i="4"/>
  <c r="O74" i="4" s="1"/>
  <c r="O76" i="10"/>
  <c r="O22" i="10"/>
  <c r="O77" i="10"/>
  <c r="P6" i="4"/>
  <c r="P6" i="6"/>
  <c r="P6" i="10"/>
  <c r="O52" i="6"/>
  <c r="O51" i="6"/>
  <c r="O55" i="6"/>
  <c r="N59" i="6"/>
  <c r="D101" i="9"/>
  <c r="D22" i="9"/>
  <c r="E22" i="9" s="1"/>
  <c r="F22" i="9" s="1"/>
  <c r="I22" i="9" s="1" a="1"/>
  <c r="I22" i="9" s="1"/>
  <c r="M99" i="4"/>
  <c r="P18" i="3"/>
  <c r="P33" i="3" s="1"/>
  <c r="M49" i="5"/>
  <c r="G10" i="10"/>
  <c r="G34" i="10" s="1"/>
  <c r="N87" i="4"/>
  <c r="N91" i="4" s="1"/>
  <c r="N97" i="4" s="1"/>
  <c r="N49" i="6" s="1"/>
  <c r="N92" i="4"/>
  <c r="N98" i="4" s="1"/>
  <c r="N50" i="6" s="1"/>
  <c r="F61" i="10"/>
  <c r="F31" i="6"/>
  <c r="O19" i="10"/>
  <c r="O51" i="10" s="1"/>
  <c r="O53" i="10" s="1"/>
  <c r="O54" i="10" s="1"/>
  <c r="M50" i="5"/>
  <c r="N90" i="4"/>
  <c r="N96" i="4" s="1"/>
  <c r="N48" i="6" s="1"/>
  <c r="M16" i="10"/>
  <c r="M55" i="10" s="1"/>
  <c r="M12" i="6"/>
  <c r="M71" i="6" s="1"/>
  <c r="P17" i="3"/>
  <c r="M60" i="6"/>
  <c r="M64" i="6" s="1"/>
  <c r="N81" i="10"/>
  <c r="N58" i="10"/>
  <c r="N34" i="6" s="1"/>
  <c r="N114" i="4"/>
  <c r="N104" i="4"/>
  <c r="N105" i="4" s="1"/>
  <c r="N106" i="4" s="1"/>
  <c r="N107" i="4" s="1"/>
  <c r="N109" i="4" s="1"/>
  <c r="F57" i="3"/>
  <c r="F12" i="10"/>
  <c r="O78" i="4"/>
  <c r="P55" i="4"/>
  <c r="P56" i="4"/>
  <c r="P79" i="4" s="1"/>
  <c r="P44" i="4"/>
  <c r="P45" i="4"/>
  <c r="P46" i="4"/>
  <c r="P69" i="4" s="1"/>
  <c r="P47" i="4"/>
  <c r="P48" i="4"/>
  <c r="P71" i="4" s="1"/>
  <c r="P49" i="4"/>
  <c r="P72" i="4" s="1"/>
  <c r="P51" i="4"/>
  <c r="P74" i="4" s="1"/>
  <c r="P53" i="4"/>
  <c r="P76" i="4" s="1"/>
  <c r="P52" i="4"/>
  <c r="P75" i="4" s="1"/>
  <c r="O60" i="4"/>
  <c r="O41" i="6" s="1"/>
  <c r="O70" i="4"/>
  <c r="O68" i="4"/>
  <c r="O61" i="4"/>
  <c r="O43" i="6" s="1"/>
  <c r="O67" i="4"/>
  <c r="O88" i="4" s="1"/>
  <c r="O63" i="3"/>
  <c r="O20" i="6" s="1"/>
  <c r="O14" i="4"/>
  <c r="O108" i="4" s="1"/>
  <c r="O7" i="4"/>
  <c r="O7" i="10"/>
  <c r="N84" i="3"/>
  <c r="N85" i="3" s="1"/>
  <c r="N92" i="3" s="1"/>
  <c r="J14" i="3"/>
  <c r="K9" i="3" s="1"/>
  <c r="K12" i="3" s="1"/>
  <c r="K20" i="3" s="1"/>
  <c r="P72" i="3"/>
  <c r="J20" i="3"/>
  <c r="J64" i="3"/>
  <c r="BG35" i="11" s="1" a="1"/>
  <c r="BG35" i="11" s="1"/>
  <c r="J26" i="3"/>
  <c r="P6" i="3"/>
  <c r="P7" i="6" s="1"/>
  <c r="P19" i="3"/>
  <c r="G47" i="3"/>
  <c r="G43" i="3"/>
  <c r="G66" i="3" s="1"/>
  <c r="G23" i="6" s="1"/>
  <c r="BI32" i="11" s="1" a="1"/>
  <c r="BI32" i="11" s="1"/>
  <c r="H27" i="3"/>
  <c r="H28" i="3"/>
  <c r="S10" i="3"/>
  <c r="R11" i="3"/>
  <c r="G37" i="3"/>
  <c r="G12" i="4" s="1"/>
  <c r="G42" i="3"/>
  <c r="O25" i="3"/>
  <c r="Q5" i="3"/>
  <c r="O82" i="3"/>
  <c r="O41" i="3"/>
  <c r="F73" i="3"/>
  <c r="F75" i="3" s="1"/>
  <c r="F78" i="3" s="1"/>
  <c r="F100" i="3"/>
  <c r="D56" i="5" s="1"/>
  <c r="O86" i="4" l="1"/>
  <c r="O59" i="4"/>
  <c r="O40" i="6" s="1"/>
  <c r="P76" i="10"/>
  <c r="P22" i="10"/>
  <c r="P77" i="10"/>
  <c r="P51" i="6"/>
  <c r="P55" i="6"/>
  <c r="P52" i="6"/>
  <c r="Q6" i="4"/>
  <c r="Q47" i="4" s="1"/>
  <c r="Q6" i="6"/>
  <c r="Q6" i="10"/>
  <c r="O59" i="6"/>
  <c r="O90" i="4"/>
  <c r="O96" i="4" s="1"/>
  <c r="O48" i="6" s="1"/>
  <c r="P19" i="10"/>
  <c r="P51" i="10" s="1"/>
  <c r="P53" i="10" s="1"/>
  <c r="P54" i="10" s="1"/>
  <c r="N50" i="5"/>
  <c r="N16" i="10"/>
  <c r="N55" i="10" s="1"/>
  <c r="N12" i="6"/>
  <c r="N71" i="6" s="1"/>
  <c r="F14" i="10"/>
  <c r="F23" i="10" s="1"/>
  <c r="F24" i="10" s="1"/>
  <c r="F29" i="6" s="1"/>
  <c r="F11" i="6"/>
  <c r="F69" i="6" s="1"/>
  <c r="F72" i="6" s="1"/>
  <c r="N99" i="4"/>
  <c r="K21" i="3"/>
  <c r="K48" i="3" s="1"/>
  <c r="I48" i="5"/>
  <c r="I51" i="5" s="1"/>
  <c r="I55" i="5" s="1"/>
  <c r="N60" i="6"/>
  <c r="N64" i="6" s="1"/>
  <c r="Q18" i="3"/>
  <c r="N49" i="5"/>
  <c r="J21" i="3"/>
  <c r="J48" i="3" s="1"/>
  <c r="H48" i="5"/>
  <c r="H51" i="5" s="1"/>
  <c r="H55" i="5" s="1"/>
  <c r="O92" i="4"/>
  <c r="O98" i="4" s="1"/>
  <c r="O50" i="6" s="1"/>
  <c r="Q17" i="3"/>
  <c r="F10" i="4"/>
  <c r="F18" i="10"/>
  <c r="P103" i="4"/>
  <c r="O114" i="4"/>
  <c r="O104" i="4"/>
  <c r="O105" i="4" s="1"/>
  <c r="O106" i="4" s="1"/>
  <c r="O107" i="4" s="1"/>
  <c r="O109" i="4" s="1"/>
  <c r="O87" i="4"/>
  <c r="O91" i="4" s="1"/>
  <c r="O97" i="4" s="1"/>
  <c r="P78" i="4"/>
  <c r="O81" i="10"/>
  <c r="O58" i="10"/>
  <c r="O34" i="6" s="1"/>
  <c r="Q55" i="4"/>
  <c r="Q56" i="4"/>
  <c r="Q79" i="4" s="1"/>
  <c r="Q44" i="4"/>
  <c r="Q45" i="4"/>
  <c r="Q46" i="4"/>
  <c r="Q69" i="4" s="1"/>
  <c r="Q48" i="4"/>
  <c r="Q71" i="4" s="1"/>
  <c r="Q51" i="4"/>
  <c r="Q74" i="4" s="1"/>
  <c r="Q52" i="4"/>
  <c r="Q75" i="4" s="1"/>
  <c r="Q53" i="4"/>
  <c r="Q76" i="4" s="1"/>
  <c r="P60" i="4"/>
  <c r="P41" i="6" s="1"/>
  <c r="P70" i="4"/>
  <c r="P59" i="4"/>
  <c r="P40" i="6" s="1"/>
  <c r="P68" i="4"/>
  <c r="P86" i="4" s="1"/>
  <c r="P61" i="4"/>
  <c r="P43" i="6" s="1"/>
  <c r="P67" i="4"/>
  <c r="P88" i="4" s="1"/>
  <c r="P63" i="3"/>
  <c r="P20" i="6" s="1"/>
  <c r="P14" i="4"/>
  <c r="P108" i="4" s="1"/>
  <c r="P7" i="4"/>
  <c r="P7" i="10"/>
  <c r="O84" i="3"/>
  <c r="O85" i="3" s="1"/>
  <c r="O92" i="3" s="1"/>
  <c r="Q72" i="3"/>
  <c r="K13" i="3"/>
  <c r="K14" i="3" s="1"/>
  <c r="L9" i="3" s="1"/>
  <c r="L13" i="3" s="1"/>
  <c r="K64" i="3"/>
  <c r="BG36" i="11" s="1" a="1"/>
  <c r="BG36" i="11" s="1"/>
  <c r="K105" i="3"/>
  <c r="K26" i="3"/>
  <c r="Q19" i="3"/>
  <c r="Q6" i="3"/>
  <c r="Q7" i="6" s="1"/>
  <c r="G116" i="3"/>
  <c r="G55" i="3"/>
  <c r="T10" i="3"/>
  <c r="S11" i="3"/>
  <c r="G111" i="3"/>
  <c r="H32" i="3"/>
  <c r="H36" i="3" s="1"/>
  <c r="G44" i="3"/>
  <c r="G13" i="4" s="1"/>
  <c r="H29" i="3"/>
  <c r="H11" i="4" s="1"/>
  <c r="F90" i="3"/>
  <c r="P25" i="3"/>
  <c r="P82" i="3"/>
  <c r="P41" i="3"/>
  <c r="G49" i="3"/>
  <c r="G51" i="3" s="1"/>
  <c r="R5" i="3"/>
  <c r="H34" i="3"/>
  <c r="Q49" i="4" l="1"/>
  <c r="Q72" i="4" s="1"/>
  <c r="Q51" i="6"/>
  <c r="Q55" i="6"/>
  <c r="Q52" i="6"/>
  <c r="R6" i="4"/>
  <c r="R51" i="4" s="1"/>
  <c r="R74" i="4" s="1"/>
  <c r="R6" i="6"/>
  <c r="R6" i="10"/>
  <c r="Q76" i="10"/>
  <c r="Q22" i="10"/>
  <c r="Q77" i="10"/>
  <c r="P90" i="4"/>
  <c r="P96" i="4" s="1"/>
  <c r="P48" i="6" s="1"/>
  <c r="P59" i="6"/>
  <c r="G106" i="3"/>
  <c r="E30" i="7"/>
  <c r="F80" i="9" s="1" a="1"/>
  <c r="F80" i="9" s="1"/>
  <c r="F82" i="9" s="1"/>
  <c r="F83" i="9" s="1"/>
  <c r="F84" i="9" s="1"/>
  <c r="F59" i="10"/>
  <c r="Q19" i="10"/>
  <c r="Q51" i="10" s="1"/>
  <c r="Q53" i="10" s="1"/>
  <c r="Q54" i="10" s="1"/>
  <c r="O50" i="5"/>
  <c r="P92" i="4"/>
  <c r="P98" i="4" s="1"/>
  <c r="P50" i="6" s="1"/>
  <c r="O99" i="4"/>
  <c r="O49" i="6"/>
  <c r="R17" i="3"/>
  <c r="R18" i="3"/>
  <c r="R33" i="3" s="1"/>
  <c r="O49" i="5"/>
  <c r="G11" i="10"/>
  <c r="G35" i="10" s="1"/>
  <c r="G36" i="10" s="1"/>
  <c r="G38" i="10" s="1"/>
  <c r="Q33" i="3"/>
  <c r="O16" i="10"/>
  <c r="O55" i="10" s="1"/>
  <c r="O12" i="6"/>
  <c r="O71" i="6" s="1"/>
  <c r="F79" i="10"/>
  <c r="Q103" i="4"/>
  <c r="Q104" i="4" s="1"/>
  <c r="Q105" i="4" s="1"/>
  <c r="Q106" i="4" s="1"/>
  <c r="Q107" i="4" s="1"/>
  <c r="P87" i="4"/>
  <c r="P91" i="4" s="1"/>
  <c r="P97" i="4" s="1"/>
  <c r="Q78" i="4"/>
  <c r="P58" i="10"/>
  <c r="P34" i="6" s="1"/>
  <c r="P81" i="10"/>
  <c r="P114" i="4"/>
  <c r="P104" i="4"/>
  <c r="P105" i="4" s="1"/>
  <c r="P106" i="4" s="1"/>
  <c r="P107" i="4" s="1"/>
  <c r="P109" i="4" s="1"/>
  <c r="F41" i="10"/>
  <c r="F43" i="10" s="1"/>
  <c r="F29" i="10"/>
  <c r="F30" i="10" s="1"/>
  <c r="F31" i="10" s="1"/>
  <c r="F60" i="10" s="1"/>
  <c r="F30" i="6" s="1"/>
  <c r="R56" i="4"/>
  <c r="R79" i="4" s="1"/>
  <c r="R44" i="4"/>
  <c r="R45" i="4"/>
  <c r="R49" i="4"/>
  <c r="R72" i="4" s="1"/>
  <c r="R52" i="4"/>
  <c r="R75" i="4" s="1"/>
  <c r="R55" i="4"/>
  <c r="R53" i="4"/>
  <c r="R76" i="4" s="1"/>
  <c r="Q60" i="4"/>
  <c r="Q41" i="6" s="1"/>
  <c r="Q70" i="4"/>
  <c r="Q59" i="4"/>
  <c r="Q40" i="6" s="1"/>
  <c r="Q68" i="4"/>
  <c r="Q86" i="4" s="1"/>
  <c r="Q67" i="4"/>
  <c r="Q88" i="4" s="1"/>
  <c r="Q61" i="4"/>
  <c r="Q43" i="6" s="1"/>
  <c r="Q63" i="3"/>
  <c r="Q20" i="6" s="1"/>
  <c r="Q14" i="4"/>
  <c r="Q108" i="4" s="1"/>
  <c r="Q7" i="4"/>
  <c r="Q7" i="10"/>
  <c r="H54" i="3"/>
  <c r="P84" i="3"/>
  <c r="P85" i="3" s="1"/>
  <c r="P92" i="3" s="1"/>
  <c r="G56" i="3"/>
  <c r="G70" i="6" s="1"/>
  <c r="L12" i="3"/>
  <c r="L64" i="3" s="1"/>
  <c r="BG37" i="11" s="1" a="1"/>
  <c r="BG37" i="11" s="1"/>
  <c r="R72" i="3"/>
  <c r="R6" i="3"/>
  <c r="R7" i="6" s="1"/>
  <c r="R19" i="3"/>
  <c r="H35" i="3"/>
  <c r="U10" i="3"/>
  <c r="T11" i="3"/>
  <c r="G117" i="3"/>
  <c r="G112" i="3"/>
  <c r="G50" i="3"/>
  <c r="H40" i="3"/>
  <c r="H43" i="3" s="1"/>
  <c r="H66" i="3" s="1"/>
  <c r="H23" i="6" s="1"/>
  <c r="BI33" i="11" s="1" a="1"/>
  <c r="BI33" i="11" s="1"/>
  <c r="Q82" i="3"/>
  <c r="Q41" i="3"/>
  <c r="H115" i="3"/>
  <c r="I24" i="3"/>
  <c r="S5" i="3"/>
  <c r="F96" i="3"/>
  <c r="H110" i="3"/>
  <c r="Q25" i="3"/>
  <c r="R48" i="4" l="1"/>
  <c r="R71" i="4" s="1"/>
  <c r="R47" i="4"/>
  <c r="R46" i="4"/>
  <c r="R69" i="4" s="1"/>
  <c r="R77" i="10"/>
  <c r="R76" i="10"/>
  <c r="R22" i="10"/>
  <c r="S6" i="4"/>
  <c r="S48" i="4" s="1"/>
  <c r="S71" i="4" s="1"/>
  <c r="S6" i="6"/>
  <c r="S6" i="10"/>
  <c r="R52" i="6"/>
  <c r="R55" i="6"/>
  <c r="R51" i="6"/>
  <c r="Q90" i="4"/>
  <c r="Q96" i="4" s="1"/>
  <c r="Q48" i="6" s="1"/>
  <c r="Q92" i="4"/>
  <c r="Q98" i="4" s="1"/>
  <c r="Q50" i="6" s="1"/>
  <c r="R19" i="10"/>
  <c r="R51" i="10" s="1"/>
  <c r="R53" i="10" s="1"/>
  <c r="R54" i="10" s="1"/>
  <c r="P50" i="5"/>
  <c r="Q87" i="4"/>
  <c r="Q91" i="4" s="1"/>
  <c r="Q97" i="4" s="1"/>
  <c r="Q49" i="6" s="1"/>
  <c r="O60" i="6"/>
  <c r="O64" i="6" s="1"/>
  <c r="F62" i="10"/>
  <c r="F32" i="6"/>
  <c r="S17" i="3"/>
  <c r="H10" i="10"/>
  <c r="H34" i="10" s="1"/>
  <c r="P99" i="4"/>
  <c r="P49" i="6"/>
  <c r="Q109" i="4"/>
  <c r="G61" i="10"/>
  <c r="G31" i="6"/>
  <c r="Q59" i="6"/>
  <c r="Q114" i="4"/>
  <c r="P16" i="10"/>
  <c r="P55" i="10" s="1"/>
  <c r="P12" i="6"/>
  <c r="P71" i="6" s="1"/>
  <c r="S18" i="3"/>
  <c r="S33" i="3" s="1"/>
  <c r="P49" i="5"/>
  <c r="R103" i="4"/>
  <c r="G57" i="3"/>
  <c r="G12" i="10"/>
  <c r="Q81" i="10"/>
  <c r="Q58" i="10"/>
  <c r="Q34" i="6" s="1"/>
  <c r="R78" i="4"/>
  <c r="S45" i="4"/>
  <c r="S44" i="4"/>
  <c r="R60" i="4"/>
  <c r="R41" i="6" s="1"/>
  <c r="R70" i="4"/>
  <c r="R68" i="4"/>
  <c r="R59" i="4"/>
  <c r="R40" i="6" s="1"/>
  <c r="R67" i="4"/>
  <c r="R88" i="4" s="1"/>
  <c r="R61" i="4"/>
  <c r="R43" i="6" s="1"/>
  <c r="R7" i="4"/>
  <c r="R7" i="10"/>
  <c r="R63" i="3"/>
  <c r="R20" i="6" s="1"/>
  <c r="R14" i="4"/>
  <c r="R108" i="4" s="1"/>
  <c r="G73" i="3"/>
  <c r="G75" i="3" s="1"/>
  <c r="G78" i="3" s="1"/>
  <c r="Q84" i="3"/>
  <c r="Q85" i="3" s="1"/>
  <c r="Q92" i="3" s="1"/>
  <c r="S72" i="3"/>
  <c r="L26" i="3"/>
  <c r="L20" i="3"/>
  <c r="L14" i="3"/>
  <c r="M9" i="3" s="1"/>
  <c r="M12" i="3" s="1"/>
  <c r="M64" i="3" s="1"/>
  <c r="BG38" i="11" s="1" a="1"/>
  <c r="BG38" i="11" s="1"/>
  <c r="L105" i="3"/>
  <c r="H42" i="3"/>
  <c r="H44" i="3" s="1"/>
  <c r="H13" i="4" s="1"/>
  <c r="H65" i="3"/>
  <c r="H21" i="6" s="1"/>
  <c r="BH33" i="11" s="1" a="1"/>
  <c r="BH33" i="11" s="1"/>
  <c r="S6" i="3"/>
  <c r="S7" i="6" s="1"/>
  <c r="S19" i="3"/>
  <c r="H37" i="3"/>
  <c r="H12" i="4" s="1"/>
  <c r="I27" i="3"/>
  <c r="I28" i="3"/>
  <c r="U11" i="3"/>
  <c r="V10" i="3"/>
  <c r="G100" i="3"/>
  <c r="E56" i="5" s="1"/>
  <c r="H47" i="3"/>
  <c r="R82" i="3"/>
  <c r="R41" i="3"/>
  <c r="H49" i="3"/>
  <c r="T5" i="3"/>
  <c r="R25" i="3"/>
  <c r="S56" i="4" l="1"/>
  <c r="S79" i="4" s="1"/>
  <c r="S53" i="4"/>
  <c r="S76" i="4" s="1"/>
  <c r="S55" i="4"/>
  <c r="S52" i="4"/>
  <c r="S75" i="4" s="1"/>
  <c r="R86" i="4"/>
  <c r="R90" i="4" s="1"/>
  <c r="R96" i="4" s="1"/>
  <c r="R48" i="6" s="1"/>
  <c r="S47" i="4"/>
  <c r="S103" i="4" s="1"/>
  <c r="S46" i="4"/>
  <c r="S69" i="4" s="1"/>
  <c r="S77" i="10"/>
  <c r="S76" i="10"/>
  <c r="S22" i="10"/>
  <c r="S51" i="4"/>
  <c r="S74" i="4" s="1"/>
  <c r="S52" i="6"/>
  <c r="S55" i="6"/>
  <c r="S51" i="6"/>
  <c r="S49" i="4"/>
  <c r="S72" i="4" s="1"/>
  <c r="T6" i="4"/>
  <c r="T55" i="4" s="1"/>
  <c r="T6" i="6"/>
  <c r="T6" i="10"/>
  <c r="R87" i="4"/>
  <c r="R91" i="4" s="1"/>
  <c r="R97" i="4" s="1"/>
  <c r="R49" i="6" s="1"/>
  <c r="R92" i="4"/>
  <c r="R98" i="4" s="1"/>
  <c r="R50" i="6" s="1"/>
  <c r="P60" i="6"/>
  <c r="P64" i="6" s="1"/>
  <c r="Q60" i="6"/>
  <c r="Q64" i="6" s="1"/>
  <c r="G14" i="10"/>
  <c r="G23" i="10" s="1"/>
  <c r="G24" i="10" s="1"/>
  <c r="G29" i="6" s="1"/>
  <c r="G11" i="6"/>
  <c r="G69" i="6" s="1"/>
  <c r="G72" i="6" s="1"/>
  <c r="R59" i="6"/>
  <c r="L21" i="3"/>
  <c r="L48" i="3" s="1"/>
  <c r="J48" i="5"/>
  <c r="J51" i="5" s="1"/>
  <c r="J55" i="5" s="1"/>
  <c r="Q99" i="4"/>
  <c r="T17" i="3"/>
  <c r="S19" i="10"/>
  <c r="S51" i="10" s="1"/>
  <c r="S53" i="10" s="1"/>
  <c r="S54" i="10" s="1"/>
  <c r="S81" i="10" s="1"/>
  <c r="Q50" i="5"/>
  <c r="Q16" i="10"/>
  <c r="Q55" i="10" s="1"/>
  <c r="Q12" i="6"/>
  <c r="Q71" i="6" s="1"/>
  <c r="T18" i="3"/>
  <c r="Q49" i="5"/>
  <c r="R58" i="10"/>
  <c r="R34" i="6" s="1"/>
  <c r="R81" i="10"/>
  <c r="S78" i="4"/>
  <c r="G90" i="3"/>
  <c r="G96" i="3" s="1"/>
  <c r="G10" i="4"/>
  <c r="G18" i="10"/>
  <c r="R104" i="4"/>
  <c r="R105" i="4" s="1"/>
  <c r="R106" i="4" s="1"/>
  <c r="R107" i="4" s="1"/>
  <c r="R109" i="4" s="1"/>
  <c r="R114" i="4"/>
  <c r="S67" i="4"/>
  <c r="S88" i="4" s="1"/>
  <c r="S61" i="4"/>
  <c r="S43" i="6" s="1"/>
  <c r="S60" i="4"/>
  <c r="S41" i="6" s="1"/>
  <c r="S70" i="4"/>
  <c r="S68" i="4"/>
  <c r="T46" i="4"/>
  <c r="T69" i="4" s="1"/>
  <c r="T47" i="4"/>
  <c r="T48" i="4"/>
  <c r="T71" i="4" s="1"/>
  <c r="T49" i="4"/>
  <c r="T72" i="4" s="1"/>
  <c r="T51" i="4"/>
  <c r="T74" i="4" s="1"/>
  <c r="T52" i="4"/>
  <c r="T75" i="4" s="1"/>
  <c r="T53" i="4"/>
  <c r="T76" i="4" s="1"/>
  <c r="T56" i="4"/>
  <c r="T79" i="4" s="1"/>
  <c r="T44" i="4"/>
  <c r="T45" i="4"/>
  <c r="S63" i="3"/>
  <c r="S20" i="6" s="1"/>
  <c r="S14" i="4"/>
  <c r="S108" i="4" s="1"/>
  <c r="S7" i="4"/>
  <c r="S7" i="10"/>
  <c r="R84" i="3"/>
  <c r="R85" i="3" s="1"/>
  <c r="R92" i="3" s="1"/>
  <c r="H56" i="3"/>
  <c r="M26" i="3"/>
  <c r="M20" i="3"/>
  <c r="M13" i="3"/>
  <c r="M14" i="3" s="1"/>
  <c r="N9" i="3" s="1"/>
  <c r="N13" i="3" s="1"/>
  <c r="M105" i="3"/>
  <c r="T72" i="3"/>
  <c r="H116" i="3"/>
  <c r="H55" i="3"/>
  <c r="T6" i="3"/>
  <c r="T7" i="6" s="1"/>
  <c r="T19" i="3"/>
  <c r="H111" i="3"/>
  <c r="I32" i="3"/>
  <c r="V11" i="3"/>
  <c r="W10" i="3"/>
  <c r="H51" i="3"/>
  <c r="I29" i="3"/>
  <c r="I11" i="4" s="1"/>
  <c r="S82" i="3"/>
  <c r="S41" i="3"/>
  <c r="S25" i="3"/>
  <c r="H117" i="3"/>
  <c r="I40" i="3"/>
  <c r="I43" i="3" s="1"/>
  <c r="I34" i="3"/>
  <c r="U5" i="3"/>
  <c r="H112" i="3"/>
  <c r="H50" i="3"/>
  <c r="S59" i="4" l="1"/>
  <c r="S40" i="6" s="1"/>
  <c r="S86" i="4"/>
  <c r="S90" i="4" s="1"/>
  <c r="S96" i="4" s="1"/>
  <c r="S48" i="6" s="1"/>
  <c r="T77" i="10"/>
  <c r="T76" i="10"/>
  <c r="T22" i="10"/>
  <c r="U6" i="4"/>
  <c r="U56" i="4" s="1"/>
  <c r="U79" i="4" s="1"/>
  <c r="U6" i="6"/>
  <c r="U6" i="10"/>
  <c r="T55" i="6"/>
  <c r="T52" i="6"/>
  <c r="T51" i="6"/>
  <c r="S58" i="10"/>
  <c r="S34" i="6" s="1"/>
  <c r="H106" i="3"/>
  <c r="F30" i="7"/>
  <c r="G80" i="9" s="1" a="1"/>
  <c r="G80" i="9" s="1"/>
  <c r="G82" i="9" s="1"/>
  <c r="G83" i="9" s="1"/>
  <c r="G84" i="9" s="1"/>
  <c r="R99" i="4"/>
  <c r="R60" i="6"/>
  <c r="R64" i="6" s="1"/>
  <c r="G79" i="10"/>
  <c r="U17" i="3"/>
  <c r="U18" i="3"/>
  <c r="R49" i="5"/>
  <c r="T19" i="10"/>
  <c r="T51" i="10" s="1"/>
  <c r="T53" i="10" s="1"/>
  <c r="T54" i="10" s="1"/>
  <c r="T58" i="10" s="1"/>
  <c r="T34" i="6" s="1"/>
  <c r="R50" i="5"/>
  <c r="M21" i="3"/>
  <c r="M48" i="3" s="1"/>
  <c r="K48" i="5"/>
  <c r="K51" i="5" s="1"/>
  <c r="K55" i="5" s="1"/>
  <c r="S92" i="4"/>
  <c r="S98" i="4" s="1"/>
  <c r="S50" i="6" s="1"/>
  <c r="G59" i="10"/>
  <c r="H12" i="10"/>
  <c r="H70" i="6"/>
  <c r="S59" i="6"/>
  <c r="T33" i="3"/>
  <c r="H11" i="10"/>
  <c r="H35" i="10" s="1"/>
  <c r="H36" i="10" s="1"/>
  <c r="H38" i="10" s="1"/>
  <c r="R16" i="10"/>
  <c r="R55" i="10" s="1"/>
  <c r="R12" i="6"/>
  <c r="R71" i="6" s="1"/>
  <c r="S87" i="4"/>
  <c r="S91" i="4" s="1"/>
  <c r="S97" i="4" s="1"/>
  <c r="T78" i="4"/>
  <c r="S104" i="4"/>
  <c r="S105" i="4" s="1"/>
  <c r="S106" i="4" s="1"/>
  <c r="S107" i="4" s="1"/>
  <c r="S109" i="4" s="1"/>
  <c r="S114" i="4"/>
  <c r="T103" i="4"/>
  <c r="G41" i="10"/>
  <c r="G43" i="10" s="1"/>
  <c r="G29" i="10"/>
  <c r="G30" i="10" s="1"/>
  <c r="G31" i="10" s="1"/>
  <c r="G60" i="10" s="1"/>
  <c r="G30" i="6" s="1"/>
  <c r="T67" i="4"/>
  <c r="T88" i="4" s="1"/>
  <c r="T61" i="4"/>
  <c r="T43" i="6" s="1"/>
  <c r="U49" i="4"/>
  <c r="U72" i="4" s="1"/>
  <c r="U51" i="4"/>
  <c r="U74" i="4" s="1"/>
  <c r="U52" i="4"/>
  <c r="U75" i="4" s="1"/>
  <c r="U53" i="4"/>
  <c r="U76" i="4" s="1"/>
  <c r="U55" i="4"/>
  <c r="U46" i="4"/>
  <c r="U69" i="4" s="1"/>
  <c r="T70" i="4"/>
  <c r="T60" i="4"/>
  <c r="T41" i="6" s="1"/>
  <c r="T68" i="4"/>
  <c r="T86" i="4" s="1"/>
  <c r="T59" i="4"/>
  <c r="T40" i="6" s="1"/>
  <c r="T63" i="3"/>
  <c r="T20" i="6" s="1"/>
  <c r="T14" i="4"/>
  <c r="T108" i="4" s="1"/>
  <c r="T7" i="4"/>
  <c r="T7" i="10"/>
  <c r="S84" i="3"/>
  <c r="S85" i="3" s="1"/>
  <c r="S92" i="3" s="1"/>
  <c r="N12" i="3"/>
  <c r="N64" i="3" s="1"/>
  <c r="BG39" i="11" s="1" a="1"/>
  <c r="BG39" i="11" s="1"/>
  <c r="U72" i="3"/>
  <c r="I110" i="3"/>
  <c r="I54" i="3"/>
  <c r="U6" i="3"/>
  <c r="U7" i="6" s="1"/>
  <c r="U19" i="3"/>
  <c r="I35" i="3"/>
  <c r="I36" i="3"/>
  <c r="W11" i="3"/>
  <c r="X10" i="3"/>
  <c r="I115" i="3"/>
  <c r="J24" i="3"/>
  <c r="T82" i="3"/>
  <c r="T41" i="3"/>
  <c r="H57" i="3"/>
  <c r="U33" i="3"/>
  <c r="I47" i="3"/>
  <c r="H73" i="3"/>
  <c r="H75" i="3" s="1"/>
  <c r="H78" i="3" s="1"/>
  <c r="H100" i="3"/>
  <c r="F56" i="5" s="1"/>
  <c r="V5" i="3"/>
  <c r="T25" i="3"/>
  <c r="U45" i="4" l="1"/>
  <c r="U68" i="4" s="1"/>
  <c r="U86" i="4" s="1"/>
  <c r="U48" i="4"/>
  <c r="U71" i="4" s="1"/>
  <c r="U44" i="4"/>
  <c r="U47" i="4"/>
  <c r="U77" i="10"/>
  <c r="U76" i="10"/>
  <c r="U22" i="10"/>
  <c r="V6" i="4"/>
  <c r="V55" i="4" s="1"/>
  <c r="V6" i="6"/>
  <c r="V6" i="10"/>
  <c r="U51" i="6"/>
  <c r="U55" i="6"/>
  <c r="U52" i="6"/>
  <c r="T92" i="4"/>
  <c r="T98" i="4" s="1"/>
  <c r="T50" i="6" s="1"/>
  <c r="T59" i="6"/>
  <c r="T81" i="10"/>
  <c r="T90" i="4"/>
  <c r="T96" i="4" s="1"/>
  <c r="T48" i="6" s="1"/>
  <c r="G62" i="10"/>
  <c r="G32" i="6"/>
  <c r="S99" i="4"/>
  <c r="S49" i="6"/>
  <c r="I10" i="10"/>
  <c r="I34" i="10" s="1"/>
  <c r="S16" i="10"/>
  <c r="S55" i="10" s="1"/>
  <c r="S12" i="6"/>
  <c r="S71" i="6" s="1"/>
  <c r="U19" i="10"/>
  <c r="U51" i="10" s="1"/>
  <c r="U53" i="10" s="1"/>
  <c r="U54" i="10" s="1"/>
  <c r="S50" i="5"/>
  <c r="V18" i="3"/>
  <c r="S49" i="5"/>
  <c r="V17" i="3"/>
  <c r="H14" i="10"/>
  <c r="H23" i="10" s="1"/>
  <c r="H24" i="10" s="1"/>
  <c r="H29" i="6" s="1"/>
  <c r="H11" i="6"/>
  <c r="H69" i="6" s="1"/>
  <c r="H72" i="6" s="1"/>
  <c r="H61" i="10"/>
  <c r="H31" i="6"/>
  <c r="T87" i="4"/>
  <c r="T91" i="4" s="1"/>
  <c r="T97" i="4" s="1"/>
  <c r="H10" i="4"/>
  <c r="H18" i="10"/>
  <c r="U78" i="4"/>
  <c r="T114" i="4"/>
  <c r="T104" i="4"/>
  <c r="T105" i="4" s="1"/>
  <c r="T106" i="4" s="1"/>
  <c r="T107" i="4" s="1"/>
  <c r="T109" i="4" s="1"/>
  <c r="U103" i="4"/>
  <c r="U70" i="4"/>
  <c r="U60" i="4"/>
  <c r="U41" i="6" s="1"/>
  <c r="U59" i="4"/>
  <c r="U40" i="6" s="1"/>
  <c r="U67" i="4"/>
  <c r="U88" i="4" s="1"/>
  <c r="U61" i="4"/>
  <c r="U43" i="6" s="1"/>
  <c r="U63" i="3"/>
  <c r="U20" i="6" s="1"/>
  <c r="U14" i="4"/>
  <c r="U108" i="4" s="1"/>
  <c r="U7" i="4"/>
  <c r="U7" i="10"/>
  <c r="T84" i="3"/>
  <c r="T85" i="3" s="1"/>
  <c r="T92" i="3" s="1"/>
  <c r="N105" i="3"/>
  <c r="N26" i="3"/>
  <c r="N14" i="3"/>
  <c r="O9" i="3" s="1"/>
  <c r="O13" i="3" s="1"/>
  <c r="N20" i="3"/>
  <c r="V72" i="3"/>
  <c r="I37" i="3"/>
  <c r="I12" i="4" s="1"/>
  <c r="I66" i="3"/>
  <c r="I23" i="6" s="1"/>
  <c r="BI34" i="11" s="1" a="1"/>
  <c r="BI34" i="11" s="1"/>
  <c r="I42" i="3"/>
  <c r="I44" i="3" s="1"/>
  <c r="I13" i="4" s="1"/>
  <c r="I65" i="3"/>
  <c r="I21" i="6" s="1"/>
  <c r="BH34" i="11" s="1" a="1"/>
  <c r="BH34" i="11" s="1"/>
  <c r="V6" i="3"/>
  <c r="V7" i="6" s="1"/>
  <c r="V19" i="3"/>
  <c r="I49" i="3"/>
  <c r="I51" i="3" s="1"/>
  <c r="J27" i="3"/>
  <c r="J28" i="3"/>
  <c r="X11" i="3"/>
  <c r="Y10" i="3"/>
  <c r="V33" i="3"/>
  <c r="U25" i="3"/>
  <c r="W5" i="3"/>
  <c r="U82" i="3"/>
  <c r="U41" i="3"/>
  <c r="H90" i="3"/>
  <c r="V53" i="4" l="1"/>
  <c r="V76" i="4" s="1"/>
  <c r="V52" i="4"/>
  <c r="V75" i="4" s="1"/>
  <c r="V46" i="4"/>
  <c r="V69" i="4" s="1"/>
  <c r="V49" i="4"/>
  <c r="V72" i="4" s="1"/>
  <c r="V45" i="4"/>
  <c r="V48" i="4"/>
  <c r="V71" i="4" s="1"/>
  <c r="V44" i="4"/>
  <c r="V67" i="4" s="1"/>
  <c r="W6" i="4"/>
  <c r="W53" i="4" s="1"/>
  <c r="W76" i="4" s="1"/>
  <c r="W6" i="6"/>
  <c r="W6" i="10"/>
  <c r="V76" i="10"/>
  <c r="V22" i="10"/>
  <c r="V77" i="10"/>
  <c r="V47" i="4"/>
  <c r="V70" i="4" s="1"/>
  <c r="V51" i="4"/>
  <c r="V74" i="4" s="1"/>
  <c r="V56" i="4"/>
  <c r="V79" i="4" s="1"/>
  <c r="V52" i="6"/>
  <c r="V51" i="6"/>
  <c r="V55" i="6"/>
  <c r="I106" i="3"/>
  <c r="G30" i="7"/>
  <c r="H80" i="9" s="1" a="1"/>
  <c r="H80" i="9" s="1"/>
  <c r="H82" i="9" s="1"/>
  <c r="H83" i="9" s="1"/>
  <c r="H84" i="9" s="1"/>
  <c r="H79" i="10"/>
  <c r="H59" i="10"/>
  <c r="U59" i="6"/>
  <c r="T16" i="10"/>
  <c r="T55" i="10" s="1"/>
  <c r="T12" i="6"/>
  <c r="T71" i="6" s="1"/>
  <c r="V19" i="10"/>
  <c r="V51" i="10" s="1"/>
  <c r="V53" i="10" s="1"/>
  <c r="V54" i="10" s="1"/>
  <c r="T50" i="5"/>
  <c r="N21" i="3"/>
  <c r="N48" i="3" s="1"/>
  <c r="L48" i="5"/>
  <c r="L51" i="5" s="1"/>
  <c r="L55" i="5" s="1"/>
  <c r="S60" i="6"/>
  <c r="S64" i="6" s="1"/>
  <c r="W17" i="3"/>
  <c r="I116" i="3"/>
  <c r="U92" i="4"/>
  <c r="U98" i="4" s="1"/>
  <c r="U50" i="6" s="1"/>
  <c r="W18" i="3"/>
  <c r="T49" i="5"/>
  <c r="T99" i="4"/>
  <c r="T49" i="6"/>
  <c r="J32" i="3"/>
  <c r="J35" i="3" s="1"/>
  <c r="J65" i="3" s="1"/>
  <c r="J21" i="6" s="1"/>
  <c r="BH35" i="11" s="1" a="1"/>
  <c r="BH35" i="11" s="1"/>
  <c r="V103" i="4"/>
  <c r="V114" i="4" s="1"/>
  <c r="U87" i="4"/>
  <c r="U91" i="4" s="1"/>
  <c r="U97" i="4" s="1"/>
  <c r="U49" i="6" s="1"/>
  <c r="V78" i="4"/>
  <c r="H41" i="10"/>
  <c r="H43" i="10" s="1"/>
  <c r="H29" i="10"/>
  <c r="H30" i="10" s="1"/>
  <c r="H31" i="10" s="1"/>
  <c r="H60" i="10" s="1"/>
  <c r="H30" i="6" s="1"/>
  <c r="U81" i="10"/>
  <c r="U58" i="10"/>
  <c r="U34" i="6" s="1"/>
  <c r="U114" i="4"/>
  <c r="U104" i="4"/>
  <c r="U105" i="4" s="1"/>
  <c r="U106" i="4" s="1"/>
  <c r="U107" i="4" s="1"/>
  <c r="U109" i="4" s="1"/>
  <c r="U90" i="4"/>
  <c r="U96" i="4" s="1"/>
  <c r="V68" i="4"/>
  <c r="V63" i="3"/>
  <c r="V20" i="6" s="1"/>
  <c r="V14" i="4"/>
  <c r="V108" i="4" s="1"/>
  <c r="V7" i="4"/>
  <c r="V7" i="10"/>
  <c r="I55" i="3"/>
  <c r="I111" i="3"/>
  <c r="U84" i="3"/>
  <c r="U85" i="3" s="1"/>
  <c r="U92" i="3" s="1"/>
  <c r="O12" i="3"/>
  <c r="O26" i="3" s="1"/>
  <c r="W72" i="3"/>
  <c r="J34" i="3"/>
  <c r="W6" i="3"/>
  <c r="W7" i="6" s="1"/>
  <c r="W19" i="3"/>
  <c r="I112" i="3"/>
  <c r="I56" i="3"/>
  <c r="J29" i="3"/>
  <c r="J11" i="4" s="1"/>
  <c r="Y11" i="3"/>
  <c r="Z10" i="3"/>
  <c r="I50" i="3"/>
  <c r="V25" i="3"/>
  <c r="V82" i="3"/>
  <c r="V41" i="3"/>
  <c r="X5" i="3"/>
  <c r="I117" i="3"/>
  <c r="J40" i="3"/>
  <c r="J43" i="3" s="1"/>
  <c r="H96" i="3"/>
  <c r="V88" i="4" l="1"/>
  <c r="V92" i="4" s="1"/>
  <c r="V98" i="4" s="1"/>
  <c r="V50" i="6" s="1"/>
  <c r="W47" i="4"/>
  <c r="W60" i="4" s="1"/>
  <c r="W41" i="6" s="1"/>
  <c r="W52" i="4"/>
  <c r="W75" i="4" s="1"/>
  <c r="W48" i="4"/>
  <c r="W71" i="4" s="1"/>
  <c r="W51" i="4"/>
  <c r="W74" i="4" s="1"/>
  <c r="W45" i="4"/>
  <c r="V86" i="4"/>
  <c r="W46" i="4"/>
  <c r="W69" i="4" s="1"/>
  <c r="W49" i="4"/>
  <c r="W72" i="4" s="1"/>
  <c r="W44" i="4"/>
  <c r="W67" i="4" s="1"/>
  <c r="W56" i="4"/>
  <c r="W79" i="4" s="1"/>
  <c r="V61" i="4"/>
  <c r="V43" i="6" s="1"/>
  <c r="X6" i="4"/>
  <c r="X49" i="4" s="1"/>
  <c r="X72" i="4" s="1"/>
  <c r="X6" i="6"/>
  <c r="X6" i="10"/>
  <c r="V59" i="4"/>
  <c r="V40" i="6" s="1"/>
  <c r="W76" i="10"/>
  <c r="W77" i="10"/>
  <c r="W22" i="10"/>
  <c r="V60" i="4"/>
  <c r="V41" i="6" s="1"/>
  <c r="W55" i="4"/>
  <c r="W52" i="6"/>
  <c r="W55" i="6"/>
  <c r="W51" i="6"/>
  <c r="V104" i="4"/>
  <c r="V105" i="4" s="1"/>
  <c r="V106" i="4" s="1"/>
  <c r="V107" i="4" s="1"/>
  <c r="V109" i="4" s="1"/>
  <c r="V59" i="6"/>
  <c r="J36" i="3"/>
  <c r="J37" i="3" s="1"/>
  <c r="J12" i="4" s="1"/>
  <c r="V87" i="4"/>
  <c r="V91" i="4" s="1"/>
  <c r="V97" i="4" s="1"/>
  <c r="V49" i="6" s="1"/>
  <c r="U99" i="4"/>
  <c r="U48" i="6"/>
  <c r="T60" i="6"/>
  <c r="T64" i="6" s="1"/>
  <c r="X18" i="3"/>
  <c r="X33" i="3" s="1"/>
  <c r="U49" i="5"/>
  <c r="H62" i="10"/>
  <c r="H32" i="6"/>
  <c r="X17" i="3"/>
  <c r="W19" i="10"/>
  <c r="W51" i="10" s="1"/>
  <c r="W53" i="10" s="1"/>
  <c r="W54" i="10" s="1"/>
  <c r="U50" i="5"/>
  <c r="U16" i="10"/>
  <c r="U55" i="10" s="1"/>
  <c r="U12" i="6"/>
  <c r="U71" i="6" s="1"/>
  <c r="V90" i="4"/>
  <c r="V96" i="4" s="1"/>
  <c r="V48" i="6" s="1"/>
  <c r="W33" i="3"/>
  <c r="I12" i="10"/>
  <c r="I70" i="6"/>
  <c r="I11" i="10"/>
  <c r="I35" i="10" s="1"/>
  <c r="I36" i="10" s="1"/>
  <c r="I38" i="10" s="1"/>
  <c r="V81" i="10"/>
  <c r="V58" i="10"/>
  <c r="V34" i="6" s="1"/>
  <c r="W78" i="4"/>
  <c r="W70" i="4"/>
  <c r="W87" i="4" s="1"/>
  <c r="X51" i="4"/>
  <c r="X74" i="4" s="1"/>
  <c r="X55" i="4"/>
  <c r="X56" i="4"/>
  <c r="X79" i="4" s="1"/>
  <c r="X44" i="4"/>
  <c r="X45" i="4"/>
  <c r="X46" i="4"/>
  <c r="X69" i="4" s="1"/>
  <c r="W68" i="4"/>
  <c r="W86" i="4" s="1"/>
  <c r="W59" i="4"/>
  <c r="W40" i="6" s="1"/>
  <c r="W63" i="3"/>
  <c r="W20" i="6" s="1"/>
  <c r="W14" i="4"/>
  <c r="W108" i="4" s="1"/>
  <c r="W7" i="4"/>
  <c r="W7" i="10"/>
  <c r="V84" i="3"/>
  <c r="V85" i="3" s="1"/>
  <c r="V92" i="3" s="1"/>
  <c r="I73" i="3"/>
  <c r="I75" i="3" s="1"/>
  <c r="I78" i="3" s="1"/>
  <c r="O14" i="3"/>
  <c r="P9" i="3" s="1"/>
  <c r="P13" i="3" s="1"/>
  <c r="O105" i="3"/>
  <c r="O20" i="3"/>
  <c r="O64" i="3"/>
  <c r="BG40" i="11" s="1" a="1"/>
  <c r="BG40" i="11" s="1"/>
  <c r="X72" i="3"/>
  <c r="X19" i="3"/>
  <c r="X6" i="3"/>
  <c r="X7" i="6" s="1"/>
  <c r="J110" i="3"/>
  <c r="J54" i="3"/>
  <c r="K24" i="3"/>
  <c r="J115" i="3"/>
  <c r="Z11" i="3"/>
  <c r="AA10" i="3"/>
  <c r="AA11" i="3" s="1"/>
  <c r="I100" i="3"/>
  <c r="G56" i="5" s="1"/>
  <c r="W82" i="3"/>
  <c r="W41" i="3"/>
  <c r="J42" i="3"/>
  <c r="W25" i="3"/>
  <c r="J49" i="3"/>
  <c r="I57" i="3"/>
  <c r="Y5" i="3"/>
  <c r="J47" i="3"/>
  <c r="J66" i="3" l="1"/>
  <c r="J23" i="6" s="1"/>
  <c r="BI35" i="11" s="1" a="1"/>
  <c r="BI35" i="11" s="1"/>
  <c r="X48" i="4"/>
  <c r="X71" i="4" s="1"/>
  <c r="X53" i="4"/>
  <c r="X76" i="4" s="1"/>
  <c r="W103" i="4"/>
  <c r="W114" i="4" s="1"/>
  <c r="X47" i="4"/>
  <c r="X103" i="4" s="1"/>
  <c r="X104" i="4" s="1"/>
  <c r="X105" i="4" s="1"/>
  <c r="X106" i="4" s="1"/>
  <c r="X107" i="4" s="1"/>
  <c r="X52" i="4"/>
  <c r="X75" i="4" s="1"/>
  <c r="W88" i="4"/>
  <c r="X76" i="10"/>
  <c r="X77" i="10"/>
  <c r="X22" i="10"/>
  <c r="X55" i="6"/>
  <c r="X52" i="6"/>
  <c r="X51" i="6"/>
  <c r="W61" i="4"/>
  <c r="W43" i="6" s="1"/>
  <c r="Y6" i="4"/>
  <c r="Y51" i="4" s="1"/>
  <c r="Y74" i="4" s="1"/>
  <c r="Y6" i="6"/>
  <c r="Y6" i="10"/>
  <c r="W104" i="4"/>
  <c r="W105" i="4" s="1"/>
  <c r="W106" i="4" s="1"/>
  <c r="W107" i="4" s="1"/>
  <c r="W109" i="4" s="1"/>
  <c r="W59" i="6"/>
  <c r="P12" i="3"/>
  <c r="P64" i="3" s="1"/>
  <c r="BG41" i="11" s="1" a="1"/>
  <c r="BG41" i="11" s="1"/>
  <c r="V16" i="10"/>
  <c r="V55" i="10" s="1"/>
  <c r="V12" i="6"/>
  <c r="V71" i="6" s="1"/>
  <c r="I61" i="10"/>
  <c r="I31" i="6"/>
  <c r="Y18" i="3"/>
  <c r="Y33" i="3" s="1"/>
  <c r="V49" i="5"/>
  <c r="J10" i="10"/>
  <c r="J34" i="10" s="1"/>
  <c r="O21" i="3"/>
  <c r="O48" i="3" s="1"/>
  <c r="M48" i="5"/>
  <c r="M51" i="5" s="1"/>
  <c r="M55" i="5" s="1"/>
  <c r="V99" i="4"/>
  <c r="V60" i="6"/>
  <c r="V64" i="6" s="1"/>
  <c r="X19" i="10"/>
  <c r="X51" i="10" s="1"/>
  <c r="X53" i="10" s="1"/>
  <c r="X54" i="10" s="1"/>
  <c r="V50" i="5"/>
  <c r="Y17" i="3"/>
  <c r="U60" i="6"/>
  <c r="U64" i="6" s="1"/>
  <c r="I14" i="10"/>
  <c r="I23" i="10" s="1"/>
  <c r="I24" i="10" s="1"/>
  <c r="I29" i="6" s="1"/>
  <c r="I11" i="6"/>
  <c r="I69" i="6" s="1"/>
  <c r="I72" i="6" s="1"/>
  <c r="W91" i="4"/>
  <c r="W97" i="4" s="1"/>
  <c r="W49" i="6" s="1"/>
  <c r="I10" i="4"/>
  <c r="I18" i="10"/>
  <c r="W90" i="4"/>
  <c r="W96" i="4" s="1"/>
  <c r="W48" i="6" s="1"/>
  <c r="X78" i="4"/>
  <c r="W58" i="10"/>
  <c r="W34" i="6" s="1"/>
  <c r="W81" i="10"/>
  <c r="I90" i="3"/>
  <c r="I96" i="3" s="1"/>
  <c r="X70" i="4"/>
  <c r="X60" i="4"/>
  <c r="X41" i="6" s="1"/>
  <c r="X68" i="4"/>
  <c r="X86" i="4" s="1"/>
  <c r="X59" i="4"/>
  <c r="X40" i="6" s="1"/>
  <c r="X67" i="4"/>
  <c r="X88" i="4" s="1"/>
  <c r="X61" i="4"/>
  <c r="X43" i="6" s="1"/>
  <c r="Y46" i="4"/>
  <c r="Y69" i="4" s="1"/>
  <c r="X7" i="4"/>
  <c r="X7" i="10"/>
  <c r="X63" i="3"/>
  <c r="X20" i="6" s="1"/>
  <c r="X14" i="4"/>
  <c r="X108" i="4" s="1"/>
  <c r="W84" i="3"/>
  <c r="W85" i="3" s="1"/>
  <c r="W92" i="3" s="1"/>
  <c r="Y72" i="3"/>
  <c r="J116" i="3"/>
  <c r="J55" i="3"/>
  <c r="J11" i="10" s="1"/>
  <c r="J35" i="10" s="1"/>
  <c r="Y19" i="3"/>
  <c r="Y6" i="3"/>
  <c r="Y7" i="6" s="1"/>
  <c r="K27" i="3"/>
  <c r="K28" i="3"/>
  <c r="J111" i="3"/>
  <c r="K32" i="3"/>
  <c r="K36" i="3" s="1"/>
  <c r="J51" i="3"/>
  <c r="J44" i="3"/>
  <c r="J13" i="4" s="1"/>
  <c r="X82" i="3"/>
  <c r="X41" i="3"/>
  <c r="Z5" i="3"/>
  <c r="X25" i="3"/>
  <c r="W92" i="4" l="1"/>
  <c r="W98" i="4" s="1"/>
  <c r="W50" i="6" s="1"/>
  <c r="W60" i="6" s="1"/>
  <c r="W64" i="6" s="1"/>
  <c r="Y45" i="4"/>
  <c r="P14" i="3"/>
  <c r="Q9" i="3" s="1"/>
  <c r="Q13" i="3" s="1"/>
  <c r="Y55" i="4"/>
  <c r="Y78" i="4" s="1"/>
  <c r="P26" i="3"/>
  <c r="Y49" i="4"/>
  <c r="Y72" i="4" s="1"/>
  <c r="Y53" i="4"/>
  <c r="Y76" i="4" s="1"/>
  <c r="Y56" i="4"/>
  <c r="Y79" i="4" s="1"/>
  <c r="Z6" i="4"/>
  <c r="Z56" i="4" s="1"/>
  <c r="Z79" i="4" s="1"/>
  <c r="Z6" i="6"/>
  <c r="Z6" i="10"/>
  <c r="P20" i="3"/>
  <c r="N48" i="5" s="1"/>
  <c r="N51" i="5" s="1"/>
  <c r="N55" i="5" s="1"/>
  <c r="Y48" i="4"/>
  <c r="Y71" i="4" s="1"/>
  <c r="Y52" i="4"/>
  <c r="Y75" i="4" s="1"/>
  <c r="X114" i="4"/>
  <c r="Y76" i="10"/>
  <c r="Y22" i="10"/>
  <c r="Y77" i="10"/>
  <c r="Y44" i="4"/>
  <c r="P105" i="3"/>
  <c r="Y47" i="4"/>
  <c r="Y70" i="4" s="1"/>
  <c r="Y51" i="6"/>
  <c r="Y55" i="6"/>
  <c r="Y52" i="6"/>
  <c r="X59" i="6"/>
  <c r="I79" i="10"/>
  <c r="I59" i="10"/>
  <c r="J106" i="3"/>
  <c r="H30" i="7"/>
  <c r="I80" i="9" s="1" a="1"/>
  <c r="I80" i="9" s="1"/>
  <c r="I82" i="9" s="1"/>
  <c r="I83" i="9" s="1"/>
  <c r="I84" i="9" s="1"/>
  <c r="J36" i="10"/>
  <c r="J38" i="10" s="1"/>
  <c r="J61" i="10" s="1"/>
  <c r="X92" i="4"/>
  <c r="X98" i="4" s="1"/>
  <c r="X50" i="6" s="1"/>
  <c r="Z18" i="3"/>
  <c r="Z33" i="3" s="1"/>
  <c r="W49" i="5"/>
  <c r="X90" i="4"/>
  <c r="X96" i="4" s="1"/>
  <c r="X48" i="6" s="1"/>
  <c r="P21" i="3"/>
  <c r="P48" i="3" s="1"/>
  <c r="X87" i="4"/>
  <c r="X91" i="4" s="1"/>
  <c r="X97" i="4" s="1"/>
  <c r="Y19" i="10"/>
  <c r="Y51" i="10" s="1"/>
  <c r="Y53" i="10" s="1"/>
  <c r="Y54" i="10" s="1"/>
  <c r="W50" i="5"/>
  <c r="W16" i="10"/>
  <c r="W55" i="10" s="1"/>
  <c r="W12" i="6"/>
  <c r="W71" i="6" s="1"/>
  <c r="Z17" i="3"/>
  <c r="W99" i="4"/>
  <c r="X81" i="10"/>
  <c r="X58" i="10"/>
  <c r="X34" i="6" s="1"/>
  <c r="X109" i="4"/>
  <c r="I41" i="10"/>
  <c r="I43" i="10" s="1"/>
  <c r="I29" i="10"/>
  <c r="I30" i="10" s="1"/>
  <c r="I31" i="10" s="1"/>
  <c r="I60" i="10" s="1"/>
  <c r="I30" i="6" s="1"/>
  <c r="Y67" i="4"/>
  <c r="Z49" i="4"/>
  <c r="Z72" i="4" s="1"/>
  <c r="Y68" i="4"/>
  <c r="Y86" i="4" s="1"/>
  <c r="Y7" i="4"/>
  <c r="Y7" i="10"/>
  <c r="Y63" i="3"/>
  <c r="Y20" i="6" s="1"/>
  <c r="Y14" i="4"/>
  <c r="Y108" i="4" s="1"/>
  <c r="X84" i="3"/>
  <c r="X85" i="3" s="1"/>
  <c r="X92" i="3" s="1"/>
  <c r="Q12" i="3"/>
  <c r="Q64" i="3" s="1"/>
  <c r="BG42" i="11" s="1" a="1"/>
  <c r="BG42" i="11" s="1"/>
  <c r="Z72" i="3"/>
  <c r="K29" i="3"/>
  <c r="K11" i="4" s="1"/>
  <c r="J112" i="3"/>
  <c r="J56" i="3"/>
  <c r="K34" i="3"/>
  <c r="Z6" i="3"/>
  <c r="Z7" i="6" s="1"/>
  <c r="Z19" i="3"/>
  <c r="K35" i="3"/>
  <c r="K42" i="3" s="1"/>
  <c r="Y82" i="3"/>
  <c r="Y41" i="3"/>
  <c r="AA5" i="3"/>
  <c r="J117" i="3"/>
  <c r="K40" i="3"/>
  <c r="K43" i="3" s="1"/>
  <c r="K66" i="3" s="1"/>
  <c r="K23" i="6" s="1"/>
  <c r="BI36" i="11" s="1" a="1"/>
  <c r="BI36" i="11" s="1"/>
  <c r="J50" i="3"/>
  <c r="Y25" i="3"/>
  <c r="Y59" i="4" l="1"/>
  <c r="Y40" i="6" s="1"/>
  <c r="Z55" i="4"/>
  <c r="Z78" i="4" s="1"/>
  <c r="AA6" i="4"/>
  <c r="AA47" i="4" s="1"/>
  <c r="AA6" i="6"/>
  <c r="AA6" i="10"/>
  <c r="Z47" i="4"/>
  <c r="Y61" i="4"/>
  <c r="Y43" i="6" s="1"/>
  <c r="Y103" i="4"/>
  <c r="Y104" i="4" s="1"/>
  <c r="Y105" i="4" s="1"/>
  <c r="Y106" i="4" s="1"/>
  <c r="Y107" i="4" s="1"/>
  <c r="Y109" i="4" s="1"/>
  <c r="Z51" i="4"/>
  <c r="Z74" i="4" s="1"/>
  <c r="Z52" i="4"/>
  <c r="Z75" i="4" s="1"/>
  <c r="Z46" i="4"/>
  <c r="Z69" i="4" s="1"/>
  <c r="Z48" i="4"/>
  <c r="Z71" i="4" s="1"/>
  <c r="Z45" i="4"/>
  <c r="Y60" i="4"/>
  <c r="Y41" i="6" s="1"/>
  <c r="Z44" i="4"/>
  <c r="Z67" i="4" s="1"/>
  <c r="Z88" i="4" s="1"/>
  <c r="Z76" i="10"/>
  <c r="Z77" i="10"/>
  <c r="Z22" i="10"/>
  <c r="Z53" i="4"/>
  <c r="Z76" i="4" s="1"/>
  <c r="Y88" i="4"/>
  <c r="Z74" i="3"/>
  <c r="Z52" i="6"/>
  <c r="Z51" i="6"/>
  <c r="Z55" i="6"/>
  <c r="J31" i="6"/>
  <c r="I62" i="10"/>
  <c r="I32" i="6"/>
  <c r="J12" i="10"/>
  <c r="J70" i="6"/>
  <c r="Y90" i="4"/>
  <c r="Y96" i="4" s="1"/>
  <c r="Y48" i="6" s="1"/>
  <c r="X99" i="4"/>
  <c r="X49" i="6"/>
  <c r="X60" i="6" s="1"/>
  <c r="X64" i="6" s="1"/>
  <c r="Y59" i="6"/>
  <c r="Y92" i="4"/>
  <c r="Y98" i="4" s="1"/>
  <c r="Y50" i="6" s="1"/>
  <c r="AA17" i="3"/>
  <c r="AA18" i="3"/>
  <c r="X49" i="5"/>
  <c r="Z19" i="10"/>
  <c r="Z51" i="10" s="1"/>
  <c r="Z53" i="10" s="1"/>
  <c r="Z54" i="10" s="1"/>
  <c r="X50" i="5"/>
  <c r="X16" i="10"/>
  <c r="X55" i="10" s="1"/>
  <c r="X12" i="6"/>
  <c r="X71" i="6" s="1"/>
  <c r="Y87" i="4"/>
  <c r="Z103" i="4"/>
  <c r="Y81" i="10"/>
  <c r="Y58" i="10"/>
  <c r="Y34" i="6" s="1"/>
  <c r="Z68" i="4"/>
  <c r="Z61" i="4"/>
  <c r="Z43" i="6" s="1"/>
  <c r="Z60" i="4"/>
  <c r="Z41" i="6" s="1"/>
  <c r="Z70" i="4"/>
  <c r="K110" i="3"/>
  <c r="Z63" i="3"/>
  <c r="Z20" i="6" s="1"/>
  <c r="Z14" i="4"/>
  <c r="Z108" i="4" s="1"/>
  <c r="Z7" i="4"/>
  <c r="Z7" i="10"/>
  <c r="K54" i="3"/>
  <c r="Y84" i="3"/>
  <c r="Y85" i="3" s="1"/>
  <c r="Y92" i="3" s="1"/>
  <c r="Q14" i="3"/>
  <c r="R9" i="3" s="1"/>
  <c r="R12" i="3" s="1"/>
  <c r="R64" i="3" s="1"/>
  <c r="BG43" i="11" s="1" a="1"/>
  <c r="BG43" i="11" s="1"/>
  <c r="Q105" i="3"/>
  <c r="Q26" i="3"/>
  <c r="Q20" i="3"/>
  <c r="AA72" i="3"/>
  <c r="AA74" i="3"/>
  <c r="M74" i="3"/>
  <c r="N74" i="3"/>
  <c r="O74" i="3"/>
  <c r="P74" i="3"/>
  <c r="Q74" i="3"/>
  <c r="R74" i="3"/>
  <c r="S74" i="3"/>
  <c r="T74" i="3"/>
  <c r="U74" i="3"/>
  <c r="V74" i="3"/>
  <c r="W74" i="3"/>
  <c r="X74" i="3"/>
  <c r="Y74" i="3"/>
  <c r="L24" i="3"/>
  <c r="L27" i="3" s="1"/>
  <c r="K115" i="3"/>
  <c r="AA6" i="3"/>
  <c r="AA7" i="6" s="1"/>
  <c r="AA19" i="3"/>
  <c r="K65" i="3"/>
  <c r="K21" i="6" s="1"/>
  <c r="BH36" i="11" s="1" a="1"/>
  <c r="BH36" i="11" s="1"/>
  <c r="K37" i="3"/>
  <c r="K12" i="4" s="1"/>
  <c r="K47" i="3"/>
  <c r="J57" i="3"/>
  <c r="Z82" i="3"/>
  <c r="Z41" i="3"/>
  <c r="J100" i="3"/>
  <c r="H56" i="5" s="1"/>
  <c r="J73" i="3"/>
  <c r="J75" i="3" s="1"/>
  <c r="J78" i="3" s="1"/>
  <c r="Z25" i="3"/>
  <c r="Z86" i="4" l="1"/>
  <c r="Z92" i="4"/>
  <c r="Z98" i="4" s="1"/>
  <c r="Z50" i="6" s="1"/>
  <c r="AA46" i="4"/>
  <c r="AA69" i="4" s="1"/>
  <c r="AA44" i="4"/>
  <c r="AA56" i="4"/>
  <c r="AA79" i="4" s="1"/>
  <c r="AA52" i="4"/>
  <c r="AA75" i="4" s="1"/>
  <c r="AA55" i="4"/>
  <c r="Z59" i="4"/>
  <c r="Z40" i="6" s="1"/>
  <c r="AA49" i="4"/>
  <c r="AA72" i="4" s="1"/>
  <c r="AA53" i="4"/>
  <c r="AA76" i="4" s="1"/>
  <c r="AA48" i="4"/>
  <c r="AA71" i="4" s="1"/>
  <c r="AA76" i="10"/>
  <c r="AA22" i="10"/>
  <c r="AA45" i="4"/>
  <c r="AA51" i="4"/>
  <c r="AA74" i="4" s="1"/>
  <c r="Y91" i="4"/>
  <c r="Y97" i="4" s="1"/>
  <c r="Y49" i="6" s="1"/>
  <c r="Y60" i="6" s="1"/>
  <c r="Y64" i="6" s="1"/>
  <c r="Y114" i="4"/>
  <c r="AA51" i="6"/>
  <c r="AA52" i="6"/>
  <c r="AA55" i="6"/>
  <c r="R13" i="3"/>
  <c r="R14" i="3" s="1"/>
  <c r="S9" i="3" s="1"/>
  <c r="R26" i="3"/>
  <c r="R20" i="3"/>
  <c r="Z90" i="4"/>
  <c r="Z96" i="4" s="1"/>
  <c r="Z48" i="6" s="1"/>
  <c r="Z87" i="4"/>
  <c r="AA19" i="10"/>
  <c r="AA51" i="10" s="1"/>
  <c r="AA53" i="10" s="1"/>
  <c r="AA54" i="10" s="1"/>
  <c r="AA81" i="10" s="1"/>
  <c r="Y50" i="5"/>
  <c r="K10" i="10"/>
  <c r="K34" i="10" s="1"/>
  <c r="Y49" i="5"/>
  <c r="AA33" i="3"/>
  <c r="J14" i="10"/>
  <c r="J23" i="10" s="1"/>
  <c r="J24" i="10" s="1"/>
  <c r="J29" i="6" s="1"/>
  <c r="J11" i="6"/>
  <c r="J69" i="6" s="1"/>
  <c r="J72" i="6" s="1"/>
  <c r="Y16" i="10"/>
  <c r="Y55" i="10" s="1"/>
  <c r="Y12" i="6"/>
  <c r="Y71" i="6" s="1"/>
  <c r="Q21" i="3"/>
  <c r="Q48" i="3" s="1"/>
  <c r="O48" i="5"/>
  <c r="Z59" i="6"/>
  <c r="R21" i="3"/>
  <c r="R48" i="3" s="1"/>
  <c r="P48" i="5"/>
  <c r="P51" i="5" s="1"/>
  <c r="P55" i="5" s="1"/>
  <c r="Z91" i="4"/>
  <c r="Z97" i="4" s="1"/>
  <c r="Z49" i="6" s="1"/>
  <c r="Y99" i="4"/>
  <c r="R105" i="3"/>
  <c r="Z58" i="10"/>
  <c r="Z34" i="6" s="1"/>
  <c r="Z81" i="10"/>
  <c r="J10" i="4"/>
  <c r="J18" i="10"/>
  <c r="AA78" i="4"/>
  <c r="Z104" i="4"/>
  <c r="Z105" i="4" s="1"/>
  <c r="Z106" i="4" s="1"/>
  <c r="Z107" i="4" s="1"/>
  <c r="Z109" i="4" s="1"/>
  <c r="Z114" i="4"/>
  <c r="AA61" i="4"/>
  <c r="AA43" i="6" s="1"/>
  <c r="AA67" i="4"/>
  <c r="AA88" i="4" s="1"/>
  <c r="AA68" i="4"/>
  <c r="AA70" i="4"/>
  <c r="AA63" i="3"/>
  <c r="AA20" i="6" s="1"/>
  <c r="AA14" i="4"/>
  <c r="AA108" i="4" s="1"/>
  <c r="AA7" i="4"/>
  <c r="AA7" i="10"/>
  <c r="Z84" i="3"/>
  <c r="Z85" i="3" s="1"/>
  <c r="Z92" i="3" s="1"/>
  <c r="K116" i="3"/>
  <c r="L28" i="3"/>
  <c r="L29" i="3" s="1"/>
  <c r="L11" i="4" s="1"/>
  <c r="K111" i="3"/>
  <c r="K55" i="3"/>
  <c r="K11" i="10" s="1"/>
  <c r="K35" i="10" s="1"/>
  <c r="K36" i="10" s="1"/>
  <c r="K38" i="10" s="1"/>
  <c r="L32" i="3"/>
  <c r="S12" i="3"/>
  <c r="S13" i="3"/>
  <c r="AA25" i="3"/>
  <c r="K49" i="3"/>
  <c r="K51" i="3" s="1"/>
  <c r="K44" i="3"/>
  <c r="K13" i="4" s="1"/>
  <c r="J90" i="3"/>
  <c r="L34" i="3"/>
  <c r="AA82" i="3"/>
  <c r="AA41" i="3"/>
  <c r="AA86" i="4" l="1"/>
  <c r="AA103" i="4"/>
  <c r="AA104" i="4" s="1"/>
  <c r="AA105" i="4" s="1"/>
  <c r="AA106" i="4" s="1"/>
  <c r="AA107" i="4" s="1"/>
  <c r="AA109" i="4" s="1"/>
  <c r="AA90" i="4"/>
  <c r="AA96" i="4" s="1"/>
  <c r="AA48" i="6" s="1"/>
  <c r="AA59" i="4"/>
  <c r="AA40" i="6" s="1"/>
  <c r="J79" i="10"/>
  <c r="AA60" i="4"/>
  <c r="AA41" i="6" s="1"/>
  <c r="AA87" i="4"/>
  <c r="K106" i="3"/>
  <c r="I30" i="7"/>
  <c r="J80" i="9" s="1" a="1"/>
  <c r="J80" i="9" s="1"/>
  <c r="J82" i="9" s="1"/>
  <c r="J83" i="9" s="1"/>
  <c r="J84" i="9" s="1"/>
  <c r="J59" i="10"/>
  <c r="AA58" i="10"/>
  <c r="AA34" i="6" s="1"/>
  <c r="Z99" i="4"/>
  <c r="K61" i="10"/>
  <c r="K31" i="6"/>
  <c r="Z16" i="10"/>
  <c r="Z55" i="10" s="1"/>
  <c r="Z12" i="6"/>
  <c r="Z71" i="6" s="1"/>
  <c r="AA92" i="4"/>
  <c r="AA98" i="4" s="1"/>
  <c r="AA50" i="6" s="1"/>
  <c r="Z60" i="6"/>
  <c r="Z64" i="6" s="1"/>
  <c r="AA59" i="6"/>
  <c r="O51" i="5"/>
  <c r="O55" i="5" s="1"/>
  <c r="J41" i="10"/>
  <c r="J43" i="10" s="1"/>
  <c r="J29" i="10"/>
  <c r="J30" i="10" s="1"/>
  <c r="J31" i="10" s="1"/>
  <c r="J60" i="10" s="1"/>
  <c r="J30" i="6" s="1"/>
  <c r="L54" i="3"/>
  <c r="AA84" i="3"/>
  <c r="AA85" i="3" s="1"/>
  <c r="AA92" i="3" s="1"/>
  <c r="S105" i="3"/>
  <c r="S64" i="3"/>
  <c r="BG44" i="11" s="1" a="1"/>
  <c r="BG44" i="11" s="1"/>
  <c r="K112" i="3"/>
  <c r="K56" i="3"/>
  <c r="L35" i="3"/>
  <c r="L36" i="3"/>
  <c r="S26" i="3"/>
  <c r="S14" i="3"/>
  <c r="T9" i="3" s="1"/>
  <c r="S20" i="3"/>
  <c r="K117" i="3"/>
  <c r="L40" i="3"/>
  <c r="L43" i="3" s="1"/>
  <c r="K50" i="3"/>
  <c r="J96" i="3"/>
  <c r="L115" i="3"/>
  <c r="M24" i="3"/>
  <c r="L110" i="3"/>
  <c r="AA114" i="4" l="1"/>
  <c r="AA91" i="4"/>
  <c r="AA97" i="4" s="1"/>
  <c r="AA49" i="6" s="1"/>
  <c r="AA60" i="6" s="1"/>
  <c r="AA64" i="6" s="1"/>
  <c r="K12" i="10"/>
  <c r="K70" i="6"/>
  <c r="S21" i="3"/>
  <c r="S48" i="3" s="1"/>
  <c r="Q48" i="5"/>
  <c r="AA16" i="10"/>
  <c r="AA55" i="10" s="1"/>
  <c r="AA12" i="6"/>
  <c r="AA71" i="6" s="1"/>
  <c r="L10" i="10"/>
  <c r="L34" i="10" s="1"/>
  <c r="J62" i="10"/>
  <c r="J32" i="6"/>
  <c r="L66" i="3"/>
  <c r="L23" i="6" s="1"/>
  <c r="BI37" i="11" s="1" a="1"/>
  <c r="BI37" i="11" s="1"/>
  <c r="L42" i="3"/>
  <c r="L44" i="3" s="1"/>
  <c r="L13" i="4" s="1"/>
  <c r="L65" i="3"/>
  <c r="L21" i="6" s="1"/>
  <c r="BH37" i="11" s="1" a="1"/>
  <c r="BH37" i="11" s="1"/>
  <c r="L37" i="3"/>
  <c r="L12" i="4" s="1"/>
  <c r="M27" i="3"/>
  <c r="M28" i="3"/>
  <c r="T13" i="3"/>
  <c r="T12" i="3"/>
  <c r="K100" i="3"/>
  <c r="K73" i="3"/>
  <c r="K75" i="3" s="1"/>
  <c r="K78" i="3" s="1"/>
  <c r="K57" i="3"/>
  <c r="L47" i="3"/>
  <c r="AA99" i="4" l="1"/>
  <c r="I56" i="5"/>
  <c r="G104" i="7"/>
  <c r="K14" i="10"/>
  <c r="K23" i="10" s="1"/>
  <c r="K24" i="10" s="1"/>
  <c r="K29" i="6" s="1"/>
  <c r="K11" i="6"/>
  <c r="K69" i="6" s="1"/>
  <c r="K72" i="6" s="1"/>
  <c r="Q51" i="5"/>
  <c r="Q55" i="5" s="1"/>
  <c r="K10" i="4"/>
  <c r="K18" i="10"/>
  <c r="L56" i="3"/>
  <c r="T14" i="3"/>
  <c r="U9" i="3" s="1"/>
  <c r="U13" i="3" s="1"/>
  <c r="T64" i="3"/>
  <c r="BG45" i="11" s="1" a="1"/>
  <c r="BG45" i="11" s="1"/>
  <c r="L111" i="3"/>
  <c r="L55" i="3"/>
  <c r="T20" i="3"/>
  <c r="T105" i="3"/>
  <c r="M32" i="3"/>
  <c r="M36" i="3" s="1"/>
  <c r="L116" i="3"/>
  <c r="T26" i="3"/>
  <c r="L117" i="3"/>
  <c r="M40" i="3"/>
  <c r="M43" i="3" s="1"/>
  <c r="L50" i="3"/>
  <c r="M34" i="3"/>
  <c r="K90" i="3"/>
  <c r="M29" i="3"/>
  <c r="M11" i="4" s="1"/>
  <c r="L49" i="3"/>
  <c r="L51" i="3" s="1"/>
  <c r="L112" i="3"/>
  <c r="L106" i="3" l="1"/>
  <c r="J30" i="7"/>
  <c r="K80" i="9" s="1" a="1"/>
  <c r="K80" i="9" s="1"/>
  <c r="K82" i="9" s="1"/>
  <c r="K83" i="9" s="1"/>
  <c r="K84" i="9" s="1"/>
  <c r="K59" i="10"/>
  <c r="T21" i="3"/>
  <c r="T48" i="3" s="1"/>
  <c r="R48" i="5"/>
  <c r="R51" i="5" s="1"/>
  <c r="R55" i="5" s="1"/>
  <c r="L12" i="10"/>
  <c r="L70" i="6"/>
  <c r="L11" i="10"/>
  <c r="L35" i="10" s="1"/>
  <c r="L36" i="10" s="1"/>
  <c r="L38" i="10" s="1"/>
  <c r="K79" i="10"/>
  <c r="K29" i="10"/>
  <c r="K30" i="10" s="1"/>
  <c r="K31" i="10" s="1"/>
  <c r="K60" i="10" s="1"/>
  <c r="K30" i="6" s="1"/>
  <c r="K41" i="10"/>
  <c r="K43" i="10" s="1"/>
  <c r="M54" i="3"/>
  <c r="M35" i="3"/>
  <c r="M42" i="3" s="1"/>
  <c r="M66" i="3"/>
  <c r="M23" i="6" s="1"/>
  <c r="BI38" i="11" s="1" a="1"/>
  <c r="BI38" i="11" s="1"/>
  <c r="U12" i="3"/>
  <c r="U64" i="3" s="1"/>
  <c r="BG46" i="11" s="1" a="1"/>
  <c r="BG46" i="11" s="1"/>
  <c r="M115" i="3"/>
  <c r="N24" i="3"/>
  <c r="M47" i="3"/>
  <c r="K96" i="3"/>
  <c r="L57" i="3"/>
  <c r="L100" i="3"/>
  <c r="J56" i="5" s="1"/>
  <c r="L73" i="3"/>
  <c r="L75" i="3" s="1"/>
  <c r="L78" i="3" s="1"/>
  <c r="M110" i="3"/>
  <c r="L14" i="10" l="1"/>
  <c r="L23" i="10" s="1"/>
  <c r="L24" i="10" s="1"/>
  <c r="L29" i="6" s="1"/>
  <c r="L11" i="6"/>
  <c r="L69" i="6" s="1"/>
  <c r="L72" i="6" s="1"/>
  <c r="M10" i="10"/>
  <c r="M34" i="10" s="1"/>
  <c r="K62" i="10"/>
  <c r="K32" i="6"/>
  <c r="L61" i="10"/>
  <c r="L31" i="6"/>
  <c r="L10" i="4"/>
  <c r="L18" i="10"/>
  <c r="M37" i="3"/>
  <c r="M12" i="4" s="1"/>
  <c r="M65" i="3"/>
  <c r="M21" i="6" s="1"/>
  <c r="BH38" i="11" s="1" a="1"/>
  <c r="BH38" i="11" s="1"/>
  <c r="U26" i="3"/>
  <c r="U105" i="3"/>
  <c r="U14" i="3"/>
  <c r="V9" i="3" s="1"/>
  <c r="V12" i="3" s="1"/>
  <c r="U20" i="3"/>
  <c r="N27" i="3"/>
  <c r="N28" i="3"/>
  <c r="M49" i="3"/>
  <c r="M51" i="3" s="1"/>
  <c r="L90" i="3"/>
  <c r="M44" i="3"/>
  <c r="M13" i="4" s="1"/>
  <c r="M106" i="3" l="1"/>
  <c r="K30" i="7"/>
  <c r="L80" i="9" s="1" a="1"/>
  <c r="L80" i="9" s="1"/>
  <c r="L82" i="9" s="1"/>
  <c r="L83" i="9" s="1"/>
  <c r="L84" i="9" s="1"/>
  <c r="U21" i="3"/>
  <c r="U48" i="3" s="1"/>
  <c r="S48" i="5"/>
  <c r="S51" i="5" s="1"/>
  <c r="S55" i="5" s="1"/>
  <c r="L79" i="10"/>
  <c r="L59" i="10"/>
  <c r="L29" i="10"/>
  <c r="L30" i="10" s="1"/>
  <c r="L31" i="10" s="1"/>
  <c r="L60" i="10" s="1"/>
  <c r="L30" i="6" s="1"/>
  <c r="L41" i="10"/>
  <c r="L43" i="10" s="1"/>
  <c r="M55" i="3"/>
  <c r="M56" i="3"/>
  <c r="N32" i="3"/>
  <c r="N35" i="3" s="1"/>
  <c r="N42" i="3" s="1"/>
  <c r="M111" i="3"/>
  <c r="M116" i="3"/>
  <c r="V26" i="3"/>
  <c r="V20" i="3"/>
  <c r="V13" i="3"/>
  <c r="V14" i="3" s="1"/>
  <c r="W9" i="3" s="1"/>
  <c r="W12" i="3" s="1"/>
  <c r="W64" i="3" s="1"/>
  <c r="BG48" i="11" s="1" a="1"/>
  <c r="BG48" i="11" s="1"/>
  <c r="V105" i="3"/>
  <c r="V64" i="3"/>
  <c r="BG47" i="11" s="1" a="1"/>
  <c r="BG47" i="11" s="1"/>
  <c r="N36" i="3"/>
  <c r="N34" i="3"/>
  <c r="L96" i="3"/>
  <c r="N29" i="3"/>
  <c r="N11" i="4" s="1"/>
  <c r="M117" i="3"/>
  <c r="N40" i="3"/>
  <c r="N43" i="3" s="1"/>
  <c r="M112" i="3"/>
  <c r="M50" i="3"/>
  <c r="M11" i="10" l="1"/>
  <c r="M35" i="10" s="1"/>
  <c r="M36" i="10" s="1"/>
  <c r="M38" i="10" s="1"/>
  <c r="L62" i="10"/>
  <c r="L32" i="6"/>
  <c r="V21" i="3"/>
  <c r="V48" i="3" s="1"/>
  <c r="T48" i="5"/>
  <c r="T51" i="5" s="1"/>
  <c r="T55" i="5" s="1"/>
  <c r="M12" i="10"/>
  <c r="M70" i="6"/>
  <c r="N66" i="3"/>
  <c r="N23" i="6" s="1"/>
  <c r="BI39" i="11" s="1" a="1"/>
  <c r="BI39" i="11" s="1"/>
  <c r="W13" i="3"/>
  <c r="W14" i="3" s="1"/>
  <c r="X9" i="3" s="1"/>
  <c r="N110" i="3"/>
  <c r="N54" i="3"/>
  <c r="N65" i="3"/>
  <c r="N21" i="6" s="1"/>
  <c r="BH39" i="11" s="1" a="1"/>
  <c r="BH39" i="11" s="1"/>
  <c r="M57" i="3"/>
  <c r="W105" i="3"/>
  <c r="W20" i="3"/>
  <c r="W26" i="3"/>
  <c r="N37" i="3"/>
  <c r="N12" i="4" s="1"/>
  <c r="M100" i="3"/>
  <c r="K56" i="5" s="1"/>
  <c r="M73" i="3"/>
  <c r="M75" i="3" s="1"/>
  <c r="M78" i="3" s="1"/>
  <c r="N115" i="3"/>
  <c r="O24" i="3"/>
  <c r="N47" i="3"/>
  <c r="M61" i="10" l="1"/>
  <c r="M31" i="6"/>
  <c r="W21" i="3"/>
  <c r="W48" i="3" s="1"/>
  <c r="U48" i="5"/>
  <c r="U51" i="5" s="1"/>
  <c r="U55" i="5" s="1"/>
  <c r="M14" i="10"/>
  <c r="M23" i="10" s="1"/>
  <c r="M24" i="10" s="1"/>
  <c r="M29" i="6" s="1"/>
  <c r="M11" i="6"/>
  <c r="M69" i="6" s="1"/>
  <c r="M72" i="6" s="1"/>
  <c r="N10" i="10"/>
  <c r="N34" i="10" s="1"/>
  <c r="M10" i="4"/>
  <c r="M18" i="10"/>
  <c r="N55" i="3"/>
  <c r="N11" i="10" s="1"/>
  <c r="N35" i="10" s="1"/>
  <c r="O27" i="3"/>
  <c r="O28" i="3"/>
  <c r="X12" i="3"/>
  <c r="X64" i="3" s="1"/>
  <c r="BG49" i="11" s="1" a="1"/>
  <c r="BG49" i="11" s="1"/>
  <c r="X13" i="3"/>
  <c r="N49" i="3"/>
  <c r="N51" i="3" s="1"/>
  <c r="M90" i="3"/>
  <c r="N116" i="3"/>
  <c r="O32" i="3"/>
  <c r="N111" i="3"/>
  <c r="N44" i="3"/>
  <c r="M59" i="10" l="1"/>
  <c r="N106" i="3"/>
  <c r="L30" i="7"/>
  <c r="M80" i="9" s="1" a="1"/>
  <c r="M80" i="9" s="1"/>
  <c r="M82" i="9" s="1"/>
  <c r="M83" i="9" s="1"/>
  <c r="M84" i="9" s="1"/>
  <c r="N36" i="10"/>
  <c r="N38" i="10" s="1"/>
  <c r="N61" i="10" s="1"/>
  <c r="M79" i="10"/>
  <c r="M41" i="10"/>
  <c r="M43" i="10" s="1"/>
  <c r="M29" i="10"/>
  <c r="M30" i="10" s="1"/>
  <c r="M31" i="10" s="1"/>
  <c r="M60" i="10" s="1"/>
  <c r="N112" i="3"/>
  <c r="N13" i="4"/>
  <c r="N56" i="3"/>
  <c r="O35" i="3"/>
  <c r="O42" i="3" s="1"/>
  <c r="O36" i="3"/>
  <c r="X14" i="3"/>
  <c r="Y9" i="3" s="1"/>
  <c r="N117" i="3"/>
  <c r="O40" i="3"/>
  <c r="O43" i="3" s="1"/>
  <c r="N50" i="3"/>
  <c r="O34" i="3"/>
  <c r="O29" i="3"/>
  <c r="O11" i="4" s="1"/>
  <c r="M96" i="3"/>
  <c r="X105" i="3"/>
  <c r="X26" i="3"/>
  <c r="X20" i="3"/>
  <c r="N31" i="6" l="1"/>
  <c r="N12" i="10"/>
  <c r="N70" i="6"/>
  <c r="M30" i="6"/>
  <c r="X21" i="3"/>
  <c r="X48" i="3" s="1"/>
  <c r="V48" i="5"/>
  <c r="V51" i="5" s="1"/>
  <c r="V55" i="5" s="1"/>
  <c r="M62" i="10"/>
  <c r="M32" i="6"/>
  <c r="O54" i="3"/>
  <c r="O66" i="3"/>
  <c r="O23" i="6" s="1"/>
  <c r="BI40" i="11" s="1" a="1"/>
  <c r="BI40" i="11" s="1"/>
  <c r="O65" i="3"/>
  <c r="O21" i="6" s="1"/>
  <c r="BH40" i="11" s="1" a="1"/>
  <c r="BH40" i="11" s="1"/>
  <c r="Y13" i="3"/>
  <c r="Y12" i="3"/>
  <c r="O49" i="3"/>
  <c r="O47" i="3"/>
  <c r="O115" i="3"/>
  <c r="P24" i="3"/>
  <c r="N57" i="3"/>
  <c r="O37" i="3"/>
  <c r="O12" i="4" s="1"/>
  <c r="O110" i="3"/>
  <c r="N100" i="3"/>
  <c r="L56" i="5" s="1"/>
  <c r="N73" i="3"/>
  <c r="N75" i="3" s="1"/>
  <c r="N78" i="3" s="1"/>
  <c r="O10" i="10" l="1"/>
  <c r="O34" i="10" s="1"/>
  <c r="N14" i="10"/>
  <c r="N23" i="10" s="1"/>
  <c r="N24" i="10" s="1"/>
  <c r="N29" i="6" s="1"/>
  <c r="N11" i="6"/>
  <c r="N69" i="6" s="1"/>
  <c r="N72" i="6" s="1"/>
  <c r="N10" i="4"/>
  <c r="N18" i="10"/>
  <c r="O55" i="3"/>
  <c r="O11" i="10" s="1"/>
  <c r="O35" i="10" s="1"/>
  <c r="Y14" i="3"/>
  <c r="Z9" i="3" s="1"/>
  <c r="Z12" i="3" s="1"/>
  <c r="Z64" i="3" s="1"/>
  <c r="BG51" i="11" s="1" a="1"/>
  <c r="BG51" i="11" s="1"/>
  <c r="Y64" i="3"/>
  <c r="BG50" i="11" s="1" a="1"/>
  <c r="BG50" i="11" s="1"/>
  <c r="O51" i="3"/>
  <c r="P27" i="3"/>
  <c r="P28" i="3"/>
  <c r="Y105" i="3"/>
  <c r="Y26" i="3"/>
  <c r="Y20" i="3"/>
  <c r="O116" i="3"/>
  <c r="P32" i="3"/>
  <c r="N90" i="3"/>
  <c r="O44" i="3"/>
  <c r="O13" i="4" s="1"/>
  <c r="O111" i="3"/>
  <c r="O106" i="3" l="1"/>
  <c r="M30" i="7"/>
  <c r="N80" i="9" s="1" a="1"/>
  <c r="N80" i="9" s="1"/>
  <c r="N82" i="9" s="1"/>
  <c r="N83" i="9" s="1"/>
  <c r="N84" i="9" s="1"/>
  <c r="N59" i="10"/>
  <c r="N79" i="10"/>
  <c r="Y21" i="3"/>
  <c r="Y48" i="3" s="1"/>
  <c r="W48" i="5"/>
  <c r="W51" i="5" s="1"/>
  <c r="W55" i="5" s="1"/>
  <c r="O36" i="10"/>
  <c r="O38" i="10" s="1"/>
  <c r="N41" i="10"/>
  <c r="N43" i="10" s="1"/>
  <c r="N29" i="10"/>
  <c r="N30" i="10" s="1"/>
  <c r="N31" i="10" s="1"/>
  <c r="N60" i="10" s="1"/>
  <c r="N30" i="6" s="1"/>
  <c r="Z13" i="3"/>
  <c r="Z14" i="3" s="1"/>
  <c r="AA9" i="3" s="1"/>
  <c r="O112" i="3"/>
  <c r="O56" i="3"/>
  <c r="P35" i="3"/>
  <c r="P42" i="3" s="1"/>
  <c r="P36" i="3"/>
  <c r="P34" i="3"/>
  <c r="N96" i="3"/>
  <c r="O117" i="3"/>
  <c r="P40" i="3"/>
  <c r="P29" i="3"/>
  <c r="P11" i="4" s="1"/>
  <c r="Z105" i="3"/>
  <c r="Z26" i="3"/>
  <c r="Z20" i="3"/>
  <c r="O50" i="3"/>
  <c r="O12" i="10" l="1"/>
  <c r="O70" i="6"/>
  <c r="O61" i="10"/>
  <c r="O31" i="6"/>
  <c r="N62" i="10"/>
  <c r="N32" i="6"/>
  <c r="Z21" i="3"/>
  <c r="Z48" i="3" s="1"/>
  <c r="X48" i="5"/>
  <c r="X51" i="5" s="1"/>
  <c r="X55" i="5" s="1"/>
  <c r="P54" i="3"/>
  <c r="P65" i="3"/>
  <c r="P21" i="6" s="1"/>
  <c r="BH41" i="11" s="1" a="1"/>
  <c r="BH41" i="11" s="1"/>
  <c r="P47" i="3"/>
  <c r="P43" i="3"/>
  <c r="P66" i="3" s="1"/>
  <c r="P23" i="6" s="1"/>
  <c r="BI41" i="11" s="1" a="1"/>
  <c r="BI41" i="11" s="1"/>
  <c r="AA13" i="3"/>
  <c r="AA12" i="3"/>
  <c r="AA64" i="3" s="1"/>
  <c r="BG52" i="11" s="1" a="1"/>
  <c r="BG52" i="11" s="1"/>
  <c r="P37" i="3"/>
  <c r="P12" i="4" s="1"/>
  <c r="P115" i="3"/>
  <c r="Q24" i="3"/>
  <c r="O57" i="3"/>
  <c r="O73" i="3"/>
  <c r="O75" i="3" s="1"/>
  <c r="O78" i="3" s="1"/>
  <c r="O100" i="3"/>
  <c r="M56" i="5" s="1"/>
  <c r="P110" i="3"/>
  <c r="O14" i="10" l="1"/>
  <c r="O23" i="10" s="1"/>
  <c r="O24" i="10" s="1"/>
  <c r="O29" i="6" s="1"/>
  <c r="O11" i="6"/>
  <c r="O69" i="6" s="1"/>
  <c r="O72" i="6" s="1"/>
  <c r="P10" i="10"/>
  <c r="P34" i="10" s="1"/>
  <c r="O10" i="4"/>
  <c r="O18" i="10"/>
  <c r="P111" i="3"/>
  <c r="P55" i="3"/>
  <c r="P11" i="10" s="1"/>
  <c r="P35" i="10" s="1"/>
  <c r="Q27" i="3"/>
  <c r="Q28" i="3"/>
  <c r="AA14" i="3"/>
  <c r="P49" i="3"/>
  <c r="P51" i="3" s="1"/>
  <c r="O90" i="3"/>
  <c r="P116" i="3"/>
  <c r="Q32" i="3"/>
  <c r="P44" i="3"/>
  <c r="P13" i="4" s="1"/>
  <c r="AA105" i="3"/>
  <c r="AA26" i="3"/>
  <c r="AA20" i="3"/>
  <c r="P36" i="10" l="1"/>
  <c r="P38" i="10" s="1"/>
  <c r="P61" i="10" s="1"/>
  <c r="P106" i="3"/>
  <c r="N30" i="7"/>
  <c r="O80" i="9" s="1" a="1"/>
  <c r="O80" i="9" s="1"/>
  <c r="O82" i="9" s="1"/>
  <c r="O83" i="9" s="1"/>
  <c r="O84" i="9" s="1"/>
  <c r="O79" i="10"/>
  <c r="O59" i="10"/>
  <c r="P31" i="6"/>
  <c r="AA21" i="3"/>
  <c r="AA48" i="3" s="1"/>
  <c r="Y48" i="5"/>
  <c r="O41" i="10"/>
  <c r="O43" i="10" s="1"/>
  <c r="O29" i="10"/>
  <c r="O30" i="10" s="1"/>
  <c r="O31" i="10" s="1"/>
  <c r="O60" i="10" s="1"/>
  <c r="O30" i="6" s="1"/>
  <c r="P112" i="3"/>
  <c r="P56" i="3"/>
  <c r="P70" i="6" s="1"/>
  <c r="Q35" i="3"/>
  <c r="Q65" i="3" s="1"/>
  <c r="Q21" i="6" s="1"/>
  <c r="BH42" i="11" s="1" a="1"/>
  <c r="BH42" i="11" s="1"/>
  <c r="Q36" i="3"/>
  <c r="Q29" i="3"/>
  <c r="Q11" i="4" s="1"/>
  <c r="Q34" i="3"/>
  <c r="O96" i="3"/>
  <c r="P117" i="3"/>
  <c r="Q40" i="3"/>
  <c r="P50" i="3"/>
  <c r="O62" i="10" l="1"/>
  <c r="O32" i="6"/>
  <c r="Y51" i="5"/>
  <c r="Y55" i="5" s="1"/>
  <c r="B82" i="5" s="1"/>
  <c r="P57" i="3"/>
  <c r="P12" i="10"/>
  <c r="Q42" i="3"/>
  <c r="Q115" i="3"/>
  <c r="Q54" i="3"/>
  <c r="Q47" i="3"/>
  <c r="Q43" i="3"/>
  <c r="Q49" i="3" s="1"/>
  <c r="Q51" i="3" s="1"/>
  <c r="R24" i="3"/>
  <c r="Q110" i="3"/>
  <c r="Q37" i="3"/>
  <c r="Q12" i="4" s="1"/>
  <c r="P100" i="3"/>
  <c r="N56" i="5" s="1"/>
  <c r="P73" i="3"/>
  <c r="P75" i="3" s="1"/>
  <c r="P78" i="3" s="1"/>
  <c r="Q106" i="3" l="1"/>
  <c r="O30" i="7"/>
  <c r="P80" i="9" s="1" a="1"/>
  <c r="P80" i="9" s="1"/>
  <c r="P82" i="9" s="1"/>
  <c r="P83" i="9" s="1"/>
  <c r="P84" i="9" s="1"/>
  <c r="Q10" i="10"/>
  <c r="Q34" i="10" s="1"/>
  <c r="P14" i="10"/>
  <c r="P23" i="10" s="1"/>
  <c r="P24" i="10" s="1"/>
  <c r="P29" i="6" s="1"/>
  <c r="P11" i="6"/>
  <c r="P69" i="6" s="1"/>
  <c r="P72" i="6" s="1"/>
  <c r="P10" i="4"/>
  <c r="P18" i="10"/>
  <c r="Q55" i="3"/>
  <c r="Q11" i="10" s="1"/>
  <c r="Q35" i="10" s="1"/>
  <c r="Q111" i="3"/>
  <c r="Q66" i="3"/>
  <c r="Q23" i="6" s="1"/>
  <c r="BI42" i="11" s="1" a="1"/>
  <c r="BI42" i="11" s="1"/>
  <c r="R27" i="3"/>
  <c r="R28" i="3"/>
  <c r="Q44" i="3"/>
  <c r="Q13" i="4" s="1"/>
  <c r="P90" i="3"/>
  <c r="Q116" i="3"/>
  <c r="R32" i="3"/>
  <c r="Q36" i="10" l="1"/>
  <c r="Q38" i="10" s="1"/>
  <c r="Q61" i="10" s="1"/>
  <c r="P79" i="10"/>
  <c r="P59" i="10"/>
  <c r="P41" i="10"/>
  <c r="P43" i="10" s="1"/>
  <c r="P29" i="10"/>
  <c r="P30" i="10" s="1"/>
  <c r="P31" i="10" s="1"/>
  <c r="P60" i="10" s="1"/>
  <c r="P30" i="6" s="1"/>
  <c r="Q112" i="3"/>
  <c r="Q56" i="3"/>
  <c r="R29" i="3"/>
  <c r="R11" i="4" s="1"/>
  <c r="R35" i="3"/>
  <c r="R65" i="3" s="1"/>
  <c r="R21" i="6" s="1"/>
  <c r="BH43" i="11" s="1" a="1"/>
  <c r="BH43" i="11" s="1"/>
  <c r="R36" i="3"/>
  <c r="R34" i="3"/>
  <c r="Q50" i="3"/>
  <c r="P96" i="3"/>
  <c r="Q117" i="3"/>
  <c r="R40" i="3"/>
  <c r="Q31" i="6" l="1"/>
  <c r="Q12" i="10"/>
  <c r="Q70" i="6"/>
  <c r="P62" i="10"/>
  <c r="P32" i="6"/>
  <c r="Q73" i="3"/>
  <c r="Q75" i="3" s="1"/>
  <c r="Q78" i="3" s="1"/>
  <c r="Q11" i="6" s="1"/>
  <c r="Q69" i="6" s="1"/>
  <c r="R54" i="3"/>
  <c r="S24" i="3"/>
  <c r="S27" i="3" s="1"/>
  <c r="R115" i="3"/>
  <c r="R110" i="3"/>
  <c r="R47" i="3"/>
  <c r="R43" i="3"/>
  <c r="R66" i="3" s="1"/>
  <c r="R23" i="6" s="1"/>
  <c r="BI43" i="11" s="1" a="1"/>
  <c r="BI43" i="11" s="1"/>
  <c r="Q100" i="3"/>
  <c r="O56" i="5" s="1"/>
  <c r="R42" i="3"/>
  <c r="R37" i="3"/>
  <c r="R12" i="4" s="1"/>
  <c r="Q57" i="3"/>
  <c r="Q72" i="6" l="1"/>
  <c r="R10" i="10"/>
  <c r="R34" i="10" s="1"/>
  <c r="S28" i="3"/>
  <c r="S29" i="3" s="1"/>
  <c r="S11" i="4" s="1"/>
  <c r="Q90" i="3"/>
  <c r="Q14" i="10"/>
  <c r="Q23" i="10" s="1"/>
  <c r="Q24" i="10" s="1"/>
  <c r="Q29" i="6" s="1"/>
  <c r="Q10" i="4"/>
  <c r="Q18" i="10"/>
  <c r="R111" i="3"/>
  <c r="R55" i="3"/>
  <c r="R11" i="10" s="1"/>
  <c r="R35" i="10" s="1"/>
  <c r="R49" i="3"/>
  <c r="R51" i="3" s="1"/>
  <c r="S34" i="3"/>
  <c r="R116" i="3"/>
  <c r="S32" i="3"/>
  <c r="R44" i="3"/>
  <c r="R13" i="4" s="1"/>
  <c r="Q96" i="3"/>
  <c r="R106" i="3" l="1"/>
  <c r="P30" i="7"/>
  <c r="Q80" i="9" s="1" a="1"/>
  <c r="Q80" i="9" s="1"/>
  <c r="Q82" i="9" s="1"/>
  <c r="Q83" i="9" s="1"/>
  <c r="Q84" i="9" s="1"/>
  <c r="R36" i="10"/>
  <c r="R38" i="10" s="1"/>
  <c r="R61" i="10" s="1"/>
  <c r="R31" i="6"/>
  <c r="Q29" i="10"/>
  <c r="Q30" i="10" s="1"/>
  <c r="Q31" i="10" s="1"/>
  <c r="Q60" i="10" s="1"/>
  <c r="Q30" i="6" s="1"/>
  <c r="Q41" i="10"/>
  <c r="Q43" i="10" s="1"/>
  <c r="Q59" i="10"/>
  <c r="Q79" i="10"/>
  <c r="S54" i="3"/>
  <c r="R56" i="3"/>
  <c r="S35" i="3"/>
  <c r="S65" i="3" s="1"/>
  <c r="S21" i="6" s="1"/>
  <c r="BH44" i="11" s="1" a="1"/>
  <c r="BH44" i="11" s="1"/>
  <c r="S36" i="3"/>
  <c r="S115" i="3"/>
  <c r="T24" i="3"/>
  <c r="S110" i="3"/>
  <c r="R117" i="3"/>
  <c r="S40" i="3"/>
  <c r="S43" i="3" s="1"/>
  <c r="R112" i="3"/>
  <c r="R50" i="3"/>
  <c r="R12" i="10" l="1"/>
  <c r="R70" i="6"/>
  <c r="S10" i="10"/>
  <c r="S34" i="10" s="1"/>
  <c r="Q62" i="10"/>
  <c r="Q32" i="6"/>
  <c r="S66" i="3"/>
  <c r="S23" i="6" s="1"/>
  <c r="BI44" i="11" s="1" a="1"/>
  <c r="BI44" i="11" s="1"/>
  <c r="T27" i="3"/>
  <c r="T28" i="3"/>
  <c r="R73" i="3"/>
  <c r="R75" i="3" s="1"/>
  <c r="R78" i="3" s="1"/>
  <c r="R100" i="3"/>
  <c r="P56" i="5" s="1"/>
  <c r="S47" i="3"/>
  <c r="R57" i="3"/>
  <c r="S42" i="3"/>
  <c r="S37" i="3"/>
  <c r="S12" i="4" s="1"/>
  <c r="R14" i="10" l="1"/>
  <c r="R23" i="10" s="1"/>
  <c r="R24" i="10" s="1"/>
  <c r="R29" i="6" s="1"/>
  <c r="R11" i="6"/>
  <c r="R69" i="6" s="1"/>
  <c r="R72" i="6" s="1"/>
  <c r="R10" i="4"/>
  <c r="R18" i="10"/>
  <c r="S55" i="3"/>
  <c r="T34" i="3"/>
  <c r="T29" i="3"/>
  <c r="T11" i="4" s="1"/>
  <c r="S116" i="3"/>
  <c r="T32" i="3"/>
  <c r="S44" i="3"/>
  <c r="S13" i="4" s="1"/>
  <c r="S111" i="3"/>
  <c r="S49" i="3"/>
  <c r="S51" i="3" s="1"/>
  <c r="R90" i="3"/>
  <c r="S106" i="3" l="1"/>
  <c r="Q30" i="7"/>
  <c r="R80" i="9" s="1" a="1"/>
  <c r="R80" i="9" s="1"/>
  <c r="R82" i="9" s="1"/>
  <c r="R83" i="9" s="1"/>
  <c r="R84" i="9" s="1"/>
  <c r="R59" i="10"/>
  <c r="S11" i="10"/>
  <c r="S35" i="10" s="1"/>
  <c r="S36" i="10" s="1"/>
  <c r="S38" i="10" s="1"/>
  <c r="R79" i="10"/>
  <c r="R41" i="10"/>
  <c r="R43" i="10" s="1"/>
  <c r="R29" i="10"/>
  <c r="R30" i="10" s="1"/>
  <c r="R31" i="10" s="1"/>
  <c r="R60" i="10" s="1"/>
  <c r="T110" i="3"/>
  <c r="T54" i="3"/>
  <c r="S112" i="3"/>
  <c r="S56" i="3"/>
  <c r="T35" i="3"/>
  <c r="T65" i="3" s="1"/>
  <c r="T21" i="6" s="1"/>
  <c r="BH45" i="11" s="1" a="1"/>
  <c r="BH45" i="11" s="1"/>
  <c r="T36" i="3"/>
  <c r="S50" i="3"/>
  <c r="T115" i="3"/>
  <c r="U24" i="3"/>
  <c r="R96" i="3"/>
  <c r="S117" i="3"/>
  <c r="T40" i="3"/>
  <c r="T43" i="3" s="1"/>
  <c r="R30" i="6" l="1"/>
  <c r="T10" i="10"/>
  <c r="T34" i="10" s="1"/>
  <c r="R62" i="10"/>
  <c r="R32" i="6"/>
  <c r="S12" i="10"/>
  <c r="S70" i="6"/>
  <c r="S61" i="10"/>
  <c r="S31" i="6"/>
  <c r="S73" i="3"/>
  <c r="S75" i="3" s="1"/>
  <c r="S78" i="3" s="1"/>
  <c r="S90" i="3" s="1"/>
  <c r="T66" i="3"/>
  <c r="T23" i="6" s="1"/>
  <c r="BI45" i="11" s="1" a="1"/>
  <c r="BI45" i="11" s="1"/>
  <c r="U27" i="3"/>
  <c r="U28" i="3"/>
  <c r="S100" i="3"/>
  <c r="T47" i="3"/>
  <c r="T42" i="3"/>
  <c r="T37" i="3"/>
  <c r="T12" i="4" s="1"/>
  <c r="S57" i="3"/>
  <c r="Q56" i="5" l="1"/>
  <c r="G105" i="7"/>
  <c r="S14" i="10"/>
  <c r="S23" i="10" s="1"/>
  <c r="S24" i="10" s="1"/>
  <c r="S29" i="6" s="1"/>
  <c r="S11" i="6"/>
  <c r="S69" i="6" s="1"/>
  <c r="S72" i="6" s="1"/>
  <c r="S10" i="4"/>
  <c r="S18" i="10"/>
  <c r="T111" i="3"/>
  <c r="T55" i="3"/>
  <c r="T49" i="3"/>
  <c r="T51" i="3" s="1"/>
  <c r="T116" i="3"/>
  <c r="U32" i="3"/>
  <c r="U34" i="3"/>
  <c r="U29" i="3"/>
  <c r="U11" i="4" s="1"/>
  <c r="S96" i="3"/>
  <c r="T44" i="3"/>
  <c r="T13" i="4" s="1"/>
  <c r="T106" i="3" l="1"/>
  <c r="R30" i="7"/>
  <c r="S80" i="9" s="1" a="1"/>
  <c r="S80" i="9" s="1"/>
  <c r="S82" i="9" s="1"/>
  <c r="S83" i="9" s="1"/>
  <c r="S84" i="9" s="1"/>
  <c r="T11" i="10"/>
  <c r="T35" i="10" s="1"/>
  <c r="T36" i="10" s="1"/>
  <c r="T38" i="10" s="1"/>
  <c r="S79" i="10"/>
  <c r="S59" i="10"/>
  <c r="S41" i="10"/>
  <c r="S43" i="10" s="1"/>
  <c r="S29" i="10"/>
  <c r="S30" i="10" s="1"/>
  <c r="S31" i="10" s="1"/>
  <c r="S60" i="10" s="1"/>
  <c r="U110" i="3"/>
  <c r="U54" i="3"/>
  <c r="T50" i="3"/>
  <c r="T56" i="3"/>
  <c r="T70" i="6" s="1"/>
  <c r="U35" i="3"/>
  <c r="U65" i="3" s="1"/>
  <c r="U21" i="6" s="1"/>
  <c r="BH46" i="11" s="1" a="1"/>
  <c r="BH46" i="11" s="1"/>
  <c r="U36" i="3"/>
  <c r="U115" i="3"/>
  <c r="V24" i="3"/>
  <c r="T117" i="3"/>
  <c r="U40" i="3"/>
  <c r="U43" i="3" s="1"/>
  <c r="T112" i="3"/>
  <c r="S30" i="6" l="1"/>
  <c r="S62" i="10"/>
  <c r="S32" i="6"/>
  <c r="T61" i="10"/>
  <c r="T31" i="6"/>
  <c r="U10" i="10"/>
  <c r="U34" i="10" s="1"/>
  <c r="T57" i="3"/>
  <c r="T12" i="10"/>
  <c r="T73" i="3"/>
  <c r="T75" i="3" s="1"/>
  <c r="T78" i="3" s="1"/>
  <c r="T90" i="3" s="1"/>
  <c r="T100" i="3"/>
  <c r="R56" i="5" s="1"/>
  <c r="U66" i="3"/>
  <c r="U23" i="6" s="1"/>
  <c r="BI46" i="11" s="1" a="1"/>
  <c r="BI46" i="11" s="1"/>
  <c r="V27" i="3"/>
  <c r="V28" i="3"/>
  <c r="U42" i="3"/>
  <c r="U47" i="3"/>
  <c r="U37" i="3"/>
  <c r="U12" i="4" s="1"/>
  <c r="T14" i="10" l="1"/>
  <c r="T23" i="10" s="1"/>
  <c r="T24" i="10" s="1"/>
  <c r="T29" i="6" s="1"/>
  <c r="T11" i="6"/>
  <c r="T69" i="6" s="1"/>
  <c r="T72" i="6" s="1"/>
  <c r="T10" i="4"/>
  <c r="T18" i="10"/>
  <c r="U111" i="3"/>
  <c r="U55" i="3"/>
  <c r="U44" i="3"/>
  <c r="U13" i="4" s="1"/>
  <c r="U116" i="3"/>
  <c r="V32" i="3"/>
  <c r="U49" i="3"/>
  <c r="U51" i="3" s="1"/>
  <c r="T96" i="3"/>
  <c r="V34" i="3"/>
  <c r="V29" i="3"/>
  <c r="V11" i="4" s="1"/>
  <c r="U106" i="3" l="1"/>
  <c r="S30" i="7"/>
  <c r="T80" i="9" s="1" a="1"/>
  <c r="T80" i="9" s="1"/>
  <c r="T82" i="9" s="1"/>
  <c r="T83" i="9" s="1"/>
  <c r="T84" i="9" s="1"/>
  <c r="U11" i="10"/>
  <c r="U35" i="10" s="1"/>
  <c r="U36" i="10" s="1"/>
  <c r="U38" i="10" s="1"/>
  <c r="T79" i="10"/>
  <c r="T59" i="10"/>
  <c r="T41" i="10"/>
  <c r="T43" i="10" s="1"/>
  <c r="T29" i="10"/>
  <c r="T30" i="10" s="1"/>
  <c r="T31" i="10" s="1"/>
  <c r="T60" i="10" s="1"/>
  <c r="T30" i="6" s="1"/>
  <c r="V110" i="3"/>
  <c r="V54" i="3"/>
  <c r="U112" i="3"/>
  <c r="U56" i="3"/>
  <c r="V35" i="3"/>
  <c r="V65" i="3" s="1"/>
  <c r="V21" i="6" s="1"/>
  <c r="BH47" i="11" s="1" a="1"/>
  <c r="BH47" i="11" s="1"/>
  <c r="V36" i="3"/>
  <c r="U50" i="3"/>
  <c r="V115" i="3"/>
  <c r="W24" i="3"/>
  <c r="U117" i="3"/>
  <c r="V40" i="3"/>
  <c r="T62" i="10" l="1"/>
  <c r="T32" i="6"/>
  <c r="U12" i="10"/>
  <c r="U70" i="6"/>
  <c r="V10" i="10"/>
  <c r="V34" i="10" s="1"/>
  <c r="U61" i="10"/>
  <c r="U31" i="6"/>
  <c r="U73" i="3"/>
  <c r="U75" i="3" s="1"/>
  <c r="U78" i="3" s="1"/>
  <c r="V47" i="3"/>
  <c r="V43" i="3"/>
  <c r="V66" i="3" s="1"/>
  <c r="V23" i="6" s="1"/>
  <c r="BI47" i="11" s="1" a="1"/>
  <c r="BI47" i="11" s="1"/>
  <c r="W27" i="3"/>
  <c r="W28" i="3"/>
  <c r="U100" i="3"/>
  <c r="S56" i="5" s="1"/>
  <c r="V37" i="3"/>
  <c r="V12" i="4" s="1"/>
  <c r="V42" i="3"/>
  <c r="U57" i="3"/>
  <c r="U14" i="10" l="1"/>
  <c r="U23" i="10" s="1"/>
  <c r="U24" i="10" s="1"/>
  <c r="U29" i="6" s="1"/>
  <c r="U11" i="6"/>
  <c r="U69" i="6" s="1"/>
  <c r="U72" i="6" s="1"/>
  <c r="U10" i="4"/>
  <c r="U18" i="10"/>
  <c r="U90" i="3"/>
  <c r="U96" i="3" s="1"/>
  <c r="V55" i="3"/>
  <c r="W29" i="3"/>
  <c r="W11" i="4" s="1"/>
  <c r="V44" i="3"/>
  <c r="V13" i="4" s="1"/>
  <c r="V49" i="3"/>
  <c r="V51" i="3" s="1"/>
  <c r="V116" i="3"/>
  <c r="W32" i="3"/>
  <c r="W34" i="3"/>
  <c r="V111" i="3"/>
  <c r="V106" i="3" l="1"/>
  <c r="T30" i="7"/>
  <c r="U80" i="9" s="1" a="1"/>
  <c r="U80" i="9" s="1"/>
  <c r="U82" i="9" s="1"/>
  <c r="U83" i="9" s="1"/>
  <c r="U84" i="9" s="1"/>
  <c r="V11" i="10"/>
  <c r="V35" i="10" s="1"/>
  <c r="V36" i="10" s="1"/>
  <c r="V38" i="10" s="1"/>
  <c r="U59" i="10"/>
  <c r="U79" i="10"/>
  <c r="U41" i="10"/>
  <c r="U43" i="10" s="1"/>
  <c r="U29" i="10"/>
  <c r="U30" i="10" s="1"/>
  <c r="U31" i="10" s="1"/>
  <c r="U60" i="10" s="1"/>
  <c r="U30" i="6" s="1"/>
  <c r="V56" i="3"/>
  <c r="W115" i="3"/>
  <c r="W54" i="3"/>
  <c r="W35" i="3"/>
  <c r="W65" i="3" s="1"/>
  <c r="W21" i="6" s="1"/>
  <c r="BH48" i="11" s="1" a="1"/>
  <c r="BH48" i="11" s="1"/>
  <c r="W36" i="3"/>
  <c r="W110" i="3"/>
  <c r="X24" i="3"/>
  <c r="V117" i="3"/>
  <c r="W40" i="3"/>
  <c r="V50" i="3"/>
  <c r="V112" i="3"/>
  <c r="U62" i="10" l="1"/>
  <c r="U32" i="6"/>
  <c r="V12" i="10"/>
  <c r="V70" i="6"/>
  <c r="W10" i="10"/>
  <c r="W34" i="10" s="1"/>
  <c r="V61" i="10"/>
  <c r="V31" i="6"/>
  <c r="V57" i="3"/>
  <c r="W47" i="3"/>
  <c r="W43" i="3"/>
  <c r="W49" i="3" s="1"/>
  <c r="W51" i="3" s="1"/>
  <c r="X27" i="3"/>
  <c r="X34" i="3" s="1"/>
  <c r="X28" i="3"/>
  <c r="W37" i="3"/>
  <c r="W12" i="4" s="1"/>
  <c r="W42" i="3"/>
  <c r="V100" i="3"/>
  <c r="T56" i="5" s="1"/>
  <c r="V73" i="3"/>
  <c r="V75" i="3" s="1"/>
  <c r="V78" i="3" s="1"/>
  <c r="W106" i="3" l="1"/>
  <c r="U30" i="7"/>
  <c r="V80" i="9" s="1" a="1"/>
  <c r="V80" i="9" s="1"/>
  <c r="V82" i="9" s="1"/>
  <c r="V83" i="9" s="1"/>
  <c r="V84" i="9" s="1"/>
  <c r="V14" i="10"/>
  <c r="V23" i="10" s="1"/>
  <c r="V24" i="10" s="1"/>
  <c r="V29" i="6" s="1"/>
  <c r="V11" i="6"/>
  <c r="V69" i="6" s="1"/>
  <c r="V72" i="6" s="1"/>
  <c r="V10" i="4"/>
  <c r="V18" i="10"/>
  <c r="W111" i="3"/>
  <c r="W116" i="3"/>
  <c r="W55" i="3"/>
  <c r="X29" i="3"/>
  <c r="X11" i="4" s="1"/>
  <c r="W66" i="3"/>
  <c r="W23" i="6" s="1"/>
  <c r="BI48" i="11" s="1" a="1"/>
  <c r="BI48" i="11" s="1"/>
  <c r="X32" i="3"/>
  <c r="V90" i="3"/>
  <c r="W44" i="3"/>
  <c r="W13" i="4" s="1"/>
  <c r="W11" i="10" l="1"/>
  <c r="W35" i="10" s="1"/>
  <c r="W36" i="10" s="1"/>
  <c r="W38" i="10" s="1"/>
  <c r="X115" i="3"/>
  <c r="V79" i="10"/>
  <c r="V59" i="10"/>
  <c r="V41" i="10"/>
  <c r="V43" i="10" s="1"/>
  <c r="V29" i="10"/>
  <c r="V30" i="10" s="1"/>
  <c r="V31" i="10" s="1"/>
  <c r="V60" i="10" s="1"/>
  <c r="V30" i="6" s="1"/>
  <c r="Y24" i="3"/>
  <c r="Y28" i="3" s="1"/>
  <c r="W112" i="3"/>
  <c r="W56" i="3"/>
  <c r="X110" i="3"/>
  <c r="X54" i="3"/>
  <c r="X35" i="3"/>
  <c r="X36" i="3"/>
  <c r="W117" i="3"/>
  <c r="X40" i="3"/>
  <c r="X43" i="3" s="1"/>
  <c r="W50" i="3"/>
  <c r="V96" i="3"/>
  <c r="Y27" i="3" l="1"/>
  <c r="Y34" i="3" s="1"/>
  <c r="X10" i="10"/>
  <c r="X34" i="10" s="1"/>
  <c r="V62" i="10"/>
  <c r="V32" i="6"/>
  <c r="W12" i="10"/>
  <c r="W70" i="6"/>
  <c r="W61" i="10"/>
  <c r="W31" i="6"/>
  <c r="Y29" i="3"/>
  <c r="Y11" i="4" s="1"/>
  <c r="X37" i="3"/>
  <c r="X12" i="4" s="1"/>
  <c r="X66" i="3"/>
  <c r="X23" i="6" s="1"/>
  <c r="BI49" i="11" s="1" a="1"/>
  <c r="BI49" i="11" s="1"/>
  <c r="X42" i="3"/>
  <c r="X44" i="3" s="1"/>
  <c r="X13" i="4" s="1"/>
  <c r="X65" i="3"/>
  <c r="X21" i="6" s="1"/>
  <c r="BH49" i="11" s="1" a="1"/>
  <c r="BH49" i="11" s="1"/>
  <c r="W57" i="3"/>
  <c r="X47" i="3"/>
  <c r="W100" i="3"/>
  <c r="U56" i="5" s="1"/>
  <c r="W73" i="3"/>
  <c r="W75" i="3" s="1"/>
  <c r="W78" i="3" s="1"/>
  <c r="W14" i="10" l="1"/>
  <c r="W23" i="10" s="1"/>
  <c r="W24" i="10" s="1"/>
  <c r="W29" i="6" s="1"/>
  <c r="W11" i="6"/>
  <c r="W69" i="6" s="1"/>
  <c r="W72" i="6" s="1"/>
  <c r="W10" i="4"/>
  <c r="W18" i="10"/>
  <c r="X56" i="3"/>
  <c r="X55" i="3"/>
  <c r="Y54" i="3"/>
  <c r="X111" i="3"/>
  <c r="Y32" i="3"/>
  <c r="Y35" i="3" s="1"/>
  <c r="Y65" i="3" s="1"/>
  <c r="Y21" i="6" s="1"/>
  <c r="BH50" i="11" s="1" a="1"/>
  <c r="BH50" i="11" s="1"/>
  <c r="X116" i="3"/>
  <c r="Y110" i="3"/>
  <c r="Y115" i="3"/>
  <c r="Z24" i="3"/>
  <c r="Z27" i="3" s="1"/>
  <c r="X117" i="3"/>
  <c r="Y40" i="3"/>
  <c r="Y43" i="3" s="1"/>
  <c r="X50" i="3"/>
  <c r="W90" i="3"/>
  <c r="X49" i="3"/>
  <c r="X51" i="3" s="1"/>
  <c r="X112" i="3"/>
  <c r="X106" i="3" l="1"/>
  <c r="V30" i="7"/>
  <c r="W80" i="9" s="1" a="1"/>
  <c r="W80" i="9" s="1"/>
  <c r="W82" i="9" s="1"/>
  <c r="W83" i="9" s="1"/>
  <c r="W84" i="9" s="1"/>
  <c r="X12" i="10"/>
  <c r="X70" i="6"/>
  <c r="W79" i="10"/>
  <c r="W59" i="10"/>
  <c r="X11" i="10"/>
  <c r="X35" i="10" s="1"/>
  <c r="X36" i="10" s="1"/>
  <c r="X38" i="10" s="1"/>
  <c r="Y10" i="10"/>
  <c r="Y34" i="10" s="1"/>
  <c r="W29" i="10"/>
  <c r="W30" i="10" s="1"/>
  <c r="W31" i="10" s="1"/>
  <c r="W60" i="10" s="1"/>
  <c r="W30" i="6" s="1"/>
  <c r="W41" i="10"/>
  <c r="W43" i="10" s="1"/>
  <c r="X57" i="3"/>
  <c r="Y36" i="3"/>
  <c r="Y66" i="3" s="1"/>
  <c r="Y23" i="6" s="1"/>
  <c r="BI50" i="11" s="1" a="1"/>
  <c r="BI50" i="11" s="1"/>
  <c r="Z28" i="3"/>
  <c r="Z29" i="3" s="1"/>
  <c r="Z11" i="4" s="1"/>
  <c r="Y47" i="3"/>
  <c r="X100" i="3"/>
  <c r="V56" i="5" s="1"/>
  <c r="X73" i="3"/>
  <c r="X75" i="3" s="1"/>
  <c r="X78" i="3" s="1"/>
  <c r="Z34" i="3"/>
  <c r="Y42" i="3"/>
  <c r="W96" i="3"/>
  <c r="X61" i="10" l="1"/>
  <c r="X31" i="6"/>
  <c r="X14" i="10"/>
  <c r="X23" i="10" s="1"/>
  <c r="X24" i="10" s="1"/>
  <c r="X29" i="6" s="1"/>
  <c r="X11" i="6"/>
  <c r="X69" i="6" s="1"/>
  <c r="X72" i="6" s="1"/>
  <c r="W62" i="10"/>
  <c r="W32" i="6"/>
  <c r="X10" i="4"/>
  <c r="X18" i="10"/>
  <c r="Y49" i="3"/>
  <c r="Y51" i="3" s="1"/>
  <c r="Y37" i="3"/>
  <c r="Y12" i="4" s="1"/>
  <c r="Z110" i="3"/>
  <c r="Z54" i="3"/>
  <c r="Y44" i="3"/>
  <c r="Y13" i="4" s="1"/>
  <c r="X90" i="3"/>
  <c r="Z115" i="3"/>
  <c r="AA24" i="3"/>
  <c r="Y106" i="3" l="1"/>
  <c r="W30" i="7"/>
  <c r="X80" i="9" s="1" a="1"/>
  <c r="X80" i="9" s="1"/>
  <c r="X82" i="9" s="1"/>
  <c r="X83" i="9" s="1"/>
  <c r="X84" i="9" s="1"/>
  <c r="Y116" i="3"/>
  <c r="Z10" i="10"/>
  <c r="Z34" i="10" s="1"/>
  <c r="X79" i="10"/>
  <c r="X59" i="10"/>
  <c r="X41" i="10"/>
  <c r="X43" i="10" s="1"/>
  <c r="X29" i="10"/>
  <c r="X30" i="10" s="1"/>
  <c r="X31" i="10" s="1"/>
  <c r="X60" i="10" s="1"/>
  <c r="X30" i="6" s="1"/>
  <c r="Z32" i="3"/>
  <c r="Z35" i="3" s="1"/>
  <c r="Y111" i="3"/>
  <c r="Y55" i="3"/>
  <c r="Y56" i="3"/>
  <c r="AA27" i="3"/>
  <c r="AA28" i="3"/>
  <c r="X96" i="3"/>
  <c r="Y117" i="3"/>
  <c r="Z40" i="3"/>
  <c r="Z43" i="3" s="1"/>
  <c r="Y50" i="3"/>
  <c r="Y112" i="3"/>
  <c r="Z36" i="3" l="1"/>
  <c r="Z37" i="3" s="1"/>
  <c r="Y11" i="10"/>
  <c r="Y35" i="10" s="1"/>
  <c r="Y36" i="10" s="1"/>
  <c r="Y38" i="10" s="1"/>
  <c r="X62" i="10"/>
  <c r="X32" i="6"/>
  <c r="Y12" i="10"/>
  <c r="Y70" i="6"/>
  <c r="Z42" i="3"/>
  <c r="Z65" i="3"/>
  <c r="Z21" i="6" s="1"/>
  <c r="BH51" i="11" s="1" a="1"/>
  <c r="BH51" i="11" s="1"/>
  <c r="Y57" i="3"/>
  <c r="Y100" i="3"/>
  <c r="W56" i="5" s="1"/>
  <c r="Y73" i="3"/>
  <c r="Y75" i="3" s="1"/>
  <c r="Y78" i="3" s="1"/>
  <c r="AA34" i="3"/>
  <c r="AA29" i="3"/>
  <c r="AA11" i="4" s="1"/>
  <c r="Z47" i="3"/>
  <c r="Z12" i="4" l="1"/>
  <c r="Z116" i="3"/>
  <c r="AA32" i="3"/>
  <c r="Z66" i="3"/>
  <c r="Z23" i="6" s="1"/>
  <c r="BI51" i="11" s="1" a="1"/>
  <c r="BI51" i="11" s="1"/>
  <c r="Y14" i="10"/>
  <c r="Y23" i="10" s="1"/>
  <c r="Y24" i="10" s="1"/>
  <c r="Y29" i="6" s="1"/>
  <c r="Y11" i="6"/>
  <c r="Y69" i="6" s="1"/>
  <c r="Y72" i="6" s="1"/>
  <c r="Y61" i="10"/>
  <c r="Y31" i="6"/>
  <c r="Y10" i="4"/>
  <c r="Y18" i="10"/>
  <c r="AA54" i="3"/>
  <c r="Z55" i="3"/>
  <c r="Z111" i="3"/>
  <c r="AA35" i="3"/>
  <c r="AA65" i="3" s="1"/>
  <c r="AA21" i="6" s="1"/>
  <c r="BH52" i="11" s="1" a="1"/>
  <c r="BH52" i="11" s="1"/>
  <c r="AA36" i="3"/>
  <c r="Y90" i="3"/>
  <c r="AA115" i="3"/>
  <c r="Z49" i="3"/>
  <c r="Z51" i="3" s="1"/>
  <c r="Z44" i="3"/>
  <c r="Z13" i="4" s="1"/>
  <c r="AA110" i="3"/>
  <c r="Z106" i="3" l="1"/>
  <c r="X30" i="7"/>
  <c r="Y80" i="9" s="1" a="1"/>
  <c r="Y80" i="9" s="1"/>
  <c r="Y82" i="9" s="1"/>
  <c r="Y83" i="9" s="1"/>
  <c r="Y84" i="9" s="1"/>
  <c r="Y59" i="10"/>
  <c r="Z11" i="10"/>
  <c r="Z35" i="10" s="1"/>
  <c r="Z36" i="10" s="1"/>
  <c r="Z38" i="10" s="1"/>
  <c r="AA10" i="10"/>
  <c r="AA34" i="10" s="1"/>
  <c r="Y79" i="10"/>
  <c r="Y41" i="10"/>
  <c r="Y43" i="10" s="1"/>
  <c r="Y29" i="10"/>
  <c r="Y30" i="10" s="1"/>
  <c r="Y31" i="10" s="1"/>
  <c r="Y60" i="10" s="1"/>
  <c r="Y30" i="6" s="1"/>
  <c r="Z56" i="3"/>
  <c r="AA37" i="3"/>
  <c r="AA12" i="4" s="1"/>
  <c r="Z117" i="3"/>
  <c r="AA40" i="3"/>
  <c r="AA43" i="3" s="1"/>
  <c r="AA66" i="3" s="1"/>
  <c r="AA23" i="6" s="1"/>
  <c r="BI52" i="11" s="1" a="1"/>
  <c r="BI52" i="11" s="1"/>
  <c r="Z50" i="3"/>
  <c r="AA42" i="3"/>
  <c r="Y96" i="3"/>
  <c r="Z112" i="3"/>
  <c r="Y62" i="10" l="1"/>
  <c r="Y32" i="6"/>
  <c r="Z12" i="10"/>
  <c r="Z70" i="6"/>
  <c r="Z61" i="10"/>
  <c r="Z31" i="6"/>
  <c r="AA55" i="3"/>
  <c r="AA111" i="3"/>
  <c r="AA116" i="3"/>
  <c r="Z100" i="3"/>
  <c r="X56" i="5" s="1"/>
  <c r="Z73" i="3"/>
  <c r="Z75" i="3" s="1"/>
  <c r="Z78" i="3" s="1"/>
  <c r="AA47" i="3"/>
  <c r="Z57" i="3"/>
  <c r="AA11" i="10" l="1"/>
  <c r="AA35" i="10" s="1"/>
  <c r="AA36" i="10" s="1"/>
  <c r="AA38" i="10" s="1"/>
  <c r="Z14" i="10"/>
  <c r="Z23" i="10" s="1"/>
  <c r="Z24" i="10" s="1"/>
  <c r="Z29" i="6" s="1"/>
  <c r="Z11" i="6"/>
  <c r="Z69" i="6" s="1"/>
  <c r="Z72" i="6" s="1"/>
  <c r="Z10" i="4"/>
  <c r="Z18" i="10"/>
  <c r="AA49" i="3"/>
  <c r="AA51" i="3" s="1"/>
  <c r="AA44" i="3"/>
  <c r="AA13" i="4" s="1"/>
  <c r="Z90" i="3"/>
  <c r="AA106" i="3" l="1"/>
  <c r="Y30" i="7"/>
  <c r="Z80" i="9" s="1" a="1"/>
  <c r="Z80" i="9" s="1"/>
  <c r="Z82" i="9" s="1"/>
  <c r="Z83" i="9" s="1"/>
  <c r="Z84" i="9" s="1"/>
  <c r="Z79" i="10"/>
  <c r="Z59" i="10"/>
  <c r="AA61" i="10"/>
  <c r="AA31" i="6"/>
  <c r="Z41" i="10"/>
  <c r="Z43" i="10" s="1"/>
  <c r="Z29" i="10"/>
  <c r="Z30" i="10" s="1"/>
  <c r="Z31" i="10" s="1"/>
  <c r="Z60" i="10" s="1"/>
  <c r="AA56" i="3"/>
  <c r="Z96" i="3"/>
  <c r="AA117" i="3"/>
  <c r="AA50" i="3"/>
  <c r="AA112" i="3"/>
  <c r="AA12" i="10" l="1"/>
  <c r="AA70" i="6"/>
  <c r="Z30" i="6"/>
  <c r="Z62" i="10"/>
  <c r="Z32" i="6"/>
  <c r="AA57" i="3"/>
  <c r="AA73" i="3"/>
  <c r="AA75" i="3" s="1"/>
  <c r="AA78" i="3" s="1"/>
  <c r="AA100" i="3"/>
  <c r="Y56" i="5" s="1"/>
  <c r="AA14" i="10" l="1"/>
  <c r="AA23" i="10" s="1"/>
  <c r="AA24" i="10" s="1"/>
  <c r="AA29" i="6" s="1"/>
  <c r="AA11" i="6"/>
  <c r="AA69" i="6" s="1"/>
  <c r="AA72" i="6" s="1"/>
  <c r="AA10" i="4"/>
  <c r="AA18" i="10"/>
  <c r="AA90" i="3"/>
  <c r="AA31" i="4" l="1" a="1"/>
  <c r="AA31" i="4" s="1"/>
  <c r="AA32" i="4" s="1"/>
  <c r="Y37" i="4" a="1"/>
  <c r="Y37" i="4" s="1"/>
  <c r="Y38" i="4" s="1"/>
  <c r="X37" i="4" a="1"/>
  <c r="X37" i="4" s="1"/>
  <c r="X38" i="4" s="1"/>
  <c r="I31" i="4" a="1"/>
  <c r="I31" i="4" s="1"/>
  <c r="I32" i="4" s="1"/>
  <c r="L31" i="4" a="1"/>
  <c r="L31" i="4" s="1"/>
  <c r="L32" i="4" s="1"/>
  <c r="U31" i="4" a="1"/>
  <c r="U31" i="4" s="1"/>
  <c r="U32" i="4" s="1"/>
  <c r="W37" i="4" a="1"/>
  <c r="W37" i="4" s="1"/>
  <c r="W38" i="4" s="1"/>
  <c r="F31" i="4" a="1"/>
  <c r="F31" i="4" s="1"/>
  <c r="F32" i="4" s="1"/>
  <c r="Q31" i="4" a="1"/>
  <c r="Q31" i="4" s="1"/>
  <c r="Q32" i="4" s="1"/>
  <c r="F37" i="4" a="1"/>
  <c r="F37" i="4" s="1"/>
  <c r="F38" i="4" s="1"/>
  <c r="R31" i="4" a="1"/>
  <c r="R31" i="4" s="1"/>
  <c r="R32" i="4" s="1"/>
  <c r="Z37" i="4" a="1"/>
  <c r="Z37" i="4" s="1"/>
  <c r="Z38" i="4" s="1"/>
  <c r="H31" i="4" a="1"/>
  <c r="H31" i="4" s="1"/>
  <c r="H32" i="4" s="1"/>
  <c r="M37" i="4" a="1"/>
  <c r="M37" i="4" s="1"/>
  <c r="M38" i="4" s="1"/>
  <c r="J37" i="4" a="1"/>
  <c r="J37" i="4" s="1"/>
  <c r="J38" i="4" s="1"/>
  <c r="S31" i="4" a="1"/>
  <c r="S31" i="4" s="1"/>
  <c r="S32" i="4" s="1"/>
  <c r="U37" i="4" a="1"/>
  <c r="U37" i="4" s="1"/>
  <c r="U38" i="4" s="1"/>
  <c r="L37" i="4" a="1"/>
  <c r="L37" i="4" s="1"/>
  <c r="L38" i="4" s="1"/>
  <c r="G31" i="4" a="1"/>
  <c r="G31" i="4" s="1"/>
  <c r="G32" i="4" s="1"/>
  <c r="I37" i="4" a="1"/>
  <c r="I37" i="4" s="1"/>
  <c r="I38" i="4" s="1"/>
  <c r="E31" i="4" a="1"/>
  <c r="E31" i="4" s="1"/>
  <c r="E32" i="4" s="1"/>
  <c r="W31" i="4" a="1"/>
  <c r="W31" i="4" s="1"/>
  <c r="W32" i="4" s="1"/>
  <c r="AA37" i="4" a="1"/>
  <c r="AA37" i="4" s="1"/>
  <c r="AA38" i="4" s="1"/>
  <c r="P37" i="4" a="1"/>
  <c r="P37" i="4" s="1"/>
  <c r="P38" i="4" s="1"/>
  <c r="R37" i="4" a="1"/>
  <c r="R37" i="4" s="1"/>
  <c r="R38" i="4" s="1"/>
  <c r="K31" i="4" a="1"/>
  <c r="K31" i="4" s="1"/>
  <c r="K32" i="4" s="1"/>
  <c r="V31" i="4" a="1"/>
  <c r="V31" i="4" s="1"/>
  <c r="V32" i="4" s="1"/>
  <c r="X31" i="4" a="1"/>
  <c r="X31" i="4" s="1"/>
  <c r="X32" i="4" s="1"/>
  <c r="H37" i="4" a="1"/>
  <c r="H37" i="4" s="1"/>
  <c r="H38" i="4" s="1"/>
  <c r="D37" i="4" a="1"/>
  <c r="D37" i="4" s="1"/>
  <c r="D38" i="4" s="1"/>
  <c r="Y31" i="4" a="1"/>
  <c r="Y31" i="4" s="1"/>
  <c r="Y32" i="4" s="1"/>
  <c r="N37" i="4" a="1"/>
  <c r="N37" i="4" s="1"/>
  <c r="N38" i="4" s="1"/>
  <c r="J31" i="4" a="1"/>
  <c r="J31" i="4" s="1"/>
  <c r="J32" i="4" s="1"/>
  <c r="P31" i="4" a="1"/>
  <c r="P31" i="4" s="1"/>
  <c r="P32" i="4" s="1"/>
  <c r="M31" i="4" a="1"/>
  <c r="M31" i="4" s="1"/>
  <c r="M32" i="4" s="1"/>
  <c r="T31" i="4" a="1"/>
  <c r="T31" i="4" s="1"/>
  <c r="T32" i="4" s="1"/>
  <c r="O37" i="4" a="1"/>
  <c r="O37" i="4" s="1"/>
  <c r="O38" i="4" s="1"/>
  <c r="K37" i="4" a="1"/>
  <c r="K37" i="4" s="1"/>
  <c r="K38" i="4" s="1"/>
  <c r="D31" i="4" a="1"/>
  <c r="D31" i="4" s="1"/>
  <c r="D32" i="4" s="1"/>
  <c r="Z31" i="4" a="1"/>
  <c r="Z31" i="4" s="1"/>
  <c r="Z32" i="4" s="1"/>
  <c r="G37" i="4" a="1"/>
  <c r="G37" i="4" s="1"/>
  <c r="G38" i="4" s="1"/>
  <c r="Q37" i="4" a="1"/>
  <c r="Q37" i="4" s="1"/>
  <c r="Q38" i="4" s="1"/>
  <c r="T37" i="4" a="1"/>
  <c r="T37" i="4" s="1"/>
  <c r="T38" i="4" s="1"/>
  <c r="O31" i="4" a="1"/>
  <c r="O31" i="4" s="1"/>
  <c r="O32" i="4" s="1"/>
  <c r="S37" i="4" a="1"/>
  <c r="S37" i="4" s="1"/>
  <c r="S38" i="4" s="1"/>
  <c r="N31" i="4" a="1"/>
  <c r="N31" i="4" s="1"/>
  <c r="N32" i="4" s="1"/>
  <c r="V37" i="4" a="1"/>
  <c r="V37" i="4" s="1"/>
  <c r="V38" i="4" s="1"/>
  <c r="E37" i="4" a="1"/>
  <c r="E37" i="4" s="1"/>
  <c r="E38" i="4" s="1"/>
  <c r="AA79" i="10"/>
  <c r="AA59" i="10"/>
  <c r="AA29" i="10"/>
  <c r="AA30" i="10" s="1"/>
  <c r="AA31" i="10" s="1"/>
  <c r="AA60" i="10" s="1"/>
  <c r="AA30" i="6" s="1"/>
  <c r="AA41" i="10"/>
  <c r="AA43" i="10" s="1"/>
  <c r="AA96" i="3"/>
  <c r="T50" i="4" l="1"/>
  <c r="H50" i="4"/>
  <c r="D50" i="4"/>
  <c r="L50" i="4"/>
  <c r="S50" i="4"/>
  <c r="M50" i="4"/>
  <c r="K50" i="4"/>
  <c r="N50" i="4"/>
  <c r="W50" i="4"/>
  <c r="G50" i="4"/>
  <c r="O50" i="4"/>
  <c r="J50" i="4"/>
  <c r="I50" i="4"/>
  <c r="P50" i="4"/>
  <c r="R50" i="4"/>
  <c r="V50" i="4"/>
  <c r="F50" i="4"/>
  <c r="U50" i="4"/>
  <c r="E50" i="4"/>
  <c r="Q50" i="4"/>
  <c r="X50" i="4"/>
  <c r="Y50" i="4"/>
  <c r="Z50" i="4"/>
  <c r="AA50" i="4"/>
  <c r="AA62" i="10"/>
  <c r="AA32" i="6"/>
  <c r="Z54" i="4"/>
  <c r="Z77" i="4" s="1"/>
  <c r="Z47" i="10" s="1"/>
  <c r="K54" i="4"/>
  <c r="K77" i="4" s="1"/>
  <c r="K47" i="10" s="1"/>
  <c r="S54" i="4"/>
  <c r="S77" i="4" s="1"/>
  <c r="S47" i="10" s="1"/>
  <c r="N54" i="4"/>
  <c r="N77" i="4" s="1"/>
  <c r="N47" i="10" s="1"/>
  <c r="V54" i="4"/>
  <c r="V77" i="4" s="1"/>
  <c r="V47" i="10" s="1"/>
  <c r="G54" i="4"/>
  <c r="G77" i="4" s="1"/>
  <c r="G47" i="10" s="1"/>
  <c r="P54" i="4"/>
  <c r="P77" i="4" s="1"/>
  <c r="P47" i="10" s="1"/>
  <c r="L54" i="4"/>
  <c r="L77" i="4" s="1"/>
  <c r="L47" i="10" s="1"/>
  <c r="Q54" i="4"/>
  <c r="Q77" i="4" s="1"/>
  <c r="Q47" i="10" s="1"/>
  <c r="AA54" i="4"/>
  <c r="AA77" i="4" s="1"/>
  <c r="AA47" i="10" s="1"/>
  <c r="D54" i="4"/>
  <c r="D77" i="4" s="1"/>
  <c r="D47" i="10" s="1"/>
  <c r="T54" i="4"/>
  <c r="T77" i="4" s="1"/>
  <c r="T47" i="10" s="1"/>
  <c r="O54" i="4"/>
  <c r="O77" i="4" s="1"/>
  <c r="O47" i="10" s="1"/>
  <c r="W54" i="4"/>
  <c r="W77" i="4" s="1"/>
  <c r="W47" i="10" s="1"/>
  <c r="H54" i="4"/>
  <c r="H77" i="4" s="1"/>
  <c r="H47" i="10" s="1"/>
  <c r="Y54" i="4"/>
  <c r="Y77" i="4" s="1"/>
  <c r="Y47" i="10" s="1"/>
  <c r="J54" i="4"/>
  <c r="J77" i="4" s="1"/>
  <c r="J47" i="10" s="1"/>
  <c r="R54" i="4"/>
  <c r="R77" i="4" s="1"/>
  <c r="R47" i="10" s="1"/>
  <c r="X54" i="4"/>
  <c r="X77" i="4" s="1"/>
  <c r="X47" i="10" s="1"/>
  <c r="I54" i="4"/>
  <c r="I77" i="4" s="1"/>
  <c r="I47" i="10" s="1"/>
  <c r="E54" i="4"/>
  <c r="E77" i="4" s="1"/>
  <c r="E47" i="10" s="1"/>
  <c r="M54" i="4"/>
  <c r="M77" i="4" s="1"/>
  <c r="M47" i="10" s="1"/>
  <c r="U54" i="4"/>
  <c r="U77" i="4" s="1"/>
  <c r="U47" i="10" s="1"/>
  <c r="F54" i="4"/>
  <c r="F77" i="4" s="1"/>
  <c r="F47" i="10" s="1"/>
  <c r="D68" i="3"/>
  <c r="D25" i="6" s="1"/>
  <c r="D26" i="6" s="1"/>
  <c r="D95" i="6" s="1"/>
  <c r="D59" i="3"/>
  <c r="X73" i="4" l="1"/>
  <c r="X62" i="4"/>
  <c r="X64" i="4"/>
  <c r="I73" i="4"/>
  <c r="I64" i="4"/>
  <c r="I62" i="4"/>
  <c r="S73" i="4"/>
  <c r="S64" i="4"/>
  <c r="S62" i="4"/>
  <c r="Y73" i="4"/>
  <c r="Y62" i="4"/>
  <c r="Y64" i="4"/>
  <c r="P73" i="4"/>
  <c r="P62" i="4"/>
  <c r="P64" i="4"/>
  <c r="M73" i="4"/>
  <c r="M62" i="4"/>
  <c r="M64" i="4"/>
  <c r="D13" i="10"/>
  <c r="D10" i="6"/>
  <c r="Q73" i="4"/>
  <c r="Q64" i="4"/>
  <c r="Q62" i="4"/>
  <c r="J73" i="4"/>
  <c r="J62" i="4"/>
  <c r="J64" i="4"/>
  <c r="L73" i="4"/>
  <c r="L62" i="4"/>
  <c r="L64" i="4"/>
  <c r="E73" i="4"/>
  <c r="E62" i="4"/>
  <c r="E64" i="4"/>
  <c r="O73" i="4"/>
  <c r="O62" i="4"/>
  <c r="O64" i="4"/>
  <c r="D73" i="4"/>
  <c r="D64" i="4"/>
  <c r="D62" i="4"/>
  <c r="U73" i="4"/>
  <c r="U64" i="4"/>
  <c r="U62" i="4"/>
  <c r="G73" i="4"/>
  <c r="G62" i="4"/>
  <c r="G64" i="4"/>
  <c r="H73" i="4"/>
  <c r="H64" i="4"/>
  <c r="H62" i="4"/>
  <c r="Z73" i="4"/>
  <c r="Z64" i="4"/>
  <c r="Z62" i="4"/>
  <c r="R73" i="4"/>
  <c r="R62" i="4"/>
  <c r="R64" i="4"/>
  <c r="K73" i="4"/>
  <c r="K62" i="4"/>
  <c r="K64" i="4"/>
  <c r="F73" i="4"/>
  <c r="F62" i="4"/>
  <c r="F64" i="4"/>
  <c r="W73" i="4"/>
  <c r="W62" i="4"/>
  <c r="W64" i="4"/>
  <c r="T73" i="4"/>
  <c r="T62" i="4"/>
  <c r="T64" i="4"/>
  <c r="AA73" i="4"/>
  <c r="AA62" i="4"/>
  <c r="AA64" i="4"/>
  <c r="O17" i="11" s="1"/>
  <c r="V73" i="4"/>
  <c r="V62" i="4"/>
  <c r="V64" i="4"/>
  <c r="N73" i="4"/>
  <c r="N62" i="4"/>
  <c r="N64" i="4"/>
  <c r="D79" i="3"/>
  <c r="D118" i="3" s="1"/>
  <c r="D15" i="4"/>
  <c r="E62" i="3"/>
  <c r="E19" i="6" s="1"/>
  <c r="D69" i="3"/>
  <c r="D113" i="3" s="1"/>
  <c r="D89" i="3"/>
  <c r="K82" i="4" l="1"/>
  <c r="I31" i="7"/>
  <c r="J85" i="9" s="1" a="1"/>
  <c r="J85" i="9" s="1"/>
  <c r="J87" i="9" s="1"/>
  <c r="J88" i="9" s="1"/>
  <c r="J89" i="9" s="1"/>
  <c r="P82" i="4"/>
  <c r="N31" i="7"/>
  <c r="O85" i="9" s="1" a="1"/>
  <c r="O85" i="9" s="1"/>
  <c r="O87" i="9" s="1"/>
  <c r="O88" i="9" s="1"/>
  <c r="O89" i="9" s="1"/>
  <c r="S82" i="4"/>
  <c r="Q31" i="7"/>
  <c r="R85" i="9" s="1" a="1"/>
  <c r="R85" i="9" s="1"/>
  <c r="R87" i="9" s="1"/>
  <c r="R88" i="9" s="1"/>
  <c r="R89" i="9" s="1"/>
  <c r="V82" i="4"/>
  <c r="T31" i="7"/>
  <c r="U85" i="9" s="1" a="1"/>
  <c r="U85" i="9" s="1"/>
  <c r="U87" i="9" s="1"/>
  <c r="U88" i="9" s="1"/>
  <c r="U89" i="9" s="1"/>
  <c r="W82" i="4"/>
  <c r="U31" i="7"/>
  <c r="V85" i="9" s="1" a="1"/>
  <c r="V85" i="9" s="1"/>
  <c r="V87" i="9" s="1"/>
  <c r="V88" i="9" s="1"/>
  <c r="V89" i="9" s="1"/>
  <c r="H82" i="4"/>
  <c r="F31" i="7"/>
  <c r="G85" i="9" s="1" a="1"/>
  <c r="G85" i="9" s="1"/>
  <c r="G87" i="9" s="1"/>
  <c r="G88" i="9" s="1"/>
  <c r="G89" i="9" s="1"/>
  <c r="Q82" i="4"/>
  <c r="O31" i="7"/>
  <c r="P85" i="9" s="1" a="1"/>
  <c r="P85" i="9" s="1"/>
  <c r="P87" i="9" s="1"/>
  <c r="P88" i="9" s="1"/>
  <c r="P89" i="9" s="1"/>
  <c r="U82" i="4"/>
  <c r="S31" i="7"/>
  <c r="T85" i="9" s="1" a="1"/>
  <c r="T85" i="9" s="1"/>
  <c r="T87" i="9" s="1"/>
  <c r="T88" i="9" s="1"/>
  <c r="T89" i="9" s="1"/>
  <c r="E82" i="4"/>
  <c r="C31" i="7"/>
  <c r="D85" i="9" s="1" a="1"/>
  <c r="D85" i="9" s="1"/>
  <c r="D87" i="9" s="1"/>
  <c r="D88" i="9" s="1"/>
  <c r="D89" i="9" s="1"/>
  <c r="D82" i="4"/>
  <c r="B31" i="7"/>
  <c r="C85" i="9" s="1" a="1"/>
  <c r="C85" i="9" s="1"/>
  <c r="C87" i="9" s="1"/>
  <c r="C88" i="9" s="1"/>
  <c r="C89" i="9" s="1"/>
  <c r="L82" i="4"/>
  <c r="J31" i="7"/>
  <c r="K85" i="9" s="1" a="1"/>
  <c r="K85" i="9" s="1"/>
  <c r="K87" i="9" s="1"/>
  <c r="K88" i="9" s="1"/>
  <c r="K89" i="9" s="1"/>
  <c r="I82" i="4"/>
  <c r="G31" i="7"/>
  <c r="H85" i="9" s="1" a="1"/>
  <c r="H85" i="9" s="1"/>
  <c r="H87" i="9" s="1"/>
  <c r="H88" i="9" s="1"/>
  <c r="H89" i="9" s="1"/>
  <c r="G82" i="4"/>
  <c r="E31" i="7"/>
  <c r="F85" i="9" s="1" a="1"/>
  <c r="F85" i="9" s="1"/>
  <c r="F87" i="9" s="1"/>
  <c r="F88" i="9" s="1"/>
  <c r="F89" i="9" s="1"/>
  <c r="Y82" i="4"/>
  <c r="W31" i="7"/>
  <c r="X85" i="9" s="1" a="1"/>
  <c r="X85" i="9" s="1"/>
  <c r="X87" i="9" s="1"/>
  <c r="X88" i="9" s="1"/>
  <c r="X89" i="9" s="1"/>
  <c r="R82" i="4"/>
  <c r="P31" i="7"/>
  <c r="Q85" i="9" s="1" a="1"/>
  <c r="Q85" i="9" s="1"/>
  <c r="Q87" i="9" s="1"/>
  <c r="Q88" i="9" s="1"/>
  <c r="Q89" i="9" s="1"/>
  <c r="G16" i="7"/>
  <c r="Y31" i="7"/>
  <c r="Z85" i="9" s="1" a="1"/>
  <c r="Z85" i="9" s="1"/>
  <c r="Z87" i="9" s="1"/>
  <c r="Z88" i="9" s="1"/>
  <c r="Z89" i="9" s="1"/>
  <c r="F82" i="4"/>
  <c r="D31" i="7"/>
  <c r="O82" i="4"/>
  <c r="M31" i="7"/>
  <c r="N85" i="9" s="1" a="1"/>
  <c r="N85" i="9" s="1"/>
  <c r="N87" i="9" s="1"/>
  <c r="N88" i="9" s="1"/>
  <c r="N89" i="9" s="1"/>
  <c r="X82" i="4"/>
  <c r="V31" i="7"/>
  <c r="W85" i="9" s="1" a="1"/>
  <c r="W85" i="9" s="1"/>
  <c r="W87" i="9" s="1"/>
  <c r="W88" i="9" s="1"/>
  <c r="W89" i="9" s="1"/>
  <c r="J82" i="4"/>
  <c r="H31" i="7"/>
  <c r="I85" i="9" s="1" a="1"/>
  <c r="I85" i="9" s="1"/>
  <c r="I87" i="9" s="1"/>
  <c r="I88" i="9" s="1"/>
  <c r="I89" i="9" s="1"/>
  <c r="M82" i="4"/>
  <c r="K31" i="7"/>
  <c r="L85" i="9" s="1" a="1"/>
  <c r="L85" i="9" s="1"/>
  <c r="L87" i="9" s="1"/>
  <c r="L88" i="9" s="1"/>
  <c r="L89" i="9" s="1"/>
  <c r="N82" i="4"/>
  <c r="L31" i="7"/>
  <c r="M85" i="9" s="1" a="1"/>
  <c r="M85" i="9" s="1"/>
  <c r="M87" i="9" s="1"/>
  <c r="M88" i="9" s="1"/>
  <c r="M89" i="9" s="1"/>
  <c r="T82" i="4"/>
  <c r="R31" i="7"/>
  <c r="S85" i="9" s="1" a="1"/>
  <c r="S85" i="9" s="1"/>
  <c r="S87" i="9" s="1"/>
  <c r="S88" i="9" s="1"/>
  <c r="S89" i="9" s="1"/>
  <c r="Z82" i="4"/>
  <c r="X31" i="7"/>
  <c r="Y85" i="9" s="1" a="1"/>
  <c r="Y85" i="9" s="1"/>
  <c r="Y87" i="9" s="1"/>
  <c r="Y88" i="9" s="1"/>
  <c r="Y89" i="9" s="1"/>
  <c r="AA82" i="4"/>
  <c r="F63" i="4"/>
  <c r="F42" i="6"/>
  <c r="Y46" i="10"/>
  <c r="Y48" i="10" s="1"/>
  <c r="Y80" i="4"/>
  <c r="Y81" i="4" s="1"/>
  <c r="Y89" i="4"/>
  <c r="Y93" i="4" s="1"/>
  <c r="Q63" i="4"/>
  <c r="Q42" i="6"/>
  <c r="M63" i="4"/>
  <c r="M42" i="6"/>
  <c r="X63" i="4"/>
  <c r="X42" i="6"/>
  <c r="V46" i="10"/>
  <c r="V48" i="10" s="1"/>
  <c r="V63" i="10" s="1"/>
  <c r="V80" i="4"/>
  <c r="V81" i="4" s="1"/>
  <c r="V89" i="4"/>
  <c r="V93" i="4" s="1"/>
  <c r="T63" i="4"/>
  <c r="T42" i="6"/>
  <c r="R63" i="4"/>
  <c r="R42" i="6"/>
  <c r="H46" i="10"/>
  <c r="H48" i="10" s="1"/>
  <c r="H63" i="10" s="1"/>
  <c r="H89" i="4"/>
  <c r="H93" i="4" s="1"/>
  <c r="H80" i="4"/>
  <c r="H81" i="4" s="1"/>
  <c r="O63" i="4"/>
  <c r="O42" i="6"/>
  <c r="M46" i="10"/>
  <c r="M48" i="10" s="1"/>
  <c r="M89" i="4"/>
  <c r="M93" i="4" s="1"/>
  <c r="M80" i="4"/>
  <c r="M81" i="4" s="1"/>
  <c r="S63" i="4"/>
  <c r="S42" i="6"/>
  <c r="X46" i="10"/>
  <c r="X48" i="10" s="1"/>
  <c r="X80" i="4"/>
  <c r="X89" i="4"/>
  <c r="X93" i="4" s="1"/>
  <c r="D46" i="10"/>
  <c r="D48" i="10" s="1"/>
  <c r="D63" i="10" s="1"/>
  <c r="D89" i="4"/>
  <c r="D93" i="4" s="1"/>
  <c r="D80" i="4"/>
  <c r="D81" i="4" s="1"/>
  <c r="D83" i="4" s="1"/>
  <c r="T46" i="10"/>
  <c r="T48" i="10" s="1"/>
  <c r="T63" i="10" s="1"/>
  <c r="T89" i="4"/>
  <c r="T93" i="4" s="1"/>
  <c r="T80" i="4"/>
  <c r="T81" i="4" s="1"/>
  <c r="O46" i="10"/>
  <c r="O48" i="10" s="1"/>
  <c r="O63" i="10" s="1"/>
  <c r="O89" i="4"/>
  <c r="O93" i="4" s="1"/>
  <c r="O80" i="4"/>
  <c r="O81" i="4" s="1"/>
  <c r="Q46" i="10"/>
  <c r="Q48" i="10" s="1"/>
  <c r="Q63" i="10" s="1"/>
  <c r="Q80" i="4"/>
  <c r="Q81" i="4" s="1"/>
  <c r="Q89" i="4"/>
  <c r="Q93" i="4" s="1"/>
  <c r="R46" i="10"/>
  <c r="R48" i="10" s="1"/>
  <c r="R89" i="4"/>
  <c r="R93" i="4" s="1"/>
  <c r="R80" i="4"/>
  <c r="R81" i="4" s="1"/>
  <c r="R83" i="4" s="1"/>
  <c r="AA63" i="4"/>
  <c r="AA42" i="6"/>
  <c r="Z63" i="4"/>
  <c r="Z42" i="6"/>
  <c r="G63" i="4"/>
  <c r="G42" i="6"/>
  <c r="L63" i="4"/>
  <c r="L42" i="6"/>
  <c r="P63" i="4"/>
  <c r="P42" i="6"/>
  <c r="S46" i="10"/>
  <c r="S48" i="10" s="1"/>
  <c r="S80" i="4"/>
  <c r="S81" i="4" s="1"/>
  <c r="S89" i="4"/>
  <c r="S93" i="4" s="1"/>
  <c r="U46" i="10"/>
  <c r="U48" i="10" s="1"/>
  <c r="U89" i="4"/>
  <c r="U93" i="4" s="1"/>
  <c r="U80" i="4"/>
  <c r="U81" i="4" s="1"/>
  <c r="U83" i="4" s="1"/>
  <c r="F46" i="10"/>
  <c r="F48" i="10" s="1"/>
  <c r="F89" i="4"/>
  <c r="F93" i="4" s="1"/>
  <c r="F80" i="4"/>
  <c r="F81" i="4" s="1"/>
  <c r="AA46" i="10"/>
  <c r="AA48" i="10" s="1"/>
  <c r="AA63" i="10" s="1"/>
  <c r="AA80" i="4"/>
  <c r="AA89" i="4"/>
  <c r="AA93" i="4" s="1"/>
  <c r="W63" i="4"/>
  <c r="W42" i="6"/>
  <c r="G46" i="10"/>
  <c r="G48" i="10" s="1"/>
  <c r="G80" i="4"/>
  <c r="G81" i="4" s="1"/>
  <c r="G83" i="4" s="1"/>
  <c r="G89" i="4"/>
  <c r="G93" i="4" s="1"/>
  <c r="E63" i="4"/>
  <c r="E42" i="6"/>
  <c r="L46" i="10"/>
  <c r="L48" i="10" s="1"/>
  <c r="L80" i="4"/>
  <c r="L81" i="4" s="1"/>
  <c r="L89" i="4"/>
  <c r="L93" i="4" s="1"/>
  <c r="P46" i="10"/>
  <c r="P48" i="10" s="1"/>
  <c r="P80" i="4"/>
  <c r="P81" i="4" s="1"/>
  <c r="P89" i="4"/>
  <c r="P93" i="4" s="1"/>
  <c r="I63" i="4"/>
  <c r="I42" i="6"/>
  <c r="J46" i="10"/>
  <c r="J48" i="10" s="1"/>
  <c r="J89" i="4"/>
  <c r="J93" i="4" s="1"/>
  <c r="J80" i="4"/>
  <c r="J81" i="4" s="1"/>
  <c r="J83" i="4" s="1"/>
  <c r="N63" i="4"/>
  <c r="N42" i="6"/>
  <c r="Z46" i="10"/>
  <c r="Z48" i="10" s="1"/>
  <c r="Z80" i="4"/>
  <c r="Z89" i="4"/>
  <c r="Z93" i="4" s="1"/>
  <c r="U63" i="4"/>
  <c r="U42" i="6"/>
  <c r="D63" i="4"/>
  <c r="D42" i="6"/>
  <c r="E46" i="10"/>
  <c r="E48" i="10" s="1"/>
  <c r="E63" i="10" s="1"/>
  <c r="E80" i="4"/>
  <c r="E81" i="4" s="1"/>
  <c r="E83" i="4" s="1"/>
  <c r="E89" i="4"/>
  <c r="E93" i="4" s="1"/>
  <c r="K46" i="10"/>
  <c r="K48" i="10" s="1"/>
  <c r="K80" i="4"/>
  <c r="K81" i="4" s="1"/>
  <c r="K83" i="4" s="1"/>
  <c r="K89" i="4"/>
  <c r="K93" i="4" s="1"/>
  <c r="H63" i="4"/>
  <c r="H42" i="6"/>
  <c r="V63" i="4"/>
  <c r="V42" i="6"/>
  <c r="W46" i="10"/>
  <c r="W48" i="10" s="1"/>
  <c r="W63" i="10" s="1"/>
  <c r="W89" i="4"/>
  <c r="W93" i="4" s="1"/>
  <c r="W80" i="4"/>
  <c r="W81" i="4" s="1"/>
  <c r="W83" i="4" s="1"/>
  <c r="N46" i="10"/>
  <c r="N48" i="10" s="1"/>
  <c r="N80" i="4"/>
  <c r="N81" i="4" s="1"/>
  <c r="N89" i="4"/>
  <c r="N93" i="4" s="1"/>
  <c r="K63" i="4"/>
  <c r="K42" i="6"/>
  <c r="J63" i="4"/>
  <c r="J42" i="6"/>
  <c r="Y63" i="4"/>
  <c r="Y42" i="6"/>
  <c r="I46" i="10"/>
  <c r="I48" i="10" s="1"/>
  <c r="I63" i="10" s="1"/>
  <c r="I80" i="4"/>
  <c r="I81" i="4" s="1"/>
  <c r="I83" i="4" s="1"/>
  <c r="I89" i="4"/>
  <c r="I93" i="4" s="1"/>
  <c r="E67" i="3"/>
  <c r="D104" i="3"/>
  <c r="D102" i="3"/>
  <c r="D95" i="3"/>
  <c r="D91" i="3"/>
  <c r="AD69" i="3"/>
  <c r="L83" i="4" l="1"/>
  <c r="T83" i="4"/>
  <c r="S83" i="4"/>
  <c r="Q83" i="4"/>
  <c r="F83" i="4"/>
  <c r="V83" i="4"/>
  <c r="M83" i="4"/>
  <c r="E85" i="9" a="1"/>
  <c r="E85" i="9" s="1"/>
  <c r="E87" i="9" s="1"/>
  <c r="E88" i="9" s="1"/>
  <c r="E89" i="9" s="1"/>
  <c r="B23" i="9" a="1"/>
  <c r="B23" i="9" s="1"/>
  <c r="P83" i="4"/>
  <c r="O83" i="4"/>
  <c r="N83" i="4"/>
  <c r="H83" i="4"/>
  <c r="Y83" i="4"/>
  <c r="B57" i="5"/>
  <c r="B23" i="7"/>
  <c r="C45" i="9" s="1" a="1"/>
  <c r="C45" i="9" s="1"/>
  <c r="C47" i="9" s="1"/>
  <c r="C48" i="9" s="1"/>
  <c r="C49" i="9" s="1"/>
  <c r="E33" i="6"/>
  <c r="E72" i="10"/>
  <c r="E64" i="10"/>
  <c r="M44" i="6"/>
  <c r="M112" i="4"/>
  <c r="F63" i="10"/>
  <c r="F80" i="10"/>
  <c r="P44" i="6"/>
  <c r="P45" i="6" s="1"/>
  <c r="P112" i="4"/>
  <c r="AA112" i="4"/>
  <c r="AA44" i="6"/>
  <c r="O80" i="10"/>
  <c r="O94" i="4"/>
  <c r="O95" i="4"/>
  <c r="X94" i="4"/>
  <c r="X95" i="4"/>
  <c r="T44" i="6"/>
  <c r="T112" i="4"/>
  <c r="I33" i="6"/>
  <c r="I72" i="10"/>
  <c r="I64" i="10"/>
  <c r="H44" i="6"/>
  <c r="H112" i="4"/>
  <c r="D44" i="6"/>
  <c r="D45" i="6" s="1"/>
  <c r="D112" i="4"/>
  <c r="L94" i="4"/>
  <c r="L95" i="4"/>
  <c r="O33" i="6"/>
  <c r="O64" i="10"/>
  <c r="O72" i="10"/>
  <c r="X81" i="4"/>
  <c r="X83" i="4" s="1"/>
  <c r="O44" i="6"/>
  <c r="O112" i="4"/>
  <c r="V80" i="10"/>
  <c r="V95" i="4"/>
  <c r="V94" i="4"/>
  <c r="Q112" i="4"/>
  <c r="Q44" i="6"/>
  <c r="Q45" i="6" s="1"/>
  <c r="D33" i="6"/>
  <c r="D72" i="10"/>
  <c r="D64" i="10"/>
  <c r="G63" i="10"/>
  <c r="G80" i="10"/>
  <c r="J94" i="4"/>
  <c r="J95" i="4"/>
  <c r="W44" i="6"/>
  <c r="W45" i="6" s="1"/>
  <c r="W112" i="4"/>
  <c r="U94" i="4"/>
  <c r="U95" i="4"/>
  <c r="L44" i="6"/>
  <c r="L112" i="4"/>
  <c r="R94" i="4"/>
  <c r="R95" i="4"/>
  <c r="X63" i="10"/>
  <c r="X80" i="10"/>
  <c r="Y95" i="4"/>
  <c r="Y94" i="4"/>
  <c r="N44" i="6"/>
  <c r="N112" i="4"/>
  <c r="K94" i="4"/>
  <c r="K95" i="4"/>
  <c r="Y112" i="4"/>
  <c r="Y44" i="6"/>
  <c r="Y45" i="6" s="1"/>
  <c r="J63" i="10"/>
  <c r="J80" i="10"/>
  <c r="L63" i="10"/>
  <c r="L80" i="10"/>
  <c r="AA80" i="10"/>
  <c r="AA94" i="4"/>
  <c r="AA95" i="4"/>
  <c r="U63" i="10"/>
  <c r="U80" i="10"/>
  <c r="R63" i="10"/>
  <c r="R80" i="10"/>
  <c r="T80" i="10"/>
  <c r="T95" i="4"/>
  <c r="T94" i="4"/>
  <c r="H80" i="10"/>
  <c r="H94" i="4"/>
  <c r="H95" i="4"/>
  <c r="V33" i="6"/>
  <c r="V64" i="10"/>
  <c r="V72" i="10"/>
  <c r="N94" i="4"/>
  <c r="N95" i="4"/>
  <c r="N63" i="10"/>
  <c r="N80" i="10"/>
  <c r="U44" i="6"/>
  <c r="U45" i="6" s="1"/>
  <c r="U112" i="4"/>
  <c r="K63" i="10"/>
  <c r="K80" i="10"/>
  <c r="Z95" i="4"/>
  <c r="Z94" i="4"/>
  <c r="AA81" i="4"/>
  <c r="AA83" i="4" s="1"/>
  <c r="S94" i="4"/>
  <c r="S95" i="4"/>
  <c r="G44" i="6"/>
  <c r="G45" i="6" s="1"/>
  <c r="G112" i="4"/>
  <c r="Q80" i="10"/>
  <c r="Q94" i="4"/>
  <c r="Q95" i="4"/>
  <c r="T33" i="6"/>
  <c r="T64" i="10"/>
  <c r="T72" i="10"/>
  <c r="S44" i="6"/>
  <c r="S112" i="4"/>
  <c r="H33" i="6"/>
  <c r="H72" i="10"/>
  <c r="H64" i="10"/>
  <c r="Y63" i="10"/>
  <c r="Y80" i="10"/>
  <c r="I80" i="10"/>
  <c r="I94" i="4"/>
  <c r="I95" i="4"/>
  <c r="K44" i="6"/>
  <c r="K45" i="6" s="1"/>
  <c r="K112" i="4"/>
  <c r="V44" i="6"/>
  <c r="V112" i="4"/>
  <c r="M63" i="10"/>
  <c r="M80" i="10"/>
  <c r="P63" i="10"/>
  <c r="P80" i="10"/>
  <c r="W80" i="10"/>
  <c r="W95" i="4"/>
  <c r="W94" i="4"/>
  <c r="J44" i="6"/>
  <c r="J45" i="6" s="1"/>
  <c r="J112" i="4"/>
  <c r="W33" i="6"/>
  <c r="W64" i="10"/>
  <c r="W72" i="10"/>
  <c r="E80" i="10"/>
  <c r="E94" i="4"/>
  <c r="E95" i="4"/>
  <c r="Z81" i="4"/>
  <c r="Z83" i="4" s="1"/>
  <c r="I44" i="6"/>
  <c r="I45" i="6" s="1"/>
  <c r="I112" i="4"/>
  <c r="E44" i="6"/>
  <c r="E45" i="6" s="1"/>
  <c r="E112" i="4"/>
  <c r="AA33" i="6"/>
  <c r="AA64" i="10"/>
  <c r="AA72" i="10"/>
  <c r="X44" i="6"/>
  <c r="X112" i="4"/>
  <c r="F94" i="4"/>
  <c r="F95" i="4"/>
  <c r="E58" i="3"/>
  <c r="E59" i="3" s="1"/>
  <c r="E10" i="6" s="1"/>
  <c r="E22" i="6"/>
  <c r="Z63" i="10"/>
  <c r="Z80" i="10"/>
  <c r="P94" i="4"/>
  <c r="P95" i="4"/>
  <c r="G94" i="4"/>
  <c r="G95" i="4"/>
  <c r="S63" i="10"/>
  <c r="S80" i="10"/>
  <c r="Z112" i="4"/>
  <c r="Z44" i="6"/>
  <c r="Q33" i="6"/>
  <c r="Q72" i="10"/>
  <c r="Q64" i="10"/>
  <c r="D80" i="10"/>
  <c r="D94" i="4"/>
  <c r="D95" i="4"/>
  <c r="M94" i="4"/>
  <c r="M95" i="4"/>
  <c r="R44" i="6"/>
  <c r="R45" i="6" s="1"/>
  <c r="R112" i="4"/>
  <c r="F112" i="4"/>
  <c r="F44" i="6"/>
  <c r="F45" i="6" s="1"/>
  <c r="D16" i="4"/>
  <c r="D15" i="10"/>
  <c r="D71" i="10" s="1"/>
  <c r="E68" i="3"/>
  <c r="E25" i="6" s="1"/>
  <c r="D94" i="3"/>
  <c r="D103" i="3"/>
  <c r="D16" i="6" s="1"/>
  <c r="D93" i="3"/>
  <c r="B24" i="7" s="1"/>
  <c r="C50" i="9" s="1" a="1"/>
  <c r="C50" i="9" s="1"/>
  <c r="C52" i="9" s="1"/>
  <c r="C53" i="9" s="1"/>
  <c r="C54" i="9" s="1"/>
  <c r="D101" i="3"/>
  <c r="D15" i="6" s="1"/>
  <c r="D107" i="3"/>
  <c r="D18" i="4" s="1"/>
  <c r="L45" i="6" l="1"/>
  <c r="S45" i="6"/>
  <c r="T45" i="6"/>
  <c r="V45" i="6"/>
  <c r="M45" i="6"/>
  <c r="N45" i="6"/>
  <c r="O45" i="6"/>
  <c r="E24" i="6"/>
  <c r="BK30" i="11" s="1" a="1"/>
  <c r="BK30" i="11" s="1"/>
  <c r="BJ30" i="11" a="1"/>
  <c r="BJ30" i="11" s="1"/>
  <c r="AA45" i="6"/>
  <c r="H45" i="6"/>
  <c r="D102" i="9"/>
  <c r="D23" i="9"/>
  <c r="E23" i="9" s="1"/>
  <c r="F23" i="9" s="1"/>
  <c r="I23" i="9" s="1" a="1"/>
  <c r="I23" i="9" s="1"/>
  <c r="D14" i="6"/>
  <c r="D91" i="6" s="1"/>
  <c r="B22" i="7"/>
  <c r="C40" i="9" s="1" a="1"/>
  <c r="C40" i="9" s="1"/>
  <c r="C42" i="9" s="1"/>
  <c r="C43" i="9" s="1"/>
  <c r="C44" i="9" s="1"/>
  <c r="Z45" i="6"/>
  <c r="D73" i="10"/>
  <c r="D100" i="4"/>
  <c r="D113" i="4"/>
  <c r="D68" i="10"/>
  <c r="D35" i="6"/>
  <c r="O100" i="4"/>
  <c r="O113" i="4"/>
  <c r="F33" i="6"/>
  <c r="F72" i="10"/>
  <c r="F64" i="10"/>
  <c r="S33" i="6"/>
  <c r="S64" i="10"/>
  <c r="S72" i="10"/>
  <c r="P33" i="6"/>
  <c r="P64" i="10"/>
  <c r="P72" i="10"/>
  <c r="K33" i="6"/>
  <c r="K72" i="10"/>
  <c r="K64" i="10"/>
  <c r="K100" i="4"/>
  <c r="K113" i="4"/>
  <c r="X33" i="6"/>
  <c r="X64" i="10"/>
  <c r="X72" i="10"/>
  <c r="L100" i="4"/>
  <c r="L113" i="4"/>
  <c r="I68" i="10"/>
  <c r="I35" i="6"/>
  <c r="W68" i="10"/>
  <c r="W35" i="6"/>
  <c r="S113" i="4"/>
  <c r="S100" i="4"/>
  <c r="T100" i="4"/>
  <c r="T113" i="4"/>
  <c r="Z33" i="6"/>
  <c r="Z72" i="10"/>
  <c r="Z64" i="10"/>
  <c r="U113" i="4"/>
  <c r="U100" i="4"/>
  <c r="G113" i="4"/>
  <c r="G100" i="4"/>
  <c r="D17" i="10"/>
  <c r="D67" i="10" s="1"/>
  <c r="D13" i="6"/>
  <c r="Q68" i="10"/>
  <c r="Q35" i="6"/>
  <c r="F113" i="4"/>
  <c r="F100" i="4"/>
  <c r="M33" i="6"/>
  <c r="M72" i="10"/>
  <c r="M64" i="10"/>
  <c r="T68" i="10"/>
  <c r="T35" i="6"/>
  <c r="R113" i="4"/>
  <c r="R100" i="4"/>
  <c r="Z100" i="4"/>
  <c r="Z113" i="4"/>
  <c r="N100" i="4"/>
  <c r="N113" i="4"/>
  <c r="U33" i="6"/>
  <c r="U64" i="10"/>
  <c r="U72" i="10"/>
  <c r="Y113" i="4"/>
  <c r="Y100" i="4"/>
  <c r="G33" i="6"/>
  <c r="G72" i="10"/>
  <c r="G64" i="10"/>
  <c r="I113" i="4"/>
  <c r="I100" i="4"/>
  <c r="AA100" i="4"/>
  <c r="AA113" i="4"/>
  <c r="P113" i="4"/>
  <c r="P100" i="4"/>
  <c r="AA68" i="10"/>
  <c r="AA35" i="6"/>
  <c r="E113" i="4"/>
  <c r="E100" i="4"/>
  <c r="Y33" i="6"/>
  <c r="Y72" i="10"/>
  <c r="Y64" i="10"/>
  <c r="V68" i="10"/>
  <c r="V35" i="6"/>
  <c r="L33" i="6"/>
  <c r="L72" i="10"/>
  <c r="L64" i="10"/>
  <c r="J113" i="4"/>
  <c r="J100" i="4"/>
  <c r="E68" i="10"/>
  <c r="E35" i="6"/>
  <c r="E74" i="6" s="1"/>
  <c r="H68" i="10"/>
  <c r="H35" i="6"/>
  <c r="Q113" i="4"/>
  <c r="Q100" i="4"/>
  <c r="R33" i="6"/>
  <c r="R72" i="10"/>
  <c r="R64" i="10"/>
  <c r="O68" i="10"/>
  <c r="O35" i="6"/>
  <c r="W113" i="4"/>
  <c r="W100" i="4"/>
  <c r="M113" i="4"/>
  <c r="M100" i="4"/>
  <c r="X45" i="6"/>
  <c r="N33" i="6"/>
  <c r="N72" i="10"/>
  <c r="N64" i="10"/>
  <c r="H113" i="4"/>
  <c r="H100" i="4"/>
  <c r="J33" i="6"/>
  <c r="J72" i="10"/>
  <c r="J64" i="10"/>
  <c r="V113" i="4"/>
  <c r="V100" i="4"/>
  <c r="X113" i="4"/>
  <c r="X100" i="4"/>
  <c r="E15" i="4"/>
  <c r="E13" i="10"/>
  <c r="D114" i="3"/>
  <c r="D17" i="4"/>
  <c r="F62" i="3"/>
  <c r="F19" i="6" s="1"/>
  <c r="E69" i="3"/>
  <c r="E113" i="3" s="1"/>
  <c r="E79" i="3"/>
  <c r="E118" i="3" s="1"/>
  <c r="E89" i="3"/>
  <c r="D82" i="6" l="1"/>
  <c r="D98" i="6" s="1"/>
  <c r="E26" i="6"/>
  <c r="E95" i="6" s="1"/>
  <c r="D69" i="10"/>
  <c r="D70" i="10" s="1"/>
  <c r="Z68" i="10"/>
  <c r="Z35" i="6"/>
  <c r="R68" i="10"/>
  <c r="R35" i="6"/>
  <c r="R74" i="6" s="1"/>
  <c r="G68" i="10"/>
  <c r="G35" i="6"/>
  <c r="H74" i="6" s="1"/>
  <c r="H75" i="6" s="1"/>
  <c r="W74" i="6"/>
  <c r="W75" i="6" s="1"/>
  <c r="D78" i="10"/>
  <c r="U68" i="10"/>
  <c r="U35" i="6"/>
  <c r="U74" i="6" s="1"/>
  <c r="X68" i="10"/>
  <c r="X35" i="6"/>
  <c r="P68" i="10"/>
  <c r="P35" i="6"/>
  <c r="P74" i="6" s="1"/>
  <c r="D94" i="6"/>
  <c r="D73" i="6"/>
  <c r="E75" i="6"/>
  <c r="N68" i="10"/>
  <c r="N35" i="6"/>
  <c r="M68" i="10"/>
  <c r="M35" i="6"/>
  <c r="D74" i="6"/>
  <c r="D75" i="6" s="1"/>
  <c r="K68" i="10"/>
  <c r="K35" i="6"/>
  <c r="S68" i="10"/>
  <c r="S35" i="6"/>
  <c r="Y68" i="10"/>
  <c r="Y35" i="6"/>
  <c r="Z74" i="6" s="1"/>
  <c r="J68" i="10"/>
  <c r="J35" i="6"/>
  <c r="J74" i="6" s="1"/>
  <c r="F68" i="10"/>
  <c r="F35" i="6"/>
  <c r="L68" i="10"/>
  <c r="L35" i="6"/>
  <c r="I74" i="6"/>
  <c r="I75" i="6" s="1"/>
  <c r="E95" i="3"/>
  <c r="E102" i="3"/>
  <c r="E104" i="3"/>
  <c r="E91" i="3"/>
  <c r="F67" i="3"/>
  <c r="C57" i="5" l="1"/>
  <c r="C23" i="7"/>
  <c r="D45" i="9" s="1" a="1"/>
  <c r="D45" i="9" s="1"/>
  <c r="D47" i="9" s="1"/>
  <c r="D48" i="9" s="1"/>
  <c r="D49" i="9" s="1"/>
  <c r="D37" i="6"/>
  <c r="CC29" i="11" s="1" a="1"/>
  <c r="CC29" i="11" s="1"/>
  <c r="B25" i="7"/>
  <c r="C55" i="9" s="1" a="1"/>
  <c r="C55" i="9" s="1"/>
  <c r="C57" i="9" s="1"/>
  <c r="C58" i="9" s="1"/>
  <c r="C59" i="9" s="1"/>
  <c r="D36" i="6"/>
  <c r="D96" i="6" s="1"/>
  <c r="Y74" i="6"/>
  <c r="Y75" i="6" s="1"/>
  <c r="K74" i="6"/>
  <c r="K75" i="6" s="1"/>
  <c r="G74" i="6"/>
  <c r="G75" i="6" s="1"/>
  <c r="Q74" i="6"/>
  <c r="Q75" i="6" s="1"/>
  <c r="M74" i="6"/>
  <c r="M75" i="6" s="1"/>
  <c r="B58" i="5"/>
  <c r="B59" i="5" s="1"/>
  <c r="B60" i="5" s="1"/>
  <c r="B61" i="5" s="1"/>
  <c r="S74" i="6"/>
  <c r="S75" i="6" s="1"/>
  <c r="Z75" i="6"/>
  <c r="AA74" i="6"/>
  <c r="AA75" i="6" s="1"/>
  <c r="F58" i="3"/>
  <c r="F59" i="3" s="1"/>
  <c r="F10" i="6" s="1"/>
  <c r="F22" i="6"/>
  <c r="J75" i="6"/>
  <c r="O74" i="6"/>
  <c r="O75" i="6" s="1"/>
  <c r="P75" i="6"/>
  <c r="R75" i="6"/>
  <c r="N74" i="6"/>
  <c r="N75" i="6" s="1"/>
  <c r="L74" i="6"/>
  <c r="L75" i="6" s="1"/>
  <c r="U75" i="6"/>
  <c r="V74" i="6"/>
  <c r="V75" i="6" s="1"/>
  <c r="F74" i="6"/>
  <c r="F75" i="6" s="1"/>
  <c r="T74" i="6"/>
  <c r="T75" i="6" s="1"/>
  <c r="D76" i="6"/>
  <c r="X74" i="6"/>
  <c r="X75" i="6" s="1"/>
  <c r="E16" i="4"/>
  <c r="E15" i="10"/>
  <c r="E71" i="10" s="1"/>
  <c r="E73" i="10" s="1"/>
  <c r="F68" i="3"/>
  <c r="F25" i="6" s="1"/>
  <c r="E97" i="3"/>
  <c r="E103" i="3"/>
  <c r="E16" i="6" s="1"/>
  <c r="E94" i="3"/>
  <c r="E101" i="3"/>
  <c r="E15" i="6" s="1"/>
  <c r="E107" i="3"/>
  <c r="E18" i="4" s="1"/>
  <c r="E93" i="3"/>
  <c r="C24" i="7" s="1"/>
  <c r="D50" i="9" s="1" a="1"/>
  <c r="D50" i="9" s="1"/>
  <c r="D52" i="9" s="1"/>
  <c r="D53" i="9" s="1"/>
  <c r="D54" i="9" s="1"/>
  <c r="BV29" i="11" l="1" a="1"/>
  <c r="BV29" i="11" s="1"/>
  <c r="F24" i="6"/>
  <c r="BK31" i="11" s="1" a="1"/>
  <c r="BK31" i="11" s="1"/>
  <c r="BJ31" i="11" a="1"/>
  <c r="BJ31" i="11" s="1"/>
  <c r="D63" i="6"/>
  <c r="D65" i="6" s="1"/>
  <c r="D66" i="6" s="1"/>
  <c r="E14" i="6"/>
  <c r="E91" i="6" s="1"/>
  <c r="C22" i="7"/>
  <c r="D40" i="9" s="1" a="1"/>
  <c r="D40" i="9" s="1"/>
  <c r="D42" i="9" s="1"/>
  <c r="D43" i="9" s="1"/>
  <c r="D44" i="9" s="1"/>
  <c r="B62" i="5"/>
  <c r="B29" i="7"/>
  <c r="C75" i="9" s="1" a="1"/>
  <c r="C75" i="9" s="1"/>
  <c r="C77" i="9" s="1"/>
  <c r="C78" i="9" s="1"/>
  <c r="C79" i="9" s="1"/>
  <c r="E17" i="10"/>
  <c r="E67" i="10" s="1"/>
  <c r="E69" i="10" s="1"/>
  <c r="E13" i="6"/>
  <c r="E82" i="6"/>
  <c r="F15" i="4"/>
  <c r="F13" i="10"/>
  <c r="E114" i="3"/>
  <c r="E17" i="4"/>
  <c r="F89" i="3"/>
  <c r="F79" i="3"/>
  <c r="F118" i="3" s="1"/>
  <c r="F69" i="3"/>
  <c r="F113" i="3" s="1"/>
  <c r="G62" i="3"/>
  <c r="G19" i="6" s="1"/>
  <c r="F26" i="6" l="1"/>
  <c r="F95" i="6" s="1"/>
  <c r="D80" i="6"/>
  <c r="D81" i="6" s="1"/>
  <c r="E78" i="10"/>
  <c r="E36" i="6"/>
  <c r="E98" i="6"/>
  <c r="E94" i="6"/>
  <c r="E73" i="6"/>
  <c r="E76" i="6" s="1"/>
  <c r="E70" i="10"/>
  <c r="C25" i="7" s="1"/>
  <c r="D55" i="9" s="1" a="1"/>
  <c r="D55" i="9" s="1"/>
  <c r="D57" i="9" s="1"/>
  <c r="D58" i="9" s="1"/>
  <c r="D59" i="9" s="1"/>
  <c r="G67" i="3"/>
  <c r="F91" i="3"/>
  <c r="F102" i="3"/>
  <c r="F104" i="3"/>
  <c r="F95" i="3"/>
  <c r="B27" i="7" l="1"/>
  <c r="C65" i="9" s="1" a="1"/>
  <c r="C65" i="9" s="1"/>
  <c r="C67" i="9" s="1"/>
  <c r="C68" i="9" s="1"/>
  <c r="BP29" i="11" a="1"/>
  <c r="BP29" i="11" s="1"/>
  <c r="D83" i="6"/>
  <c r="D84" i="6" s="1"/>
  <c r="D85" i="6"/>
  <c r="B28" i="7" s="1"/>
  <c r="C70" i="9" s="1" a="1"/>
  <c r="C70" i="9" s="1"/>
  <c r="C72" i="9" s="1"/>
  <c r="C73" i="9" s="1"/>
  <c r="D57" i="5"/>
  <c r="D23" i="7"/>
  <c r="C58" i="5"/>
  <c r="C59" i="5" s="1"/>
  <c r="C60" i="5" s="1"/>
  <c r="C61" i="5" s="1"/>
  <c r="E37" i="6"/>
  <c r="CC30" i="11" s="1" a="1"/>
  <c r="CC30" i="11" s="1"/>
  <c r="G58" i="3"/>
  <c r="G59" i="3" s="1"/>
  <c r="G10" i="6" s="1"/>
  <c r="G22" i="6"/>
  <c r="E96" i="6"/>
  <c r="E63" i="6"/>
  <c r="E65" i="6" s="1"/>
  <c r="E66" i="6" s="1"/>
  <c r="F16" i="4"/>
  <c r="F15" i="10"/>
  <c r="F71" i="10" s="1"/>
  <c r="F73" i="10" s="1"/>
  <c r="F101" i="3"/>
  <c r="F15" i="6" s="1"/>
  <c r="F94" i="3"/>
  <c r="F107" i="3"/>
  <c r="F18" i="4" s="1"/>
  <c r="F93" i="3"/>
  <c r="D24" i="7" s="1"/>
  <c r="F97" i="3"/>
  <c r="F103" i="3"/>
  <c r="F16" i="6" s="1"/>
  <c r="G68" i="3"/>
  <c r="G25" i="6" s="1"/>
  <c r="D89" i="6" l="1"/>
  <c r="D99" i="6"/>
  <c r="D88" i="6"/>
  <c r="BV30" i="11" a="1"/>
  <c r="BV30" i="11" s="1"/>
  <c r="G24" i="6"/>
  <c r="BK32" i="11" s="1" a="1"/>
  <c r="BK32" i="11" s="1"/>
  <c r="BJ32" i="11" a="1"/>
  <c r="BJ32" i="11" s="1"/>
  <c r="D97" i="6"/>
  <c r="BO29" i="11" a="1"/>
  <c r="BO29" i="11" s="1"/>
  <c r="B33" i="7"/>
  <c r="E79" i="6"/>
  <c r="D90" i="6"/>
  <c r="B26" i="7"/>
  <c r="C60" i="9" s="1" a="1"/>
  <c r="C60" i="9" s="1"/>
  <c r="C62" i="9" s="1"/>
  <c r="C63" i="9" s="1"/>
  <c r="C64" i="9" s="1"/>
  <c r="B16" i="9" a="1"/>
  <c r="B16" i="9" s="1"/>
  <c r="E50" i="9" a="1"/>
  <c r="E50" i="9" s="1"/>
  <c r="E52" i="9" s="1"/>
  <c r="E53" i="9" s="1"/>
  <c r="E54" i="9" s="1"/>
  <c r="B15" i="9" a="1"/>
  <c r="B15" i="9" s="1"/>
  <c r="E45" i="9" a="1"/>
  <c r="E45" i="9" s="1"/>
  <c r="E47" i="9" s="1"/>
  <c r="E48" i="9" s="1"/>
  <c r="E49" i="9" s="1"/>
  <c r="F14" i="6"/>
  <c r="F91" i="6" s="1"/>
  <c r="D22" i="7"/>
  <c r="C62" i="5"/>
  <c r="C29" i="7"/>
  <c r="D75" i="9" s="1" a="1"/>
  <c r="D75" i="9" s="1"/>
  <c r="D77" i="9" s="1"/>
  <c r="D78" i="9" s="1"/>
  <c r="D79" i="9" s="1"/>
  <c r="E80" i="6"/>
  <c r="F17" i="10"/>
  <c r="F67" i="10" s="1"/>
  <c r="F69" i="10" s="1"/>
  <c r="F13" i="6"/>
  <c r="G15" i="4"/>
  <c r="G13" i="10"/>
  <c r="F114" i="3"/>
  <c r="F17" i="4"/>
  <c r="G79" i="3"/>
  <c r="G118" i="3" s="1"/>
  <c r="G89" i="3"/>
  <c r="G69" i="3"/>
  <c r="G113" i="3" s="1"/>
  <c r="H62" i="3"/>
  <c r="H19" i="6" s="1"/>
  <c r="B32" i="7" l="1"/>
  <c r="B34" i="7" s="1"/>
  <c r="G26" i="6"/>
  <c r="G95" i="6" s="1"/>
  <c r="F82" i="6"/>
  <c r="F98" i="6" s="1"/>
  <c r="D100" i="6" a="1"/>
  <c r="D100" i="6" s="1"/>
  <c r="E40" i="9" a="1"/>
  <c r="E40" i="9" s="1"/>
  <c r="E42" i="9" s="1"/>
  <c r="E43" i="9" s="1"/>
  <c r="E44" i="9" s="1"/>
  <c r="B14" i="9" a="1"/>
  <c r="B14" i="9" s="1"/>
  <c r="D107" i="9"/>
  <c r="D94" i="9"/>
  <c r="D15" i="9"/>
  <c r="E15" i="9" s="1"/>
  <c r="F15" i="9" s="1"/>
  <c r="I15" i="9" s="1" a="1"/>
  <c r="I15" i="9" s="1"/>
  <c r="D16" i="9"/>
  <c r="E16" i="9" s="1"/>
  <c r="F16" i="9" s="1"/>
  <c r="I16" i="9" s="1" a="1"/>
  <c r="I16" i="9" s="1"/>
  <c r="D108" i="9"/>
  <c r="D95" i="9"/>
  <c r="F78" i="10"/>
  <c r="F36" i="6"/>
  <c r="F94" i="6"/>
  <c r="F73" i="6"/>
  <c r="F76" i="6" s="1"/>
  <c r="E81" i="6"/>
  <c r="E83" i="6"/>
  <c r="E84" i="6" s="1"/>
  <c r="F70" i="10"/>
  <c r="D25" i="7" s="1"/>
  <c r="H67" i="3"/>
  <c r="G95" i="3"/>
  <c r="G102" i="3"/>
  <c r="G104" i="3"/>
  <c r="G91" i="3"/>
  <c r="C27" i="7" l="1"/>
  <c r="D65" i="9" s="1" a="1"/>
  <c r="D65" i="9" s="1"/>
  <c r="D67" i="9" s="1"/>
  <c r="D68" i="9" s="1"/>
  <c r="D69" i="9" s="1"/>
  <c r="BP30" i="11" a="1"/>
  <c r="BP30" i="11" s="1"/>
  <c r="C26" i="7"/>
  <c r="D60" i="9" s="1" a="1"/>
  <c r="D60" i="9" s="1"/>
  <c r="D62" i="9" s="1"/>
  <c r="D63" i="9" s="1"/>
  <c r="D64" i="9" s="1"/>
  <c r="BO30" i="11" a="1"/>
  <c r="BO30" i="11" s="1"/>
  <c r="B17" i="9" a="1"/>
  <c r="B17" i="9" s="1"/>
  <c r="E55" i="9" a="1"/>
  <c r="E55" i="9" s="1"/>
  <c r="E57" i="9" s="1"/>
  <c r="E58" i="9" s="1"/>
  <c r="E59" i="9" s="1"/>
  <c r="D14" i="9"/>
  <c r="E14" i="9" s="1"/>
  <c r="F14" i="9" s="1"/>
  <c r="I14" i="9" s="1" a="1"/>
  <c r="I14" i="9" s="1"/>
  <c r="D106" i="9"/>
  <c r="D93" i="9"/>
  <c r="E57" i="5"/>
  <c r="E23" i="7"/>
  <c r="F45" i="9" s="1" a="1"/>
  <c r="F45" i="9" s="1"/>
  <c r="F47" i="9" s="1"/>
  <c r="F48" i="9" s="1"/>
  <c r="F49" i="9" s="1"/>
  <c r="F96" i="6"/>
  <c r="F63" i="6"/>
  <c r="F65" i="6" s="1"/>
  <c r="F66" i="6" s="1"/>
  <c r="H58" i="3"/>
  <c r="H22" i="6"/>
  <c r="D58" i="5"/>
  <c r="D59" i="5" s="1"/>
  <c r="D60" i="5" s="1"/>
  <c r="D61" i="5" s="1"/>
  <c r="F37" i="6"/>
  <c r="CC31" i="11" s="1" a="1"/>
  <c r="CC31" i="11" s="1"/>
  <c r="F79" i="6"/>
  <c r="E97" i="6"/>
  <c r="E85" i="6"/>
  <c r="C28" i="7" s="1"/>
  <c r="D70" i="9" s="1" a="1"/>
  <c r="D70" i="9" s="1"/>
  <c r="D72" i="9" s="1"/>
  <c r="D73" i="9" s="1"/>
  <c r="D74" i="9" s="1"/>
  <c r="G16" i="4"/>
  <c r="G15" i="10"/>
  <c r="G71" i="10" s="1"/>
  <c r="G73" i="10" s="1"/>
  <c r="G101" i="3"/>
  <c r="G15" i="6" s="1"/>
  <c r="G94" i="3"/>
  <c r="G103" i="3"/>
  <c r="G16" i="6" s="1"/>
  <c r="G93" i="3"/>
  <c r="E24" i="7" s="1"/>
  <c r="F50" i="9" s="1" a="1"/>
  <c r="F50" i="9" s="1"/>
  <c r="F52" i="9" s="1"/>
  <c r="F53" i="9" s="1"/>
  <c r="F54" i="9" s="1"/>
  <c r="G97" i="3"/>
  <c r="G107" i="3"/>
  <c r="G18" i="4" s="1"/>
  <c r="H68" i="3"/>
  <c r="H25" i="6" s="1"/>
  <c r="H59" i="3"/>
  <c r="H10" i="6" s="1"/>
  <c r="BV31" i="11" l="1" a="1"/>
  <c r="BV31" i="11" s="1"/>
  <c r="F80" i="6"/>
  <c r="F81" i="6" s="1"/>
  <c r="H24" i="6"/>
  <c r="BK33" i="11" s="1" a="1"/>
  <c r="BK33" i="11" s="1"/>
  <c r="BJ33" i="11" a="1"/>
  <c r="BJ33" i="11" s="1"/>
  <c r="D109" i="9"/>
  <c r="D17" i="9"/>
  <c r="E17" i="9" s="1"/>
  <c r="F17" i="9" s="1"/>
  <c r="I17" i="9" s="1" a="1"/>
  <c r="I17" i="9" s="1"/>
  <c r="D96" i="9"/>
  <c r="D62" i="5"/>
  <c r="D63" i="5" s="1"/>
  <c r="D64" i="5" s="1"/>
  <c r="D29" i="7"/>
  <c r="C33" i="7"/>
  <c r="G14" i="6"/>
  <c r="G91" i="6" s="1"/>
  <c r="E22" i="7"/>
  <c r="F40" i="9" s="1" a="1"/>
  <c r="F40" i="9" s="1"/>
  <c r="F42" i="9" s="1"/>
  <c r="F43" i="9" s="1"/>
  <c r="F44" i="9" s="1"/>
  <c r="E90" i="6"/>
  <c r="E88" i="6"/>
  <c r="E89" i="6"/>
  <c r="G17" i="10"/>
  <c r="G67" i="10" s="1"/>
  <c r="G69" i="10" s="1"/>
  <c r="G13" i="6"/>
  <c r="E99" i="6"/>
  <c r="H15" i="4"/>
  <c r="H13" i="10"/>
  <c r="G114" i="3"/>
  <c r="G17" i="4"/>
  <c r="H79" i="3"/>
  <c r="H118" i="3" s="1"/>
  <c r="H89" i="3"/>
  <c r="I62" i="3"/>
  <c r="I19" i="6" s="1"/>
  <c r="H69" i="3"/>
  <c r="H113" i="3" s="1"/>
  <c r="F83" i="6" l="1"/>
  <c r="F84" i="6" s="1"/>
  <c r="F97" i="6" s="1"/>
  <c r="G82" i="6"/>
  <c r="G98" i="6" s="1"/>
  <c r="H26" i="6"/>
  <c r="H95" i="6" s="1"/>
  <c r="D27" i="7"/>
  <c r="E65" i="9" s="1" a="1"/>
  <c r="E65" i="9" s="1"/>
  <c r="E67" i="9" s="1"/>
  <c r="E68" i="9" s="1"/>
  <c r="E69" i="9" s="1"/>
  <c r="BP31" i="11" a="1"/>
  <c r="BP31" i="11" s="1"/>
  <c r="E75" i="9" a="1"/>
  <c r="E75" i="9" s="1"/>
  <c r="E77" i="9" s="1"/>
  <c r="E78" i="9" s="1"/>
  <c r="E79" i="9" s="1"/>
  <c r="B21" i="9" a="1"/>
  <c r="B21" i="9" s="1"/>
  <c r="C32" i="7"/>
  <c r="C34" i="7" s="1"/>
  <c r="G78" i="10"/>
  <c r="G36" i="6"/>
  <c r="G94" i="6"/>
  <c r="G73" i="6"/>
  <c r="G76" i="6" s="1"/>
  <c r="E100" i="6" a="1"/>
  <c r="E100" i="6" s="1"/>
  <c r="G70" i="10"/>
  <c r="E25" i="7" s="1"/>
  <c r="F55" i="9" s="1" a="1"/>
  <c r="F55" i="9" s="1"/>
  <c r="F57" i="9" s="1"/>
  <c r="F58" i="9" s="1"/>
  <c r="F59" i="9" s="1"/>
  <c r="H102" i="3"/>
  <c r="H104" i="3"/>
  <c r="H95" i="3"/>
  <c r="H91" i="3"/>
  <c r="I67" i="3"/>
  <c r="F85" i="6" l="1"/>
  <c r="F99" i="6" s="1"/>
  <c r="BO31" i="11" a="1"/>
  <c r="BO31" i="11" s="1"/>
  <c r="G79" i="6"/>
  <c r="D26" i="7"/>
  <c r="B18" i="9" s="1" a="1"/>
  <c r="B18" i="9" s="1"/>
  <c r="D110" i="9" s="1"/>
  <c r="B19" i="9" a="1"/>
  <c r="B19" i="9" s="1"/>
  <c r="D19" i="9" s="1"/>
  <c r="E19" i="9" s="1"/>
  <c r="F19" i="9" s="1"/>
  <c r="I19" i="9" s="1" a="1"/>
  <c r="I19" i="9" s="1"/>
  <c r="D113" i="9"/>
  <c r="D100" i="9"/>
  <c r="D21" i="9"/>
  <c r="E21" i="9" s="1"/>
  <c r="F21" i="9" s="1"/>
  <c r="I21" i="9" s="1" a="1"/>
  <c r="I21" i="9" s="1"/>
  <c r="F57" i="5"/>
  <c r="F23" i="7"/>
  <c r="G45" i="9" s="1" a="1"/>
  <c r="G45" i="9" s="1"/>
  <c r="G47" i="9" s="1"/>
  <c r="G48" i="9" s="1"/>
  <c r="G49" i="9" s="1"/>
  <c r="I58" i="3"/>
  <c r="I59" i="3" s="1"/>
  <c r="I10" i="6" s="1"/>
  <c r="I22" i="6"/>
  <c r="E58" i="5"/>
  <c r="E59" i="5" s="1"/>
  <c r="E60" i="5" s="1"/>
  <c r="E61" i="5" s="1"/>
  <c r="G37" i="6"/>
  <c r="CC32" i="11" s="1" a="1"/>
  <c r="CC32" i="11" s="1"/>
  <c r="G96" i="6"/>
  <c r="G63" i="6"/>
  <c r="G65" i="6" s="1"/>
  <c r="G66" i="6" s="1"/>
  <c r="H16" i="4"/>
  <c r="H15" i="10"/>
  <c r="H71" i="10" s="1"/>
  <c r="H73" i="10" s="1"/>
  <c r="I68" i="3"/>
  <c r="I25" i="6" s="1"/>
  <c r="H101" i="3"/>
  <c r="H15" i="6" s="1"/>
  <c r="H97" i="3"/>
  <c r="H103" i="3"/>
  <c r="H16" i="6" s="1"/>
  <c r="H93" i="3"/>
  <c r="F24" i="7" s="1"/>
  <c r="G50" i="9" s="1" a="1"/>
  <c r="G50" i="9" s="1"/>
  <c r="G52" i="9" s="1"/>
  <c r="G53" i="9" s="1"/>
  <c r="G54" i="9" s="1"/>
  <c r="H94" i="3"/>
  <c r="H107" i="3"/>
  <c r="H18" i="4" s="1"/>
  <c r="F90" i="6" l="1"/>
  <c r="F89" i="6"/>
  <c r="D32" i="7" s="1"/>
  <c r="E60" i="9" a="1"/>
  <c r="E60" i="9" s="1"/>
  <c r="E62" i="9" s="1"/>
  <c r="E63" i="9" s="1"/>
  <c r="E64" i="9" s="1"/>
  <c r="F88" i="6"/>
  <c r="D28" i="7"/>
  <c r="E70" i="9" s="1" a="1"/>
  <c r="E70" i="9" s="1"/>
  <c r="E72" i="9" s="1"/>
  <c r="E73" i="9" s="1"/>
  <c r="E74" i="9" s="1"/>
  <c r="D97" i="9"/>
  <c r="D18" i="9"/>
  <c r="E18" i="9" s="1"/>
  <c r="F18" i="9" s="1"/>
  <c r="I18" i="9" s="1" a="1"/>
  <c r="I18" i="9" s="1"/>
  <c r="BV32" i="11" a="1"/>
  <c r="BV32" i="11" s="1"/>
  <c r="D111" i="9"/>
  <c r="D98" i="9"/>
  <c r="I24" i="6"/>
  <c r="BK34" i="11" s="1" a="1"/>
  <c r="BK34" i="11" s="1"/>
  <c r="BJ34" i="11" a="1"/>
  <c r="BJ34" i="11" s="1"/>
  <c r="E62" i="5"/>
  <c r="E63" i="5" s="1"/>
  <c r="E64" i="5" s="1"/>
  <c r="E29" i="7"/>
  <c r="F75" i="9" s="1" a="1"/>
  <c r="F75" i="9" s="1"/>
  <c r="F77" i="9" s="1"/>
  <c r="F78" i="9" s="1"/>
  <c r="F79" i="9" s="1"/>
  <c r="H14" i="6"/>
  <c r="H91" i="6" s="1"/>
  <c r="F22" i="7"/>
  <c r="G40" i="9" s="1" a="1"/>
  <c r="G40" i="9" s="1"/>
  <c r="G42" i="9" s="1"/>
  <c r="G43" i="9" s="1"/>
  <c r="G44" i="9" s="1"/>
  <c r="H17" i="10"/>
  <c r="H67" i="10" s="1"/>
  <c r="H69" i="10" s="1"/>
  <c r="H13" i="6"/>
  <c r="G80" i="6"/>
  <c r="I15" i="4"/>
  <c r="I13" i="10"/>
  <c r="H114" i="3"/>
  <c r="H17" i="4"/>
  <c r="I89" i="3"/>
  <c r="I79" i="3"/>
  <c r="I118" i="3" s="1"/>
  <c r="J62" i="3"/>
  <c r="J19" i="6" s="1"/>
  <c r="I69" i="3"/>
  <c r="I113" i="3" s="1"/>
  <c r="F100" i="6" l="1" a="1"/>
  <c r="F100" i="6" s="1"/>
  <c r="B20" i="9" a="1"/>
  <c r="B20" i="9" s="1"/>
  <c r="D20" i="9" s="1"/>
  <c r="E20" i="9" s="1"/>
  <c r="F20" i="9" s="1"/>
  <c r="I20" i="9" s="1" a="1"/>
  <c r="I20" i="9" s="1"/>
  <c r="D33" i="7"/>
  <c r="D34" i="7" s="1"/>
  <c r="H82" i="6"/>
  <c r="H98" i="6" s="1"/>
  <c r="I26" i="6"/>
  <c r="I95" i="6" s="1"/>
  <c r="H78" i="10"/>
  <c r="H36" i="6"/>
  <c r="G81" i="6"/>
  <c r="G83" i="6"/>
  <c r="G84" i="6" s="1"/>
  <c r="H94" i="6"/>
  <c r="H73" i="6"/>
  <c r="H76" i="6" s="1"/>
  <c r="H70" i="10"/>
  <c r="F25" i="7" s="1"/>
  <c r="G55" i="9" s="1" a="1"/>
  <c r="G55" i="9" s="1"/>
  <c r="G57" i="9" s="1"/>
  <c r="G58" i="9" s="1"/>
  <c r="G59" i="9" s="1"/>
  <c r="J67" i="3"/>
  <c r="I104" i="3"/>
  <c r="I91" i="3"/>
  <c r="I95" i="3"/>
  <c r="I102" i="3"/>
  <c r="D99" i="9" l="1"/>
  <c r="D112" i="9"/>
  <c r="E27" i="7"/>
  <c r="F65" i="9" s="1" a="1"/>
  <c r="F65" i="9" s="1"/>
  <c r="F67" i="9" s="1"/>
  <c r="F68" i="9" s="1"/>
  <c r="F69" i="9" s="1"/>
  <c r="BP32" i="11" a="1"/>
  <c r="BP32" i="11" s="1"/>
  <c r="E26" i="7"/>
  <c r="F60" i="9" s="1" a="1"/>
  <c r="F60" i="9" s="1"/>
  <c r="F62" i="9" s="1"/>
  <c r="F63" i="9" s="1"/>
  <c r="F64" i="9" s="1"/>
  <c r="BO32" i="11" a="1"/>
  <c r="BO32" i="11" s="1"/>
  <c r="G57" i="5"/>
  <c r="G23" i="7"/>
  <c r="H45" i="9" s="1" a="1"/>
  <c r="H45" i="9" s="1"/>
  <c r="H47" i="9" s="1"/>
  <c r="H48" i="9" s="1"/>
  <c r="H49" i="9" s="1"/>
  <c r="G85" i="6"/>
  <c r="J58" i="3"/>
  <c r="J22" i="6"/>
  <c r="F58" i="5"/>
  <c r="F59" i="5" s="1"/>
  <c r="F60" i="5" s="1"/>
  <c r="F61" i="5" s="1"/>
  <c r="H37" i="6"/>
  <c r="CC33" i="11" s="1" a="1"/>
  <c r="CC33" i="11" s="1"/>
  <c r="H96" i="6"/>
  <c r="H63" i="6"/>
  <c r="H65" i="6" s="1"/>
  <c r="H66" i="6" s="1"/>
  <c r="H79" i="6"/>
  <c r="G97" i="6"/>
  <c r="I16" i="4"/>
  <c r="I15" i="10"/>
  <c r="I71" i="10" s="1"/>
  <c r="I73" i="10" s="1"/>
  <c r="I107" i="3"/>
  <c r="I18" i="4" s="1"/>
  <c r="I97" i="3"/>
  <c r="I93" i="3"/>
  <c r="G24" i="7" s="1"/>
  <c r="H50" i="9" s="1" a="1"/>
  <c r="H50" i="9" s="1"/>
  <c r="H52" i="9" s="1"/>
  <c r="H53" i="9" s="1"/>
  <c r="H54" i="9" s="1"/>
  <c r="I94" i="3"/>
  <c r="I103" i="3"/>
  <c r="I16" i="6" s="1"/>
  <c r="I101" i="3"/>
  <c r="I15" i="6" s="1"/>
  <c r="J68" i="3"/>
  <c r="J25" i="6" s="1"/>
  <c r="J59" i="3"/>
  <c r="J10" i="6" s="1"/>
  <c r="BV33" i="11" l="1" a="1"/>
  <c r="BV33" i="11" s="1"/>
  <c r="J24" i="6"/>
  <c r="BK35" i="11" s="1" a="1"/>
  <c r="BK35" i="11" s="1"/>
  <c r="BJ35" i="11" a="1"/>
  <c r="BJ35" i="11" s="1"/>
  <c r="F62" i="5"/>
  <c r="F63" i="5" s="1"/>
  <c r="F64" i="5" s="1"/>
  <c r="F29" i="7"/>
  <c r="G75" i="9" s="1" a="1"/>
  <c r="G75" i="9" s="1"/>
  <c r="G77" i="9" s="1"/>
  <c r="G78" i="9" s="1"/>
  <c r="G79" i="9" s="1"/>
  <c r="G99" i="6"/>
  <c r="E28" i="7"/>
  <c r="F70" i="9" s="1" a="1"/>
  <c r="F70" i="9" s="1"/>
  <c r="F72" i="9" s="1"/>
  <c r="F73" i="9" s="1"/>
  <c r="F74" i="9" s="1"/>
  <c r="I14" i="6"/>
  <c r="I91" i="6" s="1"/>
  <c r="G22" i="7"/>
  <c r="H40" i="9" s="1" a="1"/>
  <c r="H40" i="9" s="1"/>
  <c r="H42" i="9" s="1"/>
  <c r="H43" i="9" s="1"/>
  <c r="H44" i="9" s="1"/>
  <c r="H80" i="6"/>
  <c r="H81" i="6" s="1"/>
  <c r="G88" i="6"/>
  <c r="G90" i="6"/>
  <c r="G89" i="6"/>
  <c r="I17" i="10"/>
  <c r="I67" i="10" s="1"/>
  <c r="I69" i="10" s="1"/>
  <c r="I13" i="6"/>
  <c r="J15" i="4"/>
  <c r="J13" i="10"/>
  <c r="I114" i="3"/>
  <c r="I17" i="4"/>
  <c r="J89" i="3"/>
  <c r="J79" i="3"/>
  <c r="J118" i="3" s="1"/>
  <c r="J69" i="3"/>
  <c r="J113" i="3" s="1"/>
  <c r="K62" i="3"/>
  <c r="K19" i="6" s="1"/>
  <c r="I82" i="6" l="1"/>
  <c r="I98" i="6" s="1"/>
  <c r="J26" i="6"/>
  <c r="J95" i="6" s="1"/>
  <c r="F27" i="7"/>
  <c r="G65" i="9" s="1" a="1"/>
  <c r="G65" i="9" s="1"/>
  <c r="G67" i="9" s="1"/>
  <c r="G68" i="9" s="1"/>
  <c r="G69" i="9" s="1"/>
  <c r="BP33" i="11" a="1"/>
  <c r="BP33" i="11" s="1"/>
  <c r="H83" i="6"/>
  <c r="H84" i="6" s="1"/>
  <c r="E32" i="7"/>
  <c r="E33" i="7"/>
  <c r="G100" i="6" a="1"/>
  <c r="G100" i="6" s="1"/>
  <c r="I78" i="10"/>
  <c r="I36" i="6"/>
  <c r="I94" i="6"/>
  <c r="I73" i="6"/>
  <c r="I76" i="6" s="1"/>
  <c r="I70" i="10"/>
  <c r="K67" i="3"/>
  <c r="J95" i="3"/>
  <c r="J102" i="3"/>
  <c r="J91" i="3"/>
  <c r="J104" i="3"/>
  <c r="F26" i="7" l="1"/>
  <c r="G60" i="9" s="1" a="1"/>
  <c r="G60" i="9" s="1"/>
  <c r="G62" i="9" s="1"/>
  <c r="G63" i="9" s="1"/>
  <c r="G64" i="9" s="1"/>
  <c r="BO33" i="11" a="1"/>
  <c r="BO33" i="11" s="1"/>
  <c r="H85" i="6"/>
  <c r="F28" i="7" s="1"/>
  <c r="F33" i="7" s="1"/>
  <c r="I79" i="6"/>
  <c r="H97" i="6"/>
  <c r="E34" i="7"/>
  <c r="I37" i="6"/>
  <c r="CC34" i="11" s="1" a="1"/>
  <c r="CC34" i="11" s="1"/>
  <c r="G25" i="7"/>
  <c r="H55" i="9" s="1" a="1"/>
  <c r="H55" i="9" s="1"/>
  <c r="H57" i="9" s="1"/>
  <c r="H58" i="9" s="1"/>
  <c r="H59" i="9" s="1"/>
  <c r="H57" i="5"/>
  <c r="H23" i="7"/>
  <c r="I45" i="9" s="1" a="1"/>
  <c r="I45" i="9" s="1"/>
  <c r="I47" i="9" s="1"/>
  <c r="I48" i="9" s="1"/>
  <c r="I49" i="9" s="1"/>
  <c r="I96" i="6"/>
  <c r="I63" i="6"/>
  <c r="I65" i="6" s="1"/>
  <c r="I66" i="6" s="1"/>
  <c r="K58" i="3"/>
  <c r="K22" i="6"/>
  <c r="I76" i="10"/>
  <c r="G58" i="5"/>
  <c r="G59" i="5" s="1"/>
  <c r="G60" i="5" s="1"/>
  <c r="G61" i="5" s="1"/>
  <c r="J16" i="4"/>
  <c r="J15" i="10"/>
  <c r="J71" i="10" s="1"/>
  <c r="J73" i="10" s="1"/>
  <c r="J103" i="3"/>
  <c r="J16" i="6" s="1"/>
  <c r="J101" i="3"/>
  <c r="J15" i="6" s="1"/>
  <c r="J97" i="3"/>
  <c r="J107" i="3"/>
  <c r="J18" i="4" s="1"/>
  <c r="J93" i="3"/>
  <c r="H24" i="7" s="1"/>
  <c r="I50" i="9" s="1" a="1"/>
  <c r="I50" i="9" s="1"/>
  <c r="I52" i="9" s="1"/>
  <c r="I53" i="9" s="1"/>
  <c r="I54" i="9" s="1"/>
  <c r="J94" i="3"/>
  <c r="K68" i="3"/>
  <c r="K25" i="6" s="1"/>
  <c r="K59" i="3"/>
  <c r="K10" i="6" s="1"/>
  <c r="H89" i="6" l="1"/>
  <c r="BV34" i="11" a="1"/>
  <c r="BV34" i="11" s="1"/>
  <c r="H88" i="6"/>
  <c r="H90" i="6"/>
  <c r="G70" i="9" a="1"/>
  <c r="G70" i="9" s="1"/>
  <c r="G72" i="9" s="1"/>
  <c r="G73" i="9" s="1"/>
  <c r="G74" i="9" s="1"/>
  <c r="H99" i="6"/>
  <c r="K24" i="6"/>
  <c r="BK36" i="11" s="1" a="1"/>
  <c r="BK36" i="11" s="1"/>
  <c r="BJ36" i="11" a="1"/>
  <c r="BJ36" i="11" s="1"/>
  <c r="G62" i="5"/>
  <c r="G63" i="5" s="1"/>
  <c r="G64" i="5" s="1"/>
  <c r="G29" i="7"/>
  <c r="H75" i="9" s="1" a="1"/>
  <c r="H75" i="9" s="1"/>
  <c r="H77" i="9" s="1"/>
  <c r="H78" i="9" s="1"/>
  <c r="H79" i="9" s="1"/>
  <c r="J14" i="6"/>
  <c r="J91" i="6" s="1"/>
  <c r="H22" i="7"/>
  <c r="I40" i="9" s="1" a="1"/>
  <c r="I40" i="9" s="1"/>
  <c r="I42" i="9" s="1"/>
  <c r="I43" i="9" s="1"/>
  <c r="I44" i="9" s="1"/>
  <c r="J17" i="10"/>
  <c r="J67" i="10" s="1"/>
  <c r="J69" i="10" s="1"/>
  <c r="J13" i="6"/>
  <c r="I80" i="6"/>
  <c r="K15" i="4"/>
  <c r="K13" i="10"/>
  <c r="J114" i="3"/>
  <c r="J17" i="4"/>
  <c r="K79" i="3"/>
  <c r="K118" i="3" s="1"/>
  <c r="K89" i="3"/>
  <c r="L62" i="3"/>
  <c r="L19" i="6" s="1"/>
  <c r="K69" i="3"/>
  <c r="K113" i="3" s="1"/>
  <c r="F32" i="7" l="1"/>
  <c r="F34" i="7" s="1"/>
  <c r="K26" i="6"/>
  <c r="K95" i="6" s="1"/>
  <c r="H100" i="6" a="1"/>
  <c r="H100" i="6" s="1"/>
  <c r="J82" i="6"/>
  <c r="J98" i="6" s="1"/>
  <c r="I81" i="6"/>
  <c r="I83" i="6"/>
  <c r="I84" i="6" s="1"/>
  <c r="J94" i="6"/>
  <c r="J73" i="6"/>
  <c r="J76" i="6" s="1"/>
  <c r="J78" i="10"/>
  <c r="J36" i="6"/>
  <c r="J70" i="10"/>
  <c r="H25" i="7" s="1"/>
  <c r="I55" i="9" s="1" a="1"/>
  <c r="I55" i="9" s="1"/>
  <c r="I57" i="9" s="1"/>
  <c r="I58" i="9" s="1"/>
  <c r="I59" i="9" s="1"/>
  <c r="L67" i="3"/>
  <c r="K104" i="3"/>
  <c r="K91" i="3"/>
  <c r="K95" i="3"/>
  <c r="K102" i="3"/>
  <c r="G26" i="7" l="1"/>
  <c r="H60" i="9" s="1" a="1"/>
  <c r="H60" i="9" s="1"/>
  <c r="H62" i="9" s="1"/>
  <c r="H63" i="9" s="1"/>
  <c r="H64" i="9" s="1"/>
  <c r="BO34" i="11" a="1"/>
  <c r="BO34" i="11" s="1"/>
  <c r="G27" i="7"/>
  <c r="H65" i="9" s="1" a="1"/>
  <c r="H65" i="9" s="1"/>
  <c r="H67" i="9" s="1"/>
  <c r="H68" i="9" s="1"/>
  <c r="H69" i="9" s="1"/>
  <c r="BP34" i="11" a="1"/>
  <c r="BP34" i="11" s="1"/>
  <c r="I57" i="5"/>
  <c r="I23" i="7"/>
  <c r="J45" i="9" s="1" a="1"/>
  <c r="J45" i="9" s="1"/>
  <c r="J47" i="9" s="1"/>
  <c r="J48" i="9" s="1"/>
  <c r="J49" i="9" s="1"/>
  <c r="J79" i="6"/>
  <c r="I97" i="6"/>
  <c r="J96" i="6"/>
  <c r="J63" i="6"/>
  <c r="J65" i="6" s="1"/>
  <c r="J66" i="6" s="1"/>
  <c r="L58" i="3"/>
  <c r="L59" i="3" s="1"/>
  <c r="L10" i="6" s="1"/>
  <c r="L22" i="6"/>
  <c r="I85" i="6"/>
  <c r="H58" i="5"/>
  <c r="H59" i="5" s="1"/>
  <c r="H60" i="5" s="1"/>
  <c r="H61" i="5" s="1"/>
  <c r="J37" i="6"/>
  <c r="CC35" i="11" s="1" a="1"/>
  <c r="CC35" i="11" s="1"/>
  <c r="K16" i="4"/>
  <c r="K15" i="10"/>
  <c r="K71" i="10" s="1"/>
  <c r="K73" i="10" s="1"/>
  <c r="K97" i="3"/>
  <c r="K94" i="3"/>
  <c r="K107" i="3"/>
  <c r="K18" i="4" s="1"/>
  <c r="K103" i="3"/>
  <c r="K16" i="6" s="1"/>
  <c r="K101" i="3"/>
  <c r="K15" i="6" s="1"/>
  <c r="K93" i="3"/>
  <c r="I24" i="7" s="1"/>
  <c r="J50" i="9" s="1" a="1"/>
  <c r="J50" i="9" s="1"/>
  <c r="J52" i="9" s="1"/>
  <c r="J53" i="9" s="1"/>
  <c r="J54" i="9" s="1"/>
  <c r="L68" i="3"/>
  <c r="L25" i="6" s="1"/>
  <c r="BV35" i="11" l="1" a="1"/>
  <c r="BV35" i="11" s="1"/>
  <c r="L24" i="6"/>
  <c r="BK37" i="11" s="1" a="1"/>
  <c r="BK37" i="11" s="1"/>
  <c r="BJ37" i="11" a="1"/>
  <c r="BJ37" i="11" s="1"/>
  <c r="K14" i="6"/>
  <c r="K91" i="6" s="1"/>
  <c r="I22" i="7"/>
  <c r="J40" i="9" s="1" a="1"/>
  <c r="J40" i="9" s="1"/>
  <c r="J42" i="9" s="1"/>
  <c r="J43" i="9" s="1"/>
  <c r="J44" i="9" s="1"/>
  <c r="J80" i="6"/>
  <c r="J83" i="6" s="1"/>
  <c r="J84" i="6" s="1"/>
  <c r="H62" i="5"/>
  <c r="H63" i="5" s="1"/>
  <c r="H64" i="5" s="1"/>
  <c r="H29" i="7"/>
  <c r="I75" i="9" s="1" a="1"/>
  <c r="I75" i="9" s="1"/>
  <c r="I77" i="9" s="1"/>
  <c r="I78" i="9" s="1"/>
  <c r="I79" i="9" s="1"/>
  <c r="I99" i="6"/>
  <c r="G28" i="7"/>
  <c r="I90" i="6"/>
  <c r="I88" i="6"/>
  <c r="I89" i="6"/>
  <c r="K17" i="10"/>
  <c r="K67" i="10" s="1"/>
  <c r="K69" i="10" s="1"/>
  <c r="K13" i="6"/>
  <c r="L15" i="4"/>
  <c r="L13" i="10"/>
  <c r="K114" i="3"/>
  <c r="K17" i="4"/>
  <c r="L79" i="3"/>
  <c r="L118" i="3" s="1"/>
  <c r="L89" i="3"/>
  <c r="M62" i="3"/>
  <c r="M19" i="6" s="1"/>
  <c r="L69" i="3"/>
  <c r="L113" i="3" s="1"/>
  <c r="K82" i="6" l="1"/>
  <c r="K98" i="6" s="1"/>
  <c r="J81" i="6"/>
  <c r="J85" i="6" s="1"/>
  <c r="H28" i="7" s="1"/>
  <c r="L26" i="6"/>
  <c r="L95" i="6" s="1"/>
  <c r="H26" i="7"/>
  <c r="I60" i="9" s="1" a="1"/>
  <c r="I60" i="9" s="1"/>
  <c r="I62" i="9" s="1"/>
  <c r="I63" i="9" s="1"/>
  <c r="I64" i="9" s="1"/>
  <c r="BO35" i="11" a="1"/>
  <c r="BO35" i="11" s="1"/>
  <c r="G33" i="7"/>
  <c r="H70" i="9" a="1"/>
  <c r="H70" i="9" s="1"/>
  <c r="H72" i="9" s="1"/>
  <c r="H73" i="9" s="1"/>
  <c r="H74" i="9" s="1"/>
  <c r="G32" i="7"/>
  <c r="G34" i="7" s="1"/>
  <c r="I100" i="6" a="1"/>
  <c r="I100" i="6" s="1"/>
  <c r="K79" i="6"/>
  <c r="J97" i="6"/>
  <c r="K78" i="10"/>
  <c r="K36" i="6"/>
  <c r="K94" i="6"/>
  <c r="K73" i="6"/>
  <c r="K76" i="6" s="1"/>
  <c r="K70" i="10"/>
  <c r="I25" i="7" s="1"/>
  <c r="J55" i="9" s="1" a="1"/>
  <c r="J55" i="9" s="1"/>
  <c r="J57" i="9" s="1"/>
  <c r="J58" i="9" s="1"/>
  <c r="J59" i="9" s="1"/>
  <c r="M67" i="3"/>
  <c r="L102" i="3"/>
  <c r="L95" i="3"/>
  <c r="L104" i="3"/>
  <c r="L91" i="3"/>
  <c r="BP35" i="11" l="1" a="1"/>
  <c r="BP35" i="11" s="1"/>
  <c r="H27" i="7"/>
  <c r="I65" i="9" s="1" a="1"/>
  <c r="I65" i="9" s="1"/>
  <c r="I67" i="9" s="1"/>
  <c r="I68" i="9" s="1"/>
  <c r="I69" i="9" s="1"/>
  <c r="J99" i="6"/>
  <c r="H33" i="7"/>
  <c r="I70" i="9" a="1"/>
  <c r="I70" i="9" s="1"/>
  <c r="I72" i="9" s="1"/>
  <c r="I73" i="9" s="1"/>
  <c r="I74" i="9" s="1"/>
  <c r="J57" i="5"/>
  <c r="J23" i="7"/>
  <c r="K45" i="9" s="1" a="1"/>
  <c r="K45" i="9" s="1"/>
  <c r="K47" i="9" s="1"/>
  <c r="K48" i="9" s="1"/>
  <c r="K49" i="9" s="1"/>
  <c r="K96" i="6"/>
  <c r="K63" i="6"/>
  <c r="K65" i="6" s="1"/>
  <c r="K66" i="6" s="1"/>
  <c r="M58" i="3"/>
  <c r="M59" i="3" s="1"/>
  <c r="M10" i="6" s="1"/>
  <c r="M22" i="6"/>
  <c r="I58" i="5"/>
  <c r="I59" i="5" s="1"/>
  <c r="I60" i="5" s="1"/>
  <c r="I61" i="5" s="1"/>
  <c r="K37" i="6"/>
  <c r="CC36" i="11" s="1" a="1"/>
  <c r="CC36" i="11" s="1"/>
  <c r="J90" i="6"/>
  <c r="J88" i="6"/>
  <c r="J89" i="6"/>
  <c r="L16" i="4"/>
  <c r="L15" i="10"/>
  <c r="L71" i="10" s="1"/>
  <c r="L73" i="10" s="1"/>
  <c r="L107" i="3"/>
  <c r="L18" i="4" s="1"/>
  <c r="L93" i="3"/>
  <c r="J24" i="7" s="1"/>
  <c r="K50" i="9" s="1" a="1"/>
  <c r="K50" i="9" s="1"/>
  <c r="K52" i="9" s="1"/>
  <c r="K53" i="9" s="1"/>
  <c r="K54" i="9" s="1"/>
  <c r="L97" i="3"/>
  <c r="L94" i="3"/>
  <c r="L101" i="3"/>
  <c r="L15" i="6" s="1"/>
  <c r="L103" i="3"/>
  <c r="L16" i="6" s="1"/>
  <c r="M68" i="3"/>
  <c r="M25" i="6" s="1"/>
  <c r="BV36" i="11" l="1" a="1"/>
  <c r="BV36" i="11" s="1"/>
  <c r="M24" i="6"/>
  <c r="BK38" i="11" s="1" a="1"/>
  <c r="BK38" i="11" s="1"/>
  <c r="BJ38" i="11" a="1"/>
  <c r="BJ38" i="11" s="1"/>
  <c r="L14" i="6"/>
  <c r="L91" i="6" s="1"/>
  <c r="J22" i="7"/>
  <c r="K40" i="9" s="1" a="1"/>
  <c r="K40" i="9" s="1"/>
  <c r="K42" i="9" s="1"/>
  <c r="K43" i="9" s="1"/>
  <c r="K44" i="9" s="1"/>
  <c r="I62" i="5"/>
  <c r="I63" i="5" s="1"/>
  <c r="I64" i="5" s="1"/>
  <c r="I29" i="7"/>
  <c r="J75" i="9" s="1" a="1"/>
  <c r="J75" i="9" s="1"/>
  <c r="J77" i="9" s="1"/>
  <c r="J78" i="9" s="1"/>
  <c r="J79" i="9" s="1"/>
  <c r="H32" i="7"/>
  <c r="H34" i="7" s="1"/>
  <c r="K80" i="6"/>
  <c r="K83" i="6" s="1"/>
  <c r="K84" i="6" s="1"/>
  <c r="J100" i="6" a="1"/>
  <c r="J100" i="6" s="1"/>
  <c r="L17" i="10"/>
  <c r="L67" i="10" s="1"/>
  <c r="L69" i="10" s="1"/>
  <c r="L13" i="6"/>
  <c r="M15" i="4"/>
  <c r="M13" i="10"/>
  <c r="L114" i="3"/>
  <c r="L17" i="4"/>
  <c r="M89" i="3"/>
  <c r="M79" i="3"/>
  <c r="M118" i="3" s="1"/>
  <c r="N62" i="3"/>
  <c r="N19" i="6" s="1"/>
  <c r="M69" i="3"/>
  <c r="M113" i="3" s="1"/>
  <c r="L82" i="6" l="1"/>
  <c r="L98" i="6" s="1"/>
  <c r="M26" i="6"/>
  <c r="M95" i="6" s="1"/>
  <c r="I26" i="7"/>
  <c r="J60" i="9" s="1" a="1"/>
  <c r="J60" i="9" s="1"/>
  <c r="J62" i="9" s="1"/>
  <c r="J63" i="9" s="1"/>
  <c r="J64" i="9" s="1"/>
  <c r="BO36" i="11" a="1"/>
  <c r="BO36" i="11" s="1"/>
  <c r="K81" i="6"/>
  <c r="BP36" i="11" s="1" a="1"/>
  <c r="BP36" i="11" s="1"/>
  <c r="L78" i="10"/>
  <c r="L36" i="6"/>
  <c r="L79" i="6"/>
  <c r="K97" i="6"/>
  <c r="L94" i="6"/>
  <c r="L73" i="6"/>
  <c r="L76" i="6" s="1"/>
  <c r="L70" i="10"/>
  <c r="J25" i="7" s="1"/>
  <c r="K55" i="9" s="1" a="1"/>
  <c r="K55" i="9" s="1"/>
  <c r="K57" i="9" s="1"/>
  <c r="K58" i="9" s="1"/>
  <c r="K59" i="9" s="1"/>
  <c r="N67" i="3"/>
  <c r="M91" i="3"/>
  <c r="M102" i="3"/>
  <c r="M95" i="3"/>
  <c r="M104" i="3"/>
  <c r="K57" i="5" l="1"/>
  <c r="K23" i="7"/>
  <c r="L45" i="9" s="1" a="1"/>
  <c r="L45" i="9" s="1"/>
  <c r="L47" i="9" s="1"/>
  <c r="L48" i="9" s="1"/>
  <c r="L49" i="9" s="1"/>
  <c r="K85" i="6"/>
  <c r="K90" i="6" s="1"/>
  <c r="I27" i="7"/>
  <c r="J65" i="9" s="1" a="1"/>
  <c r="J65" i="9" s="1"/>
  <c r="J67" i="9" s="1"/>
  <c r="J68" i="9" s="1"/>
  <c r="J69" i="9" s="1"/>
  <c r="J58" i="5"/>
  <c r="J59" i="5" s="1"/>
  <c r="J60" i="5" s="1"/>
  <c r="J61" i="5" s="1"/>
  <c r="L37" i="6"/>
  <c r="CC37" i="11" s="1" a="1"/>
  <c r="CC37" i="11" s="1"/>
  <c r="N58" i="3"/>
  <c r="N59" i="3" s="1"/>
  <c r="N10" i="6" s="1"/>
  <c r="N22" i="6"/>
  <c r="L96" i="6"/>
  <c r="L63" i="6"/>
  <c r="L65" i="6" s="1"/>
  <c r="L66" i="6" s="1"/>
  <c r="M16" i="4"/>
  <c r="M15" i="10"/>
  <c r="M71" i="10" s="1"/>
  <c r="M73" i="10" s="1"/>
  <c r="M93" i="3"/>
  <c r="K24" i="7" s="1"/>
  <c r="L50" i="9" s="1" a="1"/>
  <c r="L50" i="9" s="1"/>
  <c r="L52" i="9" s="1"/>
  <c r="L53" i="9" s="1"/>
  <c r="L54" i="9" s="1"/>
  <c r="M103" i="3"/>
  <c r="M16" i="6" s="1"/>
  <c r="M94" i="3"/>
  <c r="K22" i="7" s="1"/>
  <c r="L40" i="9" s="1" a="1"/>
  <c r="L40" i="9" s="1"/>
  <c r="L42" i="9" s="1"/>
  <c r="L43" i="9" s="1"/>
  <c r="L44" i="9" s="1"/>
  <c r="M97" i="3"/>
  <c r="M107" i="3"/>
  <c r="M18" i="4" s="1"/>
  <c r="M101" i="3"/>
  <c r="M15" i="6" s="1"/>
  <c r="N68" i="3"/>
  <c r="N25" i="6" s="1"/>
  <c r="BV37" i="11" l="1" a="1"/>
  <c r="BV37" i="11" s="1"/>
  <c r="N24" i="6"/>
  <c r="BK39" i="11" s="1" a="1"/>
  <c r="BK39" i="11" s="1"/>
  <c r="BJ39" i="11" a="1"/>
  <c r="BJ39" i="11" s="1"/>
  <c r="K89" i="6"/>
  <c r="I32" i="7" s="1"/>
  <c r="K88" i="6"/>
  <c r="J62" i="5"/>
  <c r="J63" i="5" s="1"/>
  <c r="J64" i="5" s="1"/>
  <c r="J29" i="7"/>
  <c r="K75" i="9" s="1" a="1"/>
  <c r="K75" i="9" s="1"/>
  <c r="K77" i="9" s="1"/>
  <c r="K78" i="9" s="1"/>
  <c r="K79" i="9" s="1"/>
  <c r="K99" i="6"/>
  <c r="I28" i="7"/>
  <c r="M17" i="10"/>
  <c r="M67" i="10" s="1"/>
  <c r="M69" i="10" s="1"/>
  <c r="M13" i="6"/>
  <c r="M14" i="6"/>
  <c r="L80" i="6"/>
  <c r="N15" i="4"/>
  <c r="N13" i="10"/>
  <c r="M114" i="3"/>
  <c r="M17" i="4"/>
  <c r="N79" i="3"/>
  <c r="N118" i="3" s="1"/>
  <c r="N89" i="3"/>
  <c r="O62" i="3"/>
  <c r="O19" i="6" s="1"/>
  <c r="N69" i="3"/>
  <c r="N113" i="3" s="1"/>
  <c r="N26" i="6" l="1"/>
  <c r="N95" i="6" s="1"/>
  <c r="K100" i="6" a="1"/>
  <c r="K100" i="6" s="1"/>
  <c r="I33" i="7"/>
  <c r="I34" i="7" s="1"/>
  <c r="J70" i="9" a="1"/>
  <c r="J70" i="9" s="1"/>
  <c r="J72" i="9" s="1"/>
  <c r="J73" i="9" s="1"/>
  <c r="J74" i="9" s="1"/>
  <c r="M78" i="10"/>
  <c r="M36" i="6"/>
  <c r="M91" i="6"/>
  <c r="M82" i="6"/>
  <c r="M98" i="6" s="1"/>
  <c r="L81" i="6"/>
  <c r="L83" i="6"/>
  <c r="L84" i="6" s="1"/>
  <c r="M94" i="6"/>
  <c r="M73" i="6"/>
  <c r="M76" i="6" s="1"/>
  <c r="M70" i="10"/>
  <c r="K25" i="7" s="1"/>
  <c r="L55" i="9" s="1" a="1"/>
  <c r="L55" i="9" s="1"/>
  <c r="L57" i="9" s="1"/>
  <c r="L58" i="9" s="1"/>
  <c r="L59" i="9" s="1"/>
  <c r="N102" i="3"/>
  <c r="N95" i="3"/>
  <c r="N91" i="3"/>
  <c r="N104" i="3"/>
  <c r="O67" i="3"/>
  <c r="J27" i="7" l="1"/>
  <c r="K65" i="9" s="1" a="1"/>
  <c r="K65" i="9" s="1"/>
  <c r="K67" i="9" s="1"/>
  <c r="K68" i="9" s="1"/>
  <c r="K69" i="9" s="1"/>
  <c r="BP37" i="11" a="1"/>
  <c r="BP37" i="11" s="1"/>
  <c r="J26" i="7"/>
  <c r="K60" i="9" s="1" a="1"/>
  <c r="K60" i="9" s="1"/>
  <c r="K62" i="9" s="1"/>
  <c r="K63" i="9" s="1"/>
  <c r="K64" i="9" s="1"/>
  <c r="BO37" i="11" a="1"/>
  <c r="BO37" i="11" s="1"/>
  <c r="L57" i="5"/>
  <c r="L23" i="7"/>
  <c r="M45" i="9" s="1" a="1"/>
  <c r="M45" i="9" s="1"/>
  <c r="M47" i="9" s="1"/>
  <c r="M48" i="9" s="1"/>
  <c r="M49" i="9" s="1"/>
  <c r="K58" i="5"/>
  <c r="K59" i="5" s="1"/>
  <c r="K60" i="5" s="1"/>
  <c r="K61" i="5" s="1"/>
  <c r="M37" i="6"/>
  <c r="CC38" i="11" s="1" a="1"/>
  <c r="CC38" i="11" s="1"/>
  <c r="O58" i="3"/>
  <c r="O59" i="3" s="1"/>
  <c r="O10" i="6" s="1"/>
  <c r="O22" i="6"/>
  <c r="M96" i="6"/>
  <c r="M63" i="6"/>
  <c r="M65" i="6" s="1"/>
  <c r="M66" i="6" s="1"/>
  <c r="L85" i="6"/>
  <c r="M79" i="6"/>
  <c r="L97" i="6"/>
  <c r="N16" i="4"/>
  <c r="N15" i="10"/>
  <c r="N71" i="10" s="1"/>
  <c r="N73" i="10" s="1"/>
  <c r="O68" i="3"/>
  <c r="O25" i="6" s="1"/>
  <c r="N101" i="3"/>
  <c r="N15" i="6" s="1"/>
  <c r="N94" i="3"/>
  <c r="N97" i="3"/>
  <c r="N93" i="3"/>
  <c r="L24" i="7" s="1"/>
  <c r="M50" i="9" s="1" a="1"/>
  <c r="M50" i="9" s="1"/>
  <c r="M52" i="9" s="1"/>
  <c r="M53" i="9" s="1"/>
  <c r="M54" i="9" s="1"/>
  <c r="N103" i="3"/>
  <c r="N16" i="6" s="1"/>
  <c r="N107" i="3"/>
  <c r="N18" i="4" s="1"/>
  <c r="BV38" i="11" l="1" a="1"/>
  <c r="BV38" i="11" s="1"/>
  <c r="O24" i="6"/>
  <c r="BK40" i="11" s="1" a="1"/>
  <c r="BK40" i="11" s="1"/>
  <c r="BJ40" i="11" a="1"/>
  <c r="BJ40" i="11" s="1"/>
  <c r="N14" i="6"/>
  <c r="N91" i="6" s="1"/>
  <c r="L22" i="7"/>
  <c r="M40" i="9" s="1" a="1"/>
  <c r="M40" i="9" s="1"/>
  <c r="M42" i="9" s="1"/>
  <c r="M43" i="9" s="1"/>
  <c r="M44" i="9" s="1"/>
  <c r="K62" i="5"/>
  <c r="K63" i="5" s="1"/>
  <c r="K64" i="5" s="1"/>
  <c r="K29" i="7"/>
  <c r="L75" i="9" s="1" a="1"/>
  <c r="L75" i="9" s="1"/>
  <c r="L77" i="9" s="1"/>
  <c r="L78" i="9" s="1"/>
  <c r="L79" i="9" s="1"/>
  <c r="L99" i="6"/>
  <c r="J28" i="7"/>
  <c r="K70" i="9" s="1" a="1"/>
  <c r="K70" i="9" s="1"/>
  <c r="K72" i="9" s="1"/>
  <c r="K73" i="9" s="1"/>
  <c r="K74" i="9" s="1"/>
  <c r="M80" i="6"/>
  <c r="M81" i="6" s="1"/>
  <c r="L88" i="6"/>
  <c r="L90" i="6"/>
  <c r="L89" i="6"/>
  <c r="N17" i="10"/>
  <c r="N67" i="10" s="1"/>
  <c r="N69" i="10" s="1"/>
  <c r="N13" i="6"/>
  <c r="N82" i="6"/>
  <c r="O15" i="4"/>
  <c r="O13" i="10"/>
  <c r="N114" i="3"/>
  <c r="N17" i="4"/>
  <c r="O89" i="3"/>
  <c r="O79" i="3"/>
  <c r="O118" i="3" s="1"/>
  <c r="P62" i="3"/>
  <c r="P19" i="6" s="1"/>
  <c r="O69" i="3"/>
  <c r="O113" i="3" s="1"/>
  <c r="O26" i="6" l="1"/>
  <c r="O95" i="6" s="1"/>
  <c r="N98" i="6"/>
  <c r="K27" i="7"/>
  <c r="L65" i="9" s="1" a="1"/>
  <c r="L65" i="9" s="1"/>
  <c r="L67" i="9" s="1"/>
  <c r="L68" i="9" s="1"/>
  <c r="L69" i="9" s="1"/>
  <c r="BP38" i="11" a="1"/>
  <c r="BP38" i="11" s="1"/>
  <c r="J32" i="7"/>
  <c r="J33" i="7"/>
  <c r="G102" i="7"/>
  <c r="M83" i="6"/>
  <c r="M84" i="6" s="1"/>
  <c r="BO38" i="11" s="1" a="1"/>
  <c r="BO38" i="11" s="1"/>
  <c r="L100" i="6" a="1"/>
  <c r="L100" i="6" s="1"/>
  <c r="N78" i="10"/>
  <c r="N36" i="6"/>
  <c r="N94" i="6"/>
  <c r="N73" i="6"/>
  <c r="N76" i="6" s="1"/>
  <c r="N70" i="10"/>
  <c r="L25" i="7" s="1"/>
  <c r="M55" i="9" s="1" a="1"/>
  <c r="M55" i="9" s="1"/>
  <c r="M57" i="9" s="1"/>
  <c r="M58" i="9" s="1"/>
  <c r="M59" i="9" s="1"/>
  <c r="P67" i="3"/>
  <c r="O95" i="3"/>
  <c r="O91" i="3"/>
  <c r="O102" i="3"/>
  <c r="O104" i="3"/>
  <c r="J34" i="7" l="1"/>
  <c r="M57" i="5"/>
  <c r="M23" i="7"/>
  <c r="N45" i="9" s="1" a="1"/>
  <c r="N45" i="9" s="1"/>
  <c r="N47" i="9" s="1"/>
  <c r="N48" i="9" s="1"/>
  <c r="N49" i="9" s="1"/>
  <c r="M97" i="6"/>
  <c r="K26" i="7"/>
  <c r="L60" i="9" s="1" a="1"/>
  <c r="L60" i="9" s="1"/>
  <c r="L62" i="9" s="1"/>
  <c r="L63" i="9" s="1"/>
  <c r="L64" i="9" s="1"/>
  <c r="M85" i="6"/>
  <c r="M90" i="6" s="1"/>
  <c r="N79" i="6"/>
  <c r="N96" i="6"/>
  <c r="N63" i="6"/>
  <c r="N65" i="6" s="1"/>
  <c r="N66" i="6" s="1"/>
  <c r="P58" i="3"/>
  <c r="P59" i="3" s="1"/>
  <c r="P10" i="6" s="1"/>
  <c r="P22" i="6"/>
  <c r="L58" i="5"/>
  <c r="L59" i="5" s="1"/>
  <c r="L60" i="5" s="1"/>
  <c r="L61" i="5" s="1"/>
  <c r="N37" i="6"/>
  <c r="CC39" i="11" s="1" a="1"/>
  <c r="CC39" i="11" s="1"/>
  <c r="O16" i="4"/>
  <c r="O15" i="10"/>
  <c r="O71" i="10" s="1"/>
  <c r="O73" i="10" s="1"/>
  <c r="O94" i="3"/>
  <c r="O97" i="3"/>
  <c r="O103" i="3"/>
  <c r="O16" i="6" s="1"/>
  <c r="O101" i="3"/>
  <c r="O15" i="6" s="1"/>
  <c r="O93" i="3"/>
  <c r="M24" i="7" s="1"/>
  <c r="N50" i="9" s="1" a="1"/>
  <c r="N50" i="9" s="1"/>
  <c r="N52" i="9" s="1"/>
  <c r="N53" i="9" s="1"/>
  <c r="N54" i="9" s="1"/>
  <c r="O107" i="3"/>
  <c r="O18" i="4" s="1"/>
  <c r="P68" i="3"/>
  <c r="P25" i="6" s="1"/>
  <c r="M89" i="6" l="1"/>
  <c r="K32" i="7" s="1"/>
  <c r="BV39" i="11" a="1"/>
  <c r="BV39" i="11" s="1"/>
  <c r="P24" i="6"/>
  <c r="BK41" i="11" s="1" a="1"/>
  <c r="BK41" i="11" s="1"/>
  <c r="BJ41" i="11" a="1"/>
  <c r="BJ41" i="11" s="1"/>
  <c r="L62" i="5"/>
  <c r="L63" i="5" s="1"/>
  <c r="L64" i="5" s="1"/>
  <c r="L29" i="7"/>
  <c r="M75" i="9" s="1" a="1"/>
  <c r="M75" i="9" s="1"/>
  <c r="M77" i="9" s="1"/>
  <c r="M78" i="9" s="1"/>
  <c r="M79" i="9" s="1"/>
  <c r="M99" i="6"/>
  <c r="K28" i="7"/>
  <c r="O14" i="6"/>
  <c r="O91" i="6" s="1"/>
  <c r="M22" i="7"/>
  <c r="N40" i="9" s="1" a="1"/>
  <c r="N40" i="9" s="1"/>
  <c r="N42" i="9" s="1"/>
  <c r="N43" i="9" s="1"/>
  <c r="N44" i="9" s="1"/>
  <c r="M88" i="6"/>
  <c r="N80" i="6"/>
  <c r="O17" i="10"/>
  <c r="O67" i="10" s="1"/>
  <c r="O69" i="10" s="1"/>
  <c r="O13" i="6"/>
  <c r="P15" i="4"/>
  <c r="P13" i="10"/>
  <c r="O114" i="3"/>
  <c r="O17" i="4"/>
  <c r="P89" i="3"/>
  <c r="P79" i="3"/>
  <c r="P118" i="3" s="1"/>
  <c r="P69" i="3"/>
  <c r="P113" i="3" s="1"/>
  <c r="Q62" i="3"/>
  <c r="Q19" i="6" s="1"/>
  <c r="M100" i="6" l="1" a="1"/>
  <c r="M100" i="6" s="1"/>
  <c r="P26" i="6"/>
  <c r="P95" i="6" s="1"/>
  <c r="O82" i="6"/>
  <c r="O98" i="6" s="1"/>
  <c r="K33" i="7"/>
  <c r="K34" i="7" s="1"/>
  <c r="L70" i="9" a="1"/>
  <c r="L70" i="9" s="1"/>
  <c r="L72" i="9" s="1"/>
  <c r="L73" i="9" s="1"/>
  <c r="L74" i="9" s="1"/>
  <c r="O78" i="10"/>
  <c r="O36" i="6"/>
  <c r="N81" i="6"/>
  <c r="N83" i="6"/>
  <c r="N84" i="6" s="1"/>
  <c r="O94" i="6"/>
  <c r="O73" i="6"/>
  <c r="O76" i="6" s="1"/>
  <c r="O70" i="10"/>
  <c r="M25" i="7" s="1"/>
  <c r="N55" i="9" s="1" a="1"/>
  <c r="N55" i="9" s="1"/>
  <c r="N57" i="9" s="1"/>
  <c r="N58" i="9" s="1"/>
  <c r="N59" i="9" s="1"/>
  <c r="Q67" i="3"/>
  <c r="P104" i="3"/>
  <c r="P102" i="3"/>
  <c r="P95" i="3"/>
  <c r="P91" i="3"/>
  <c r="L26" i="7" l="1"/>
  <c r="M60" i="9" s="1" a="1"/>
  <c r="M60" i="9" s="1"/>
  <c r="M62" i="9" s="1"/>
  <c r="M63" i="9" s="1"/>
  <c r="M64" i="9" s="1"/>
  <c r="BO39" i="11" a="1"/>
  <c r="BO39" i="11" s="1"/>
  <c r="L27" i="7"/>
  <c r="M65" i="9" s="1" a="1"/>
  <c r="M65" i="9" s="1"/>
  <c r="M67" i="9" s="1"/>
  <c r="M68" i="9" s="1"/>
  <c r="M69" i="9" s="1"/>
  <c r="BP39" i="11" a="1"/>
  <c r="BP39" i="11" s="1"/>
  <c r="N57" i="5"/>
  <c r="N23" i="7"/>
  <c r="O45" i="9" s="1" a="1"/>
  <c r="O45" i="9" s="1"/>
  <c r="O47" i="9" s="1"/>
  <c r="O48" i="9" s="1"/>
  <c r="O49" i="9" s="1"/>
  <c r="Q58" i="3"/>
  <c r="Q22" i="6"/>
  <c r="M58" i="5"/>
  <c r="M59" i="5" s="1"/>
  <c r="M60" i="5" s="1"/>
  <c r="M61" i="5" s="1"/>
  <c r="O37" i="6"/>
  <c r="CC40" i="11" s="1" a="1"/>
  <c r="CC40" i="11" s="1"/>
  <c r="O79" i="6"/>
  <c r="N97" i="6"/>
  <c r="N85" i="6"/>
  <c r="O96" i="6"/>
  <c r="O63" i="6"/>
  <c r="O65" i="6" s="1"/>
  <c r="O66" i="6" s="1"/>
  <c r="P16" i="4"/>
  <c r="P15" i="10"/>
  <c r="P71" i="10" s="1"/>
  <c r="P73" i="10" s="1"/>
  <c r="P97" i="3"/>
  <c r="P94" i="3"/>
  <c r="P93" i="3"/>
  <c r="N24" i="7" s="1"/>
  <c r="O50" i="9" s="1" a="1"/>
  <c r="O50" i="9" s="1"/>
  <c r="O52" i="9" s="1"/>
  <c r="O53" i="9" s="1"/>
  <c r="O54" i="9" s="1"/>
  <c r="P107" i="3"/>
  <c r="P18" i="4" s="1"/>
  <c r="P101" i="3"/>
  <c r="P15" i="6" s="1"/>
  <c r="P103" i="3"/>
  <c r="P16" i="6" s="1"/>
  <c r="Q68" i="3"/>
  <c r="Q25" i="6" s="1"/>
  <c r="Q59" i="3"/>
  <c r="Q10" i="6" s="1"/>
  <c r="BV40" i="11" l="1" a="1"/>
  <c r="BV40" i="11" s="1"/>
  <c r="Q24" i="6"/>
  <c r="BK42" i="11" s="1" a="1"/>
  <c r="BK42" i="11" s="1"/>
  <c r="BJ42" i="11" a="1"/>
  <c r="BJ42" i="11" s="1"/>
  <c r="P14" i="6"/>
  <c r="P91" i="6" s="1"/>
  <c r="N22" i="7"/>
  <c r="O40" i="9" s="1" a="1"/>
  <c r="O40" i="9" s="1"/>
  <c r="O42" i="9" s="1"/>
  <c r="O43" i="9" s="1"/>
  <c r="O44" i="9" s="1"/>
  <c r="M62" i="5"/>
  <c r="M63" i="5" s="1"/>
  <c r="M64" i="5" s="1"/>
  <c r="M29" i="7"/>
  <c r="N75" i="9" s="1" a="1"/>
  <c r="N75" i="9" s="1"/>
  <c r="N77" i="9" s="1"/>
  <c r="N78" i="9" s="1"/>
  <c r="N79" i="9" s="1"/>
  <c r="N99" i="6"/>
  <c r="L28" i="7"/>
  <c r="O80" i="6"/>
  <c r="P17" i="10"/>
  <c r="P67" i="10" s="1"/>
  <c r="P69" i="10" s="1"/>
  <c r="P13" i="6"/>
  <c r="N90" i="6"/>
  <c r="N88" i="6"/>
  <c r="N89" i="6"/>
  <c r="Q15" i="4"/>
  <c r="Q13" i="10"/>
  <c r="P114" i="3"/>
  <c r="P17" i="4"/>
  <c r="Q89" i="3"/>
  <c r="Q79" i="3"/>
  <c r="Q118" i="3" s="1"/>
  <c r="Q69" i="3"/>
  <c r="Q113" i="3" s="1"/>
  <c r="R62" i="3"/>
  <c r="R19" i="6" s="1"/>
  <c r="Q26" i="6" l="1"/>
  <c r="Q95" i="6" s="1"/>
  <c r="P82" i="6"/>
  <c r="P98" i="6" s="1"/>
  <c r="L33" i="7"/>
  <c r="M70" i="9" a="1"/>
  <c r="M70" i="9" s="1"/>
  <c r="M72" i="9" s="1"/>
  <c r="M73" i="9" s="1"/>
  <c r="M74" i="9" s="1"/>
  <c r="L32" i="7"/>
  <c r="N100" i="6" a="1"/>
  <c r="N100" i="6" s="1"/>
  <c r="P78" i="10"/>
  <c r="P36" i="6"/>
  <c r="O81" i="6"/>
  <c r="O83" i="6"/>
  <c r="O84" i="6" s="1"/>
  <c r="P94" i="6"/>
  <c r="P73" i="6"/>
  <c r="P76" i="6" s="1"/>
  <c r="P70" i="10"/>
  <c r="N25" i="7" s="1"/>
  <c r="O55" i="9" s="1" a="1"/>
  <c r="O55" i="9" s="1"/>
  <c r="O57" i="9" s="1"/>
  <c r="O58" i="9" s="1"/>
  <c r="O59" i="9" s="1"/>
  <c r="R67" i="3"/>
  <c r="Q95" i="3"/>
  <c r="Q104" i="3"/>
  <c r="Q91" i="3"/>
  <c r="Q102" i="3"/>
  <c r="L34" i="7" l="1"/>
  <c r="M26" i="7"/>
  <c r="N60" i="9" s="1" a="1"/>
  <c r="N60" i="9" s="1"/>
  <c r="N62" i="9" s="1"/>
  <c r="N63" i="9" s="1"/>
  <c r="N64" i="9" s="1"/>
  <c r="BO40" i="11" a="1"/>
  <c r="BO40" i="11" s="1"/>
  <c r="M27" i="7"/>
  <c r="N65" i="9" s="1" a="1"/>
  <c r="N65" i="9" s="1"/>
  <c r="N67" i="9" s="1"/>
  <c r="N68" i="9" s="1"/>
  <c r="N69" i="9" s="1"/>
  <c r="BP40" i="11" a="1"/>
  <c r="BP40" i="11" s="1"/>
  <c r="O57" i="5"/>
  <c r="O23" i="7"/>
  <c r="P45" i="9" s="1" a="1"/>
  <c r="P45" i="9" s="1"/>
  <c r="P47" i="9" s="1"/>
  <c r="P48" i="9" s="1"/>
  <c r="P49" i="9" s="1"/>
  <c r="O85" i="6"/>
  <c r="R58" i="3"/>
  <c r="R59" i="3" s="1"/>
  <c r="R10" i="6" s="1"/>
  <c r="R22" i="6"/>
  <c r="N58" i="5"/>
  <c r="N59" i="5" s="1"/>
  <c r="N60" i="5" s="1"/>
  <c r="N61" i="5" s="1"/>
  <c r="P37" i="6"/>
  <c r="CC41" i="11" s="1" a="1"/>
  <c r="CC41" i="11" s="1"/>
  <c r="P79" i="6"/>
  <c r="O97" i="6"/>
  <c r="P96" i="6"/>
  <c r="P63" i="6"/>
  <c r="P65" i="6" s="1"/>
  <c r="P66" i="6" s="1"/>
  <c r="Q16" i="4"/>
  <c r="Q15" i="10"/>
  <c r="Q71" i="10" s="1"/>
  <c r="Q73" i="10" s="1"/>
  <c r="Q101" i="3"/>
  <c r="Q15" i="6" s="1"/>
  <c r="Q97" i="3"/>
  <c r="Q103" i="3"/>
  <c r="Q16" i="6" s="1"/>
  <c r="Q94" i="3"/>
  <c r="O22" i="7" s="1"/>
  <c r="P40" i="9" s="1" a="1"/>
  <c r="P40" i="9" s="1"/>
  <c r="P42" i="9" s="1"/>
  <c r="P43" i="9" s="1"/>
  <c r="P44" i="9" s="1"/>
  <c r="Q107" i="3"/>
  <c r="Q18" i="4" s="1"/>
  <c r="Q93" i="3"/>
  <c r="O24" i="7" s="1"/>
  <c r="P50" i="9" s="1" a="1"/>
  <c r="P50" i="9" s="1"/>
  <c r="P52" i="9" s="1"/>
  <c r="P53" i="9" s="1"/>
  <c r="P54" i="9" s="1"/>
  <c r="R68" i="3"/>
  <c r="R25" i="6" s="1"/>
  <c r="BV41" i="11" l="1" a="1"/>
  <c r="BV41" i="11" s="1"/>
  <c r="R24" i="6"/>
  <c r="BK43" i="11" s="1" a="1"/>
  <c r="BK43" i="11" s="1"/>
  <c r="BJ43" i="11" a="1"/>
  <c r="BJ43" i="11" s="1"/>
  <c r="N62" i="5"/>
  <c r="N63" i="5" s="1"/>
  <c r="N64" i="5" s="1"/>
  <c r="N29" i="7"/>
  <c r="O75" i="9" s="1" a="1"/>
  <c r="O75" i="9" s="1"/>
  <c r="O77" i="9" s="1"/>
  <c r="O78" i="9" s="1"/>
  <c r="O79" i="9" s="1"/>
  <c r="O99" i="6"/>
  <c r="M28" i="7"/>
  <c r="Q14" i="6"/>
  <c r="Q91" i="6" s="1"/>
  <c r="P80" i="6"/>
  <c r="P83" i="6" s="1"/>
  <c r="P84" i="6" s="1"/>
  <c r="Q17" i="10"/>
  <c r="Q67" i="10" s="1"/>
  <c r="Q69" i="10" s="1"/>
  <c r="Q13" i="6"/>
  <c r="O90" i="6"/>
  <c r="O88" i="6"/>
  <c r="O89" i="6"/>
  <c r="R15" i="4"/>
  <c r="R13" i="10"/>
  <c r="Q114" i="3"/>
  <c r="Q17" i="4"/>
  <c r="R89" i="3"/>
  <c r="R79" i="3"/>
  <c r="R118" i="3" s="1"/>
  <c r="S62" i="3"/>
  <c r="S19" i="6" s="1"/>
  <c r="R69" i="3"/>
  <c r="R113" i="3" s="1"/>
  <c r="R26" i="6" l="1"/>
  <c r="R95" i="6" s="1"/>
  <c r="Q82" i="6"/>
  <c r="Q98" i="6" s="1"/>
  <c r="N26" i="7"/>
  <c r="O60" i="9" s="1" a="1"/>
  <c r="O60" i="9" s="1"/>
  <c r="O62" i="9" s="1"/>
  <c r="O63" i="9" s="1"/>
  <c r="O64" i="9" s="1"/>
  <c r="BO41" i="11" a="1"/>
  <c r="BO41" i="11" s="1"/>
  <c r="M32" i="7"/>
  <c r="M34" i="7" s="1"/>
  <c r="M33" i="7"/>
  <c r="N70" i="9" a="1"/>
  <c r="N70" i="9" s="1"/>
  <c r="N72" i="9" s="1"/>
  <c r="N73" i="9" s="1"/>
  <c r="N74" i="9" s="1"/>
  <c r="P81" i="6"/>
  <c r="BP41" i="11" s="1" a="1"/>
  <c r="BP41" i="11" s="1"/>
  <c r="O100" i="6" a="1"/>
  <c r="O100" i="6" s="1"/>
  <c r="Q78" i="10"/>
  <c r="Q36" i="6"/>
  <c r="Q94" i="6"/>
  <c r="Q73" i="6"/>
  <c r="Q76" i="6" s="1"/>
  <c r="Q79" i="6"/>
  <c r="P97" i="6"/>
  <c r="Q70" i="10"/>
  <c r="O25" i="7" s="1"/>
  <c r="P55" i="9" s="1" a="1"/>
  <c r="P55" i="9" s="1"/>
  <c r="P57" i="9" s="1"/>
  <c r="P58" i="9" s="1"/>
  <c r="P59" i="9" s="1"/>
  <c r="S67" i="3"/>
  <c r="R91" i="3"/>
  <c r="R104" i="3"/>
  <c r="R95" i="3"/>
  <c r="R102" i="3"/>
  <c r="P57" i="5" l="1"/>
  <c r="P23" i="7"/>
  <c r="Q45" i="9" s="1" a="1"/>
  <c r="Q45" i="9" s="1"/>
  <c r="Q47" i="9" s="1"/>
  <c r="Q48" i="9" s="1"/>
  <c r="Q49" i="9" s="1"/>
  <c r="P85" i="6"/>
  <c r="N28" i="7" s="1"/>
  <c r="N27" i="7"/>
  <c r="O65" i="9" s="1" a="1"/>
  <c r="O65" i="9" s="1"/>
  <c r="O67" i="9" s="1"/>
  <c r="O68" i="9" s="1"/>
  <c r="O69" i="9" s="1"/>
  <c r="S58" i="3"/>
  <c r="S22" i="6"/>
  <c r="Q96" i="6"/>
  <c r="Q63" i="6"/>
  <c r="Q65" i="6" s="1"/>
  <c r="Q66" i="6" s="1"/>
  <c r="O58" i="5"/>
  <c r="O59" i="5" s="1"/>
  <c r="O60" i="5" s="1"/>
  <c r="O61" i="5" s="1"/>
  <c r="Q37" i="6"/>
  <c r="CC42" i="11" s="1" a="1"/>
  <c r="CC42" i="11" s="1"/>
  <c r="R16" i="4"/>
  <c r="R15" i="10"/>
  <c r="R71" i="10" s="1"/>
  <c r="R73" i="10" s="1"/>
  <c r="R101" i="3"/>
  <c r="R15" i="6" s="1"/>
  <c r="R107" i="3"/>
  <c r="R18" i="4" s="1"/>
  <c r="R94" i="3"/>
  <c r="R97" i="3"/>
  <c r="R103" i="3"/>
  <c r="R16" i="6" s="1"/>
  <c r="R93" i="3"/>
  <c r="P24" i="7" s="1"/>
  <c r="Q50" i="9" s="1" a="1"/>
  <c r="Q50" i="9" s="1"/>
  <c r="Q52" i="9" s="1"/>
  <c r="Q53" i="9" s="1"/>
  <c r="Q54" i="9" s="1"/>
  <c r="S68" i="3"/>
  <c r="S25" i="6" s="1"/>
  <c r="S59" i="3"/>
  <c r="S10" i="6" s="1"/>
  <c r="P89" i="6" l="1"/>
  <c r="BV42" i="11" a="1"/>
  <c r="BV42" i="11" s="1"/>
  <c r="S24" i="6"/>
  <c r="BK44" i="11" s="1" a="1"/>
  <c r="BK44" i="11" s="1"/>
  <c r="BJ44" i="11" a="1"/>
  <c r="BJ44" i="11" s="1"/>
  <c r="P99" i="6"/>
  <c r="P90" i="6"/>
  <c r="P88" i="6"/>
  <c r="N33" i="7"/>
  <c r="O70" i="9" a="1"/>
  <c r="O70" i="9" s="1"/>
  <c r="O72" i="9" s="1"/>
  <c r="O73" i="9" s="1"/>
  <c r="O74" i="9" s="1"/>
  <c r="O62" i="5"/>
  <c r="O63" i="5" s="1"/>
  <c r="O64" i="5" s="1"/>
  <c r="O29" i="7"/>
  <c r="P75" i="9" s="1" a="1"/>
  <c r="P75" i="9" s="1"/>
  <c r="P77" i="9" s="1"/>
  <c r="P78" i="9" s="1"/>
  <c r="P79" i="9" s="1"/>
  <c r="R14" i="6"/>
  <c r="R91" i="6" s="1"/>
  <c r="P22" i="7"/>
  <c r="Q40" i="9" s="1" a="1"/>
  <c r="Q40" i="9" s="1"/>
  <c r="Q42" i="9" s="1"/>
  <c r="Q43" i="9" s="1"/>
  <c r="Q44" i="9" s="1"/>
  <c r="R17" i="10"/>
  <c r="R67" i="10" s="1"/>
  <c r="R69" i="10" s="1"/>
  <c r="R13" i="6"/>
  <c r="Q80" i="6"/>
  <c r="S15" i="4"/>
  <c r="S13" i="10"/>
  <c r="R114" i="3"/>
  <c r="R17" i="4"/>
  <c r="S89" i="3"/>
  <c r="S79" i="3"/>
  <c r="S118" i="3" s="1"/>
  <c r="S69" i="3"/>
  <c r="S113" i="3" s="1"/>
  <c r="T62" i="3"/>
  <c r="T19" i="6" s="1"/>
  <c r="N32" i="7" l="1"/>
  <c r="N34" i="7" s="1"/>
  <c r="R82" i="6"/>
  <c r="R98" i="6" s="1"/>
  <c r="P100" i="6" a="1"/>
  <c r="P100" i="6" s="1"/>
  <c r="S26" i="6"/>
  <c r="S95" i="6" s="1"/>
  <c r="Q81" i="6"/>
  <c r="Q83" i="6"/>
  <c r="Q84" i="6" s="1"/>
  <c r="R78" i="10"/>
  <c r="R36" i="6"/>
  <c r="R94" i="6"/>
  <c r="R73" i="6"/>
  <c r="R76" i="6" s="1"/>
  <c r="R70" i="10"/>
  <c r="P25" i="7" s="1"/>
  <c r="Q55" i="9" s="1" a="1"/>
  <c r="Q55" i="9" s="1"/>
  <c r="Q57" i="9" s="1"/>
  <c r="Q58" i="9" s="1"/>
  <c r="Q59" i="9" s="1"/>
  <c r="T67" i="3"/>
  <c r="S102" i="3"/>
  <c r="S104" i="3"/>
  <c r="S95" i="3"/>
  <c r="S91" i="3"/>
  <c r="O26" i="7" l="1"/>
  <c r="P60" i="9" s="1" a="1"/>
  <c r="P60" i="9" s="1"/>
  <c r="P62" i="9" s="1"/>
  <c r="P63" i="9" s="1"/>
  <c r="P64" i="9" s="1"/>
  <c r="BO42" i="11" a="1"/>
  <c r="BO42" i="11" s="1"/>
  <c r="O27" i="7"/>
  <c r="P65" i="9" s="1" a="1"/>
  <c r="P65" i="9" s="1"/>
  <c r="P67" i="9" s="1"/>
  <c r="P68" i="9" s="1"/>
  <c r="P69" i="9" s="1"/>
  <c r="BP42" i="11" a="1"/>
  <c r="BP42" i="11" s="1"/>
  <c r="Q57" i="5"/>
  <c r="Q23" i="7"/>
  <c r="R45" i="9" s="1" a="1"/>
  <c r="R45" i="9" s="1"/>
  <c r="R47" i="9" s="1"/>
  <c r="R48" i="9" s="1"/>
  <c r="R49" i="9" s="1"/>
  <c r="P58" i="5"/>
  <c r="P59" i="5" s="1"/>
  <c r="P60" i="5" s="1"/>
  <c r="P61" i="5" s="1"/>
  <c r="R37" i="6"/>
  <c r="CC43" i="11" s="1" a="1"/>
  <c r="CC43" i="11" s="1"/>
  <c r="R96" i="6"/>
  <c r="R63" i="6"/>
  <c r="R65" i="6" s="1"/>
  <c r="R66" i="6" s="1"/>
  <c r="R79" i="6"/>
  <c r="Q97" i="6"/>
  <c r="T58" i="3"/>
  <c r="T59" i="3" s="1"/>
  <c r="T10" i="6" s="1"/>
  <c r="T22" i="6"/>
  <c r="Q85" i="6"/>
  <c r="S16" i="4"/>
  <c r="S15" i="10"/>
  <c r="S71" i="10" s="1"/>
  <c r="S73" i="10" s="1"/>
  <c r="S97" i="3"/>
  <c r="S103" i="3"/>
  <c r="S16" i="6" s="1"/>
  <c r="S94" i="3"/>
  <c r="S107" i="3"/>
  <c r="S18" i="4" s="1"/>
  <c r="S93" i="3"/>
  <c r="Q24" i="7" s="1"/>
  <c r="R50" i="9" s="1" a="1"/>
  <c r="R50" i="9" s="1"/>
  <c r="R52" i="9" s="1"/>
  <c r="R53" i="9" s="1"/>
  <c r="R54" i="9" s="1"/>
  <c r="S101" i="3"/>
  <c r="S15" i="6" s="1"/>
  <c r="T68" i="3"/>
  <c r="T25" i="6" s="1"/>
  <c r="BV43" i="11" l="1" a="1"/>
  <c r="BV43" i="11" s="1"/>
  <c r="T24" i="6"/>
  <c r="BK45" i="11" s="1" a="1"/>
  <c r="BK45" i="11" s="1"/>
  <c r="BJ45" i="11" a="1"/>
  <c r="BJ45" i="11" s="1"/>
  <c r="S14" i="6"/>
  <c r="S91" i="6" s="1"/>
  <c r="Q22" i="7"/>
  <c r="R40" i="9" s="1" a="1"/>
  <c r="R40" i="9" s="1"/>
  <c r="R42" i="9" s="1"/>
  <c r="R43" i="9" s="1"/>
  <c r="R44" i="9" s="1"/>
  <c r="Q99" i="6"/>
  <c r="O28" i="7"/>
  <c r="P70" i="9" s="1" a="1"/>
  <c r="P70" i="9" s="1"/>
  <c r="P72" i="9" s="1"/>
  <c r="P73" i="9" s="1"/>
  <c r="P74" i="9" s="1"/>
  <c r="P62" i="5"/>
  <c r="P63" i="5" s="1"/>
  <c r="P64" i="5" s="1"/>
  <c r="P29" i="7"/>
  <c r="Q75" i="9" s="1" a="1"/>
  <c r="Q75" i="9" s="1"/>
  <c r="Q77" i="9" s="1"/>
  <c r="Q78" i="9" s="1"/>
  <c r="Q79" i="9" s="1"/>
  <c r="S82" i="6"/>
  <c r="S17" i="10"/>
  <c r="S67" i="10" s="1"/>
  <c r="S69" i="10" s="1"/>
  <c r="S13" i="6"/>
  <c r="R80" i="6"/>
  <c r="Q88" i="6"/>
  <c r="Q90" i="6"/>
  <c r="Q89" i="6"/>
  <c r="T15" i="4"/>
  <c r="T13" i="10"/>
  <c r="S114" i="3"/>
  <c r="S17" i="4"/>
  <c r="T79" i="3"/>
  <c r="T118" i="3" s="1"/>
  <c r="T89" i="3"/>
  <c r="U62" i="3"/>
  <c r="U19" i="6" s="1"/>
  <c r="T69" i="3"/>
  <c r="T113" i="3" s="1"/>
  <c r="T26" i="6" l="1"/>
  <c r="T95" i="6" s="1"/>
  <c r="O33" i="7"/>
  <c r="G103" i="7" a="1"/>
  <c r="G103" i="7" s="1"/>
  <c r="O32" i="7"/>
  <c r="O34" i="7" s="1"/>
  <c r="S98" i="6"/>
  <c r="Q100" i="6" a="1"/>
  <c r="Q100" i="6" s="1"/>
  <c r="S78" i="10"/>
  <c r="S36" i="6"/>
  <c r="R81" i="6"/>
  <c r="R83" i="6"/>
  <c r="R84" i="6" s="1"/>
  <c r="S94" i="6"/>
  <c r="S73" i="6"/>
  <c r="S76" i="6" s="1"/>
  <c r="S70" i="10"/>
  <c r="Q25" i="7" s="1"/>
  <c r="R55" i="9" s="1" a="1"/>
  <c r="R55" i="9" s="1"/>
  <c r="R57" i="9" s="1"/>
  <c r="R58" i="9" s="1"/>
  <c r="R59" i="9" s="1"/>
  <c r="T102" i="3"/>
  <c r="T104" i="3"/>
  <c r="T91" i="3"/>
  <c r="T95" i="3"/>
  <c r="U67" i="3"/>
  <c r="P27" i="7" l="1"/>
  <c r="Q65" i="9" s="1" a="1"/>
  <c r="Q65" i="9" s="1"/>
  <c r="Q67" i="9" s="1"/>
  <c r="Q68" i="9" s="1"/>
  <c r="Q69" i="9" s="1"/>
  <c r="BP43" i="11" a="1"/>
  <c r="BP43" i="11" s="1"/>
  <c r="P26" i="7"/>
  <c r="Q60" i="9" s="1" a="1"/>
  <c r="Q60" i="9" s="1"/>
  <c r="Q62" i="9" s="1"/>
  <c r="Q63" i="9" s="1"/>
  <c r="Q64" i="9" s="1"/>
  <c r="BO43" i="11" a="1"/>
  <c r="BO43" i="11" s="1"/>
  <c r="R57" i="5"/>
  <c r="R23" i="7"/>
  <c r="S45" i="9" s="1" a="1"/>
  <c r="S45" i="9" s="1"/>
  <c r="S47" i="9" s="1"/>
  <c r="S48" i="9" s="1"/>
  <c r="S49" i="9" s="1"/>
  <c r="Q58" i="5"/>
  <c r="Q59" i="5" s="1"/>
  <c r="Q60" i="5" s="1"/>
  <c r="Q61" i="5" s="1"/>
  <c r="S37" i="6"/>
  <c r="CC44" i="11" s="1" a="1"/>
  <c r="CC44" i="11" s="1"/>
  <c r="S96" i="6"/>
  <c r="S63" i="6"/>
  <c r="S65" i="6" s="1"/>
  <c r="S66" i="6" s="1"/>
  <c r="U58" i="3"/>
  <c r="U59" i="3" s="1"/>
  <c r="U10" i="6" s="1"/>
  <c r="U22" i="6"/>
  <c r="S79" i="6"/>
  <c r="R97" i="6"/>
  <c r="R85" i="6"/>
  <c r="T16" i="4"/>
  <c r="T15" i="10"/>
  <c r="T71" i="10" s="1"/>
  <c r="T73" i="10" s="1"/>
  <c r="U68" i="3"/>
  <c r="U25" i="6" s="1"/>
  <c r="T103" i="3"/>
  <c r="T16" i="6" s="1"/>
  <c r="T101" i="3"/>
  <c r="T15" i="6" s="1"/>
  <c r="T97" i="3"/>
  <c r="T93" i="3"/>
  <c r="R24" i="7" s="1"/>
  <c r="S50" i="9" s="1" a="1"/>
  <c r="S50" i="9" s="1"/>
  <c r="S52" i="9" s="1"/>
  <c r="S53" i="9" s="1"/>
  <c r="S54" i="9" s="1"/>
  <c r="T107" i="3"/>
  <c r="T18" i="4" s="1"/>
  <c r="T94" i="3"/>
  <c r="BV44" i="11" l="1" a="1"/>
  <c r="BV44" i="11" s="1"/>
  <c r="U24" i="6"/>
  <c r="BK46" i="11" s="1" a="1"/>
  <c r="BK46" i="11" s="1"/>
  <c r="BJ46" i="11" a="1"/>
  <c r="BJ46" i="11" s="1"/>
  <c r="R99" i="6"/>
  <c r="P28" i="7"/>
  <c r="Q62" i="5"/>
  <c r="Q63" i="5" s="1"/>
  <c r="Q64" i="5" s="1"/>
  <c r="Q29" i="7"/>
  <c r="R75" i="9" s="1" a="1"/>
  <c r="R75" i="9" s="1"/>
  <c r="R77" i="9" s="1"/>
  <c r="R78" i="9" s="1"/>
  <c r="R79" i="9" s="1"/>
  <c r="T14" i="6"/>
  <c r="T91" i="6" s="1"/>
  <c r="R22" i="7"/>
  <c r="S40" i="9" s="1" a="1"/>
  <c r="S40" i="9" s="1"/>
  <c r="S42" i="9" s="1"/>
  <c r="S43" i="9" s="1"/>
  <c r="S44" i="9" s="1"/>
  <c r="T17" i="10"/>
  <c r="T67" i="10" s="1"/>
  <c r="T69" i="10" s="1"/>
  <c r="T13" i="6"/>
  <c r="S80" i="6"/>
  <c r="R88" i="6"/>
  <c r="R90" i="6"/>
  <c r="R89" i="6"/>
  <c r="U15" i="4"/>
  <c r="U13" i="10"/>
  <c r="T114" i="3"/>
  <c r="T17" i="4"/>
  <c r="U89" i="3"/>
  <c r="U79" i="3"/>
  <c r="U118" i="3" s="1"/>
  <c r="U69" i="3"/>
  <c r="U113" i="3" s="1"/>
  <c r="V62" i="3"/>
  <c r="V19" i="6" s="1"/>
  <c r="U26" i="6" l="1"/>
  <c r="U95" i="6" s="1"/>
  <c r="T82" i="6"/>
  <c r="T98" i="6" s="1"/>
  <c r="P33" i="7"/>
  <c r="Q70" i="9" a="1"/>
  <c r="Q70" i="9" s="1"/>
  <c r="Q72" i="9" s="1"/>
  <c r="Q73" i="9" s="1"/>
  <c r="Q74" i="9" s="1"/>
  <c r="P32" i="7"/>
  <c r="P34" i="7" s="1"/>
  <c r="R100" i="6" a="1"/>
  <c r="R100" i="6" s="1"/>
  <c r="T78" i="10"/>
  <c r="T36" i="6"/>
  <c r="T94" i="6"/>
  <c r="T73" i="6"/>
  <c r="T76" i="6" s="1"/>
  <c r="S81" i="6"/>
  <c r="S83" i="6"/>
  <c r="S84" i="6" s="1"/>
  <c r="T70" i="10"/>
  <c r="R25" i="7" s="1"/>
  <c r="S55" i="9" s="1" a="1"/>
  <c r="S55" i="9" s="1"/>
  <c r="S57" i="9" s="1"/>
  <c r="S58" i="9" s="1"/>
  <c r="S59" i="9" s="1"/>
  <c r="V67" i="3"/>
  <c r="U95" i="3"/>
  <c r="U102" i="3"/>
  <c r="U91" i="3"/>
  <c r="U104" i="3"/>
  <c r="Q26" i="7" l="1"/>
  <c r="R60" i="9" s="1" a="1"/>
  <c r="R60" i="9" s="1"/>
  <c r="R62" i="9" s="1"/>
  <c r="R63" i="9" s="1"/>
  <c r="R64" i="9" s="1"/>
  <c r="BO44" i="11" a="1"/>
  <c r="BO44" i="11" s="1"/>
  <c r="Q27" i="7"/>
  <c r="R65" i="9" s="1" a="1"/>
  <c r="R65" i="9" s="1"/>
  <c r="R67" i="9" s="1"/>
  <c r="R68" i="9" s="1"/>
  <c r="R69" i="9" s="1"/>
  <c r="BP44" i="11" a="1"/>
  <c r="BP44" i="11" s="1"/>
  <c r="S57" i="5"/>
  <c r="S23" i="7"/>
  <c r="T45" i="9" s="1" a="1"/>
  <c r="T45" i="9" s="1"/>
  <c r="T47" i="9" s="1"/>
  <c r="T48" i="9" s="1"/>
  <c r="T49" i="9" s="1"/>
  <c r="R58" i="5"/>
  <c r="R59" i="5" s="1"/>
  <c r="R60" i="5" s="1"/>
  <c r="R61" i="5" s="1"/>
  <c r="T37" i="6"/>
  <c r="CC45" i="11" s="1" a="1"/>
  <c r="CC45" i="11" s="1"/>
  <c r="T79" i="6"/>
  <c r="S97" i="6"/>
  <c r="S85" i="6"/>
  <c r="T96" i="6"/>
  <c r="T63" i="6"/>
  <c r="T65" i="6" s="1"/>
  <c r="T66" i="6" s="1"/>
  <c r="V58" i="3"/>
  <c r="V59" i="3" s="1"/>
  <c r="V10" i="6" s="1"/>
  <c r="V22" i="6"/>
  <c r="U16" i="4"/>
  <c r="U15" i="10"/>
  <c r="U71" i="10" s="1"/>
  <c r="U73" i="10" s="1"/>
  <c r="U93" i="3"/>
  <c r="S24" i="7" s="1"/>
  <c r="T50" i="9" s="1" a="1"/>
  <c r="T50" i="9" s="1"/>
  <c r="T52" i="9" s="1"/>
  <c r="T53" i="9" s="1"/>
  <c r="T54" i="9" s="1"/>
  <c r="U107" i="3"/>
  <c r="U18" i="4" s="1"/>
  <c r="U101" i="3"/>
  <c r="U15" i="6" s="1"/>
  <c r="U103" i="3"/>
  <c r="U16" i="6" s="1"/>
  <c r="U94" i="3"/>
  <c r="S22" i="7" s="1"/>
  <c r="T40" i="9" s="1" a="1"/>
  <c r="T40" i="9" s="1"/>
  <c r="T42" i="9" s="1"/>
  <c r="T43" i="9" s="1"/>
  <c r="T44" i="9" s="1"/>
  <c r="U97" i="3"/>
  <c r="V68" i="3"/>
  <c r="V25" i="6" s="1"/>
  <c r="BV45" i="11" l="1" a="1"/>
  <c r="BV45" i="11" s="1"/>
  <c r="V24" i="6"/>
  <c r="BK47" i="11" s="1" a="1"/>
  <c r="BK47" i="11" s="1"/>
  <c r="BJ47" i="11" a="1"/>
  <c r="BJ47" i="11" s="1"/>
  <c r="S99" i="6"/>
  <c r="Q28" i="7"/>
  <c r="R62" i="5"/>
  <c r="R63" i="5" s="1"/>
  <c r="R64" i="5" s="1"/>
  <c r="R29" i="7"/>
  <c r="S75" i="9" s="1" a="1"/>
  <c r="S75" i="9" s="1"/>
  <c r="S77" i="9" s="1"/>
  <c r="S78" i="9" s="1"/>
  <c r="S79" i="9" s="1"/>
  <c r="U14" i="6"/>
  <c r="U91" i="6" s="1"/>
  <c r="B68" i="5"/>
  <c r="T80" i="6"/>
  <c r="T83" i="6" s="1"/>
  <c r="T84" i="6" s="1"/>
  <c r="S88" i="6"/>
  <c r="S90" i="6"/>
  <c r="S89" i="6"/>
  <c r="U17" i="10"/>
  <c r="U67" i="10" s="1"/>
  <c r="U69" i="10" s="1"/>
  <c r="U13" i="6"/>
  <c r="V15" i="4"/>
  <c r="V13" i="10"/>
  <c r="U114" i="3"/>
  <c r="U17" i="4"/>
  <c r="V89" i="3"/>
  <c r="V79" i="3"/>
  <c r="V118" i="3" s="1"/>
  <c r="W62" i="3"/>
  <c r="W19" i="6" s="1"/>
  <c r="V69" i="3"/>
  <c r="V113" i="3" s="1"/>
  <c r="U82" i="6" l="1"/>
  <c r="U98" i="6" s="1"/>
  <c r="V26" i="6"/>
  <c r="V95" i="6" s="1"/>
  <c r="R26" i="7"/>
  <c r="S60" i="9" s="1" a="1"/>
  <c r="S60" i="9" s="1"/>
  <c r="S62" i="9" s="1"/>
  <c r="S63" i="9" s="1"/>
  <c r="S64" i="9" s="1"/>
  <c r="BO45" i="11" a="1"/>
  <c r="BO45" i="11" s="1"/>
  <c r="T81" i="6"/>
  <c r="Q33" i="7"/>
  <c r="R70" i="9" a="1"/>
  <c r="R70" i="9" s="1"/>
  <c r="R72" i="9" s="1"/>
  <c r="R73" i="9" s="1"/>
  <c r="R74" i="9" s="1"/>
  <c r="Q32" i="7"/>
  <c r="Q34" i="7" s="1"/>
  <c r="B75" i="5"/>
  <c r="B70" i="5"/>
  <c r="B72" i="5" s="1"/>
  <c r="B73" i="5" s="1"/>
  <c r="B74" i="5"/>
  <c r="S100" i="6" a="1"/>
  <c r="S100" i="6" s="1"/>
  <c r="U79" i="6"/>
  <c r="T97" i="6"/>
  <c r="U94" i="6"/>
  <c r="U73" i="6"/>
  <c r="U76" i="6" s="1"/>
  <c r="U78" i="10"/>
  <c r="U36" i="6"/>
  <c r="U70" i="10"/>
  <c r="S25" i="7" s="1"/>
  <c r="T55" i="9" s="1" a="1"/>
  <c r="T55" i="9" s="1"/>
  <c r="T57" i="9" s="1"/>
  <c r="T58" i="9" s="1"/>
  <c r="T59" i="9" s="1"/>
  <c r="W67" i="3"/>
  <c r="V91" i="3"/>
  <c r="V102" i="3"/>
  <c r="V104" i="3"/>
  <c r="V95" i="3"/>
  <c r="R27" i="7" l="1"/>
  <c r="S65" i="9" s="1" a="1"/>
  <c r="S65" i="9" s="1"/>
  <c r="S67" i="9" s="1"/>
  <c r="S68" i="9" s="1"/>
  <c r="S69" i="9" s="1"/>
  <c r="BP45" i="11" a="1"/>
  <c r="BP45" i="11" s="1"/>
  <c r="T85" i="6"/>
  <c r="R28" i="7" s="1"/>
  <c r="R33" i="7" s="1"/>
  <c r="T57" i="5"/>
  <c r="T23" i="7"/>
  <c r="U45" i="9" s="1" a="1"/>
  <c r="U45" i="9" s="1"/>
  <c r="U47" i="9" s="1"/>
  <c r="U48" i="9" s="1"/>
  <c r="U49" i="9" s="1"/>
  <c r="W58" i="3"/>
  <c r="W59" i="3" s="1"/>
  <c r="W10" i="6" s="1"/>
  <c r="W22" i="6"/>
  <c r="S58" i="5"/>
  <c r="S59" i="5" s="1"/>
  <c r="S60" i="5" s="1"/>
  <c r="S61" i="5" s="1"/>
  <c r="U37" i="6"/>
  <c r="CC46" i="11" s="1" a="1"/>
  <c r="CC46" i="11" s="1"/>
  <c r="U96" i="6"/>
  <c r="U63" i="6"/>
  <c r="U65" i="6" s="1"/>
  <c r="U66" i="6" s="1"/>
  <c r="V16" i="4"/>
  <c r="V15" i="10"/>
  <c r="V71" i="10" s="1"/>
  <c r="V73" i="10" s="1"/>
  <c r="V93" i="3"/>
  <c r="T24" i="7" s="1"/>
  <c r="U50" i="9" s="1" a="1"/>
  <c r="U50" i="9" s="1"/>
  <c r="U52" i="9" s="1"/>
  <c r="U53" i="9" s="1"/>
  <c r="U54" i="9" s="1"/>
  <c r="V103" i="3"/>
  <c r="V16" i="6" s="1"/>
  <c r="V94" i="3"/>
  <c r="V97" i="3"/>
  <c r="V107" i="3"/>
  <c r="V18" i="4" s="1"/>
  <c r="V101" i="3"/>
  <c r="V15" i="6" s="1"/>
  <c r="W68" i="3"/>
  <c r="W25" i="6" s="1"/>
  <c r="BV46" i="11" l="1" a="1"/>
  <c r="BV46" i="11" s="1"/>
  <c r="W24" i="6"/>
  <c r="BK48" i="11" s="1" a="1"/>
  <c r="BK48" i="11" s="1"/>
  <c r="BJ48" i="11" a="1"/>
  <c r="BJ48" i="11" s="1"/>
  <c r="T89" i="6"/>
  <c r="T88" i="6"/>
  <c r="S70" i="9" a="1"/>
  <c r="S70" i="9" s="1"/>
  <c r="S72" i="9" s="1"/>
  <c r="S73" i="9" s="1"/>
  <c r="S74" i="9" s="1"/>
  <c r="T90" i="6"/>
  <c r="R32" i="7" s="1"/>
  <c r="R34" i="7" s="1"/>
  <c r="T99" i="6"/>
  <c r="V14" i="6"/>
  <c r="V91" i="6" s="1"/>
  <c r="T22" i="7"/>
  <c r="U40" i="9" s="1" a="1"/>
  <c r="U40" i="9" s="1"/>
  <c r="U42" i="9" s="1"/>
  <c r="U43" i="9" s="1"/>
  <c r="U44" i="9" s="1"/>
  <c r="S62" i="5"/>
  <c r="S63" i="5" s="1"/>
  <c r="S64" i="5" s="1"/>
  <c r="S29" i="7"/>
  <c r="T75" i="9" s="1" a="1"/>
  <c r="T75" i="9" s="1"/>
  <c r="T77" i="9" s="1"/>
  <c r="T78" i="9" s="1"/>
  <c r="T79" i="9" s="1"/>
  <c r="U80" i="6"/>
  <c r="V17" i="10"/>
  <c r="V67" i="10" s="1"/>
  <c r="V69" i="10" s="1"/>
  <c r="V13" i="6"/>
  <c r="W15" i="4"/>
  <c r="W13" i="10"/>
  <c r="V114" i="3"/>
  <c r="V17" i="4"/>
  <c r="W89" i="3"/>
  <c r="W79" i="3"/>
  <c r="W118" i="3" s="1"/>
  <c r="W69" i="3"/>
  <c r="W113" i="3" s="1"/>
  <c r="X62" i="3"/>
  <c r="X19" i="6" s="1"/>
  <c r="V82" i="6" l="1"/>
  <c r="V98" i="6" s="1"/>
  <c r="W26" i="6"/>
  <c r="W95" i="6" s="1"/>
  <c r="T100" i="6" a="1"/>
  <c r="T100" i="6" s="1"/>
  <c r="V78" i="10"/>
  <c r="V36" i="6"/>
  <c r="V94" i="6"/>
  <c r="V73" i="6"/>
  <c r="V76" i="6" s="1"/>
  <c r="U81" i="6"/>
  <c r="U83" i="6"/>
  <c r="U84" i="6" s="1"/>
  <c r="V70" i="10"/>
  <c r="T25" i="7" s="1"/>
  <c r="U55" i="9" s="1" a="1"/>
  <c r="U55" i="9" s="1"/>
  <c r="U57" i="9" s="1"/>
  <c r="U58" i="9" s="1"/>
  <c r="U59" i="9" s="1"/>
  <c r="X67" i="3"/>
  <c r="W91" i="3"/>
  <c r="W95" i="3"/>
  <c r="W104" i="3"/>
  <c r="W102" i="3"/>
  <c r="S26" i="7" l="1"/>
  <c r="T60" i="9" s="1" a="1"/>
  <c r="T60" i="9" s="1"/>
  <c r="T62" i="9" s="1"/>
  <c r="T63" i="9" s="1"/>
  <c r="T64" i="9" s="1"/>
  <c r="BO46" i="11" a="1"/>
  <c r="BO46" i="11" s="1"/>
  <c r="S27" i="7"/>
  <c r="T65" i="9" s="1" a="1"/>
  <c r="T65" i="9" s="1"/>
  <c r="T67" i="9" s="1"/>
  <c r="T68" i="9" s="1"/>
  <c r="T69" i="9" s="1"/>
  <c r="BP46" i="11" a="1"/>
  <c r="BP46" i="11" s="1"/>
  <c r="U57" i="5"/>
  <c r="U23" i="7"/>
  <c r="V45" i="9" s="1" a="1"/>
  <c r="V45" i="9" s="1"/>
  <c r="V47" i="9" s="1"/>
  <c r="V48" i="9" s="1"/>
  <c r="V49" i="9" s="1"/>
  <c r="U85" i="6"/>
  <c r="T58" i="5"/>
  <c r="T59" i="5" s="1"/>
  <c r="T60" i="5" s="1"/>
  <c r="T61" i="5" s="1"/>
  <c r="V37" i="6"/>
  <c r="CC47" i="11" s="1" a="1"/>
  <c r="CC47" i="11" s="1"/>
  <c r="V79" i="6"/>
  <c r="U97" i="6"/>
  <c r="V96" i="6"/>
  <c r="V63" i="6"/>
  <c r="V65" i="6" s="1"/>
  <c r="V66" i="6" s="1"/>
  <c r="X58" i="3"/>
  <c r="X59" i="3" s="1"/>
  <c r="X10" i="6" s="1"/>
  <c r="X22" i="6"/>
  <c r="W16" i="4"/>
  <c r="W15" i="10"/>
  <c r="W71" i="10" s="1"/>
  <c r="W73" i="10" s="1"/>
  <c r="W107" i="3"/>
  <c r="W18" i="4" s="1"/>
  <c r="W94" i="3"/>
  <c r="W103" i="3"/>
  <c r="W16" i="6" s="1"/>
  <c r="W93" i="3"/>
  <c r="U24" i="7" s="1"/>
  <c r="V50" i="9" s="1" a="1"/>
  <c r="V50" i="9" s="1"/>
  <c r="V52" i="9" s="1"/>
  <c r="V53" i="9" s="1"/>
  <c r="V54" i="9" s="1"/>
  <c r="W101" i="3"/>
  <c r="W15" i="6" s="1"/>
  <c r="W97" i="3"/>
  <c r="X68" i="3"/>
  <c r="X25" i="6" s="1"/>
  <c r="BV47" i="11" l="1" a="1"/>
  <c r="BV47" i="11" s="1"/>
  <c r="X24" i="6"/>
  <c r="BK49" i="11" s="1" a="1"/>
  <c r="BK49" i="11" s="1"/>
  <c r="BJ49" i="11" a="1"/>
  <c r="BJ49" i="11" s="1"/>
  <c r="W14" i="6"/>
  <c r="U22" i="7"/>
  <c r="V40" i="9" s="1" a="1"/>
  <c r="V40" i="9" s="1"/>
  <c r="V42" i="9" s="1"/>
  <c r="V43" i="9" s="1"/>
  <c r="V44" i="9" s="1"/>
  <c r="T62" i="5"/>
  <c r="T63" i="5" s="1"/>
  <c r="T64" i="5" s="1"/>
  <c r="T29" i="7"/>
  <c r="U75" i="9" s="1" a="1"/>
  <c r="U75" i="9" s="1"/>
  <c r="U77" i="9" s="1"/>
  <c r="U78" i="9" s="1"/>
  <c r="U79" i="9" s="1"/>
  <c r="U99" i="6"/>
  <c r="S28" i="7"/>
  <c r="V80" i="6"/>
  <c r="V81" i="6" s="1"/>
  <c r="W17" i="10"/>
  <c r="W67" i="10" s="1"/>
  <c r="W69" i="10" s="1"/>
  <c r="W13" i="6"/>
  <c r="U90" i="6"/>
  <c r="S32" i="7" s="1"/>
  <c r="S34" i="7" s="1"/>
  <c r="U88" i="6"/>
  <c r="U89" i="6"/>
  <c r="W91" i="6"/>
  <c r="W82" i="6"/>
  <c r="X15" i="4"/>
  <c r="X13" i="10"/>
  <c r="W114" i="3"/>
  <c r="W17" i="4"/>
  <c r="X89" i="3"/>
  <c r="X79" i="3"/>
  <c r="X118" i="3" s="1"/>
  <c r="Y62" i="3"/>
  <c r="Y19" i="6" s="1"/>
  <c r="X69" i="3"/>
  <c r="X113" i="3" s="1"/>
  <c r="X26" i="6" l="1"/>
  <c r="X95" i="6" s="1"/>
  <c r="W98" i="6"/>
  <c r="T27" i="7"/>
  <c r="U65" i="9" s="1" a="1"/>
  <c r="U65" i="9" s="1"/>
  <c r="U67" i="9" s="1"/>
  <c r="U68" i="9" s="1"/>
  <c r="U69" i="9" s="1"/>
  <c r="BP47" i="11" a="1"/>
  <c r="BP47" i="11" s="1"/>
  <c r="S33" i="7"/>
  <c r="T70" i="9" a="1"/>
  <c r="T70" i="9" s="1"/>
  <c r="T72" i="9" s="1"/>
  <c r="T73" i="9" s="1"/>
  <c r="T74" i="9" s="1"/>
  <c r="V83" i="6"/>
  <c r="V84" i="6" s="1"/>
  <c r="BO47" i="11" s="1" a="1"/>
  <c r="BO47" i="11" s="1"/>
  <c r="U100" i="6" a="1"/>
  <c r="U100" i="6" s="1"/>
  <c r="W78" i="10"/>
  <c r="W36" i="6"/>
  <c r="W94" i="6"/>
  <c r="W73" i="6"/>
  <c r="W76" i="6" s="1"/>
  <c r="W70" i="10"/>
  <c r="U25" i="7" s="1"/>
  <c r="V55" i="9" s="1" a="1"/>
  <c r="V55" i="9" s="1"/>
  <c r="V57" i="9" s="1"/>
  <c r="V58" i="9" s="1"/>
  <c r="V59" i="9" s="1"/>
  <c r="Y67" i="3"/>
  <c r="X95" i="3"/>
  <c r="X102" i="3"/>
  <c r="X91" i="3"/>
  <c r="X104" i="3"/>
  <c r="V57" i="5" l="1"/>
  <c r="V23" i="7"/>
  <c r="W45" i="9" s="1" a="1"/>
  <c r="W45" i="9" s="1"/>
  <c r="W47" i="9" s="1"/>
  <c r="W48" i="9" s="1"/>
  <c r="W49" i="9" s="1"/>
  <c r="W79" i="6"/>
  <c r="T26" i="7"/>
  <c r="U60" i="9" s="1" a="1"/>
  <c r="U60" i="9" s="1"/>
  <c r="U62" i="9" s="1"/>
  <c r="U63" i="9" s="1"/>
  <c r="U64" i="9" s="1"/>
  <c r="V85" i="6"/>
  <c r="V89" i="6" s="1"/>
  <c r="V97" i="6"/>
  <c r="Y58" i="3"/>
  <c r="Y59" i="3" s="1"/>
  <c r="Y10" i="6" s="1"/>
  <c r="Y22" i="6"/>
  <c r="U58" i="5"/>
  <c r="U59" i="5" s="1"/>
  <c r="U60" i="5" s="1"/>
  <c r="U61" i="5" s="1"/>
  <c r="W37" i="6"/>
  <c r="CC48" i="11" s="1" a="1"/>
  <c r="CC48" i="11" s="1"/>
  <c r="W96" i="6"/>
  <c r="W63" i="6"/>
  <c r="W65" i="6" s="1"/>
  <c r="W66" i="6" s="1"/>
  <c r="X16" i="4"/>
  <c r="X15" i="10"/>
  <c r="X71" i="10" s="1"/>
  <c r="X73" i="10" s="1"/>
  <c r="X103" i="3"/>
  <c r="X16" i="6" s="1"/>
  <c r="X94" i="3"/>
  <c r="X93" i="3"/>
  <c r="V24" i="7" s="1"/>
  <c r="W50" i="9" s="1" a="1"/>
  <c r="W50" i="9" s="1"/>
  <c r="W52" i="9" s="1"/>
  <c r="W53" i="9" s="1"/>
  <c r="W54" i="9" s="1"/>
  <c r="X101" i="3"/>
  <c r="X15" i="6" s="1"/>
  <c r="X97" i="3"/>
  <c r="X107" i="3"/>
  <c r="X18" i="4" s="1"/>
  <c r="Y68" i="3"/>
  <c r="Y25" i="6" s="1"/>
  <c r="BV48" i="11" l="1" a="1"/>
  <c r="BV48" i="11" s="1"/>
  <c r="Y24" i="6"/>
  <c r="BK50" i="11" s="1" a="1"/>
  <c r="BK50" i="11" s="1"/>
  <c r="BJ50" i="11" a="1"/>
  <c r="BJ50" i="11" s="1"/>
  <c r="V90" i="6"/>
  <c r="T32" i="7" s="1"/>
  <c r="T34" i="7" s="1"/>
  <c r="T28" i="7"/>
  <c r="X14" i="6"/>
  <c r="X82" i="6" s="1"/>
  <c r="V22" i="7"/>
  <c r="W40" i="9" s="1" a="1"/>
  <c r="W40" i="9" s="1"/>
  <c r="W42" i="9" s="1"/>
  <c r="W43" i="9" s="1"/>
  <c r="W44" i="9" s="1"/>
  <c r="U62" i="5"/>
  <c r="U63" i="5" s="1"/>
  <c r="U64" i="5" s="1"/>
  <c r="U29" i="7"/>
  <c r="V75" i="9" s="1" a="1"/>
  <c r="V75" i="9" s="1"/>
  <c r="V77" i="9" s="1"/>
  <c r="V78" i="9" s="1"/>
  <c r="V79" i="9" s="1"/>
  <c r="V99" i="6"/>
  <c r="V88" i="6"/>
  <c r="X17" i="10"/>
  <c r="X67" i="10" s="1"/>
  <c r="X69" i="10" s="1"/>
  <c r="X13" i="6"/>
  <c r="W80" i="6"/>
  <c r="Y15" i="4"/>
  <c r="Y13" i="10"/>
  <c r="X114" i="3"/>
  <c r="X17" i="4"/>
  <c r="Y79" i="3"/>
  <c r="Y118" i="3" s="1"/>
  <c r="Y89" i="3"/>
  <c r="Z62" i="3"/>
  <c r="Z19" i="6" s="1"/>
  <c r="Y69" i="3"/>
  <c r="Y113" i="3" s="1"/>
  <c r="X91" i="6" l="1"/>
  <c r="X98" i="6" s="1"/>
  <c r="Y26" i="6"/>
  <c r="Y95" i="6" s="1"/>
  <c r="T33" i="7"/>
  <c r="U70" i="9" a="1"/>
  <c r="U70" i="9" s="1"/>
  <c r="U72" i="9" s="1"/>
  <c r="U73" i="9" s="1"/>
  <c r="U74" i="9" s="1"/>
  <c r="V100" i="6" a="1"/>
  <c r="V100" i="6" s="1"/>
  <c r="X78" i="10"/>
  <c r="X36" i="6"/>
  <c r="X94" i="6"/>
  <c r="X73" i="6"/>
  <c r="X76" i="6" s="1"/>
  <c r="W81" i="6"/>
  <c r="W83" i="6"/>
  <c r="W84" i="6" s="1"/>
  <c r="X70" i="10"/>
  <c r="V25" i="7" s="1"/>
  <c r="W55" i="9" s="1" a="1"/>
  <c r="W55" i="9" s="1"/>
  <c r="W57" i="9" s="1"/>
  <c r="W58" i="9" s="1"/>
  <c r="W59" i="9" s="1"/>
  <c r="Z67" i="3"/>
  <c r="Y102" i="3"/>
  <c r="Y95" i="3"/>
  <c r="Y91" i="3"/>
  <c r="Y104" i="3"/>
  <c r="U27" i="7" l="1"/>
  <c r="V65" i="9" s="1" a="1"/>
  <c r="V65" i="9" s="1"/>
  <c r="V67" i="9" s="1"/>
  <c r="V68" i="9" s="1"/>
  <c r="V69" i="9" s="1"/>
  <c r="BP48" i="11" a="1"/>
  <c r="BP48" i="11" s="1"/>
  <c r="U26" i="7"/>
  <c r="V60" i="9" s="1" a="1"/>
  <c r="V60" i="9" s="1"/>
  <c r="V62" i="9" s="1"/>
  <c r="V63" i="9" s="1"/>
  <c r="V64" i="9" s="1"/>
  <c r="BO48" i="11" a="1"/>
  <c r="BO48" i="11" s="1"/>
  <c r="W57" i="5"/>
  <c r="W23" i="7"/>
  <c r="X45" i="9" s="1" a="1"/>
  <c r="X45" i="9" s="1"/>
  <c r="X47" i="9" s="1"/>
  <c r="X48" i="9" s="1"/>
  <c r="X49" i="9" s="1"/>
  <c r="V58" i="5"/>
  <c r="V59" i="5" s="1"/>
  <c r="V60" i="5" s="1"/>
  <c r="V61" i="5" s="1"/>
  <c r="X37" i="6"/>
  <c r="CC49" i="11" s="1" a="1"/>
  <c r="CC49" i="11" s="1"/>
  <c r="W97" i="6"/>
  <c r="X79" i="6"/>
  <c r="W85" i="6"/>
  <c r="X96" i="6"/>
  <c r="X63" i="6"/>
  <c r="X65" i="6" s="1"/>
  <c r="X66" i="6" s="1"/>
  <c r="Z58" i="3"/>
  <c r="Z59" i="3" s="1"/>
  <c r="Z10" i="6" s="1"/>
  <c r="Z22" i="6"/>
  <c r="Y16" i="4"/>
  <c r="Y15" i="10"/>
  <c r="Y71" i="10" s="1"/>
  <c r="Y73" i="10" s="1"/>
  <c r="Y94" i="3"/>
  <c r="Y101" i="3"/>
  <c r="Y15" i="6" s="1"/>
  <c r="Y97" i="3"/>
  <c r="Y103" i="3"/>
  <c r="Y16" i="6" s="1"/>
  <c r="Y93" i="3"/>
  <c r="W24" i="7" s="1"/>
  <c r="X50" i="9" s="1" a="1"/>
  <c r="X50" i="9" s="1"/>
  <c r="X52" i="9" s="1"/>
  <c r="X53" i="9" s="1"/>
  <c r="X54" i="9" s="1"/>
  <c r="Y107" i="3"/>
  <c r="Y18" i="4" s="1"/>
  <c r="Z68" i="3"/>
  <c r="Z25" i="6" s="1"/>
  <c r="BV49" i="11" l="1" a="1"/>
  <c r="BV49" i="11" s="1"/>
  <c r="Z24" i="6"/>
  <c r="BK51" i="11" s="1" a="1"/>
  <c r="BK51" i="11" s="1"/>
  <c r="BJ51" i="11" a="1"/>
  <c r="BJ51" i="11" s="1"/>
  <c r="W99" i="6"/>
  <c r="U28" i="7"/>
  <c r="Y14" i="6"/>
  <c r="W22" i="7"/>
  <c r="X40" i="9" s="1" a="1"/>
  <c r="X40" i="9" s="1"/>
  <c r="X42" i="9" s="1"/>
  <c r="X43" i="9" s="1"/>
  <c r="X44" i="9" s="1"/>
  <c r="V62" i="5"/>
  <c r="V63" i="5" s="1"/>
  <c r="V64" i="5" s="1"/>
  <c r="V29" i="7"/>
  <c r="W75" i="9" s="1" a="1"/>
  <c r="W75" i="9" s="1"/>
  <c r="W77" i="9" s="1"/>
  <c r="W78" i="9" s="1"/>
  <c r="W79" i="9" s="1"/>
  <c r="X80" i="6"/>
  <c r="X83" i="6" s="1"/>
  <c r="X84" i="6" s="1"/>
  <c r="W88" i="6"/>
  <c r="W90" i="6"/>
  <c r="U32" i="7" s="1"/>
  <c r="W89" i="6"/>
  <c r="Y17" i="10"/>
  <c r="Y67" i="10" s="1"/>
  <c r="Y69" i="10" s="1"/>
  <c r="Y13" i="6"/>
  <c r="Y91" i="6"/>
  <c r="Y82" i="6"/>
  <c r="Z15" i="4"/>
  <c r="Z13" i="10"/>
  <c r="Y114" i="3"/>
  <c r="Y17" i="4"/>
  <c r="AA62" i="3"/>
  <c r="AA19" i="6" s="1"/>
  <c r="Z69" i="3"/>
  <c r="Z113" i="3" s="1"/>
  <c r="Z89" i="3"/>
  <c r="Z79" i="3"/>
  <c r="Z118" i="3" s="1"/>
  <c r="Y98" i="6" l="1"/>
  <c r="Z26" i="6"/>
  <c r="Z95" i="6" s="1"/>
  <c r="V26" i="7"/>
  <c r="W60" i="9" s="1" a="1"/>
  <c r="W60" i="9" s="1"/>
  <c r="W62" i="9" s="1"/>
  <c r="W63" i="9" s="1"/>
  <c r="W64" i="9" s="1"/>
  <c r="BO49" i="11" a="1"/>
  <c r="BO49" i="11" s="1"/>
  <c r="U33" i="7"/>
  <c r="V70" i="9" a="1"/>
  <c r="V70" i="9" s="1"/>
  <c r="V72" i="9" s="1"/>
  <c r="V73" i="9" s="1"/>
  <c r="V74" i="9" s="1"/>
  <c r="U34" i="7"/>
  <c r="G106" i="7"/>
  <c r="X81" i="6"/>
  <c r="BP49" i="11" s="1" a="1"/>
  <c r="BP49" i="11" s="1"/>
  <c r="W100" i="6" a="1"/>
  <c r="W100" i="6" s="1"/>
  <c r="Y78" i="10"/>
  <c r="Y36" i="6"/>
  <c r="X97" i="6"/>
  <c r="Y79" i="6"/>
  <c r="Y94" i="6"/>
  <c r="Y73" i="6"/>
  <c r="Y76" i="6" s="1"/>
  <c r="Y70" i="10"/>
  <c r="W25" i="7" s="1"/>
  <c r="X55" i="9" s="1" a="1"/>
  <c r="X55" i="9" s="1"/>
  <c r="X57" i="9" s="1"/>
  <c r="X58" i="9" s="1"/>
  <c r="X59" i="9" s="1"/>
  <c r="Z102" i="3"/>
  <c r="Z91" i="3"/>
  <c r="Z95" i="3"/>
  <c r="Z104" i="3"/>
  <c r="AA67" i="3"/>
  <c r="X57" i="5" l="1"/>
  <c r="X23" i="7"/>
  <c r="Y45" i="9" s="1" a="1"/>
  <c r="Y45" i="9" s="1"/>
  <c r="Y47" i="9" s="1"/>
  <c r="Y48" i="9" s="1"/>
  <c r="Y49" i="9" s="1"/>
  <c r="X85" i="6"/>
  <c r="V28" i="7" s="1"/>
  <c r="V27" i="7"/>
  <c r="W65" i="9" s="1" a="1"/>
  <c r="W65" i="9" s="1"/>
  <c r="W67" i="9" s="1"/>
  <c r="W68" i="9" s="1"/>
  <c r="W69" i="9" s="1"/>
  <c r="AA58" i="3"/>
  <c r="AA59" i="3" s="1"/>
  <c r="AA10" i="6" s="1"/>
  <c r="AA22" i="6"/>
  <c r="Y96" i="6"/>
  <c r="Y63" i="6"/>
  <c r="Y65" i="6" s="1"/>
  <c r="Y66" i="6" s="1"/>
  <c r="W58" i="5"/>
  <c r="W59" i="5" s="1"/>
  <c r="W60" i="5" s="1"/>
  <c r="W61" i="5" s="1"/>
  <c r="Y37" i="6"/>
  <c r="CC50" i="11" s="1" a="1"/>
  <c r="CC50" i="11" s="1"/>
  <c r="Z16" i="4"/>
  <c r="Z15" i="10"/>
  <c r="Z71" i="10" s="1"/>
  <c r="Z73" i="10" s="1"/>
  <c r="AA68" i="3"/>
  <c r="Z94" i="3"/>
  <c r="Z103" i="3"/>
  <c r="Z16" i="6" s="1"/>
  <c r="Z97" i="3"/>
  <c r="Z93" i="3"/>
  <c r="X24" i="7" s="1"/>
  <c r="Y50" i="9" s="1" a="1"/>
  <c r="Y50" i="9" s="1"/>
  <c r="Y52" i="9" s="1"/>
  <c r="Y53" i="9" s="1"/>
  <c r="Y54" i="9" s="1"/>
  <c r="Z107" i="3"/>
  <c r="Z18" i="4" s="1"/>
  <c r="Z101" i="3"/>
  <c r="Z15" i="6" s="1"/>
  <c r="BV50" i="11" l="1" a="1"/>
  <c r="BV50" i="11" s="1"/>
  <c r="X88" i="6"/>
  <c r="AA24" i="6"/>
  <c r="BK52" i="11" s="1" a="1"/>
  <c r="BK52" i="11" s="1"/>
  <c r="BJ52" i="11" a="1"/>
  <c r="BJ52" i="11" s="1"/>
  <c r="X99" i="6"/>
  <c r="X89" i="6"/>
  <c r="X90" i="6"/>
  <c r="V32" i="7" s="1"/>
  <c r="V34" i="7" s="1"/>
  <c r="V33" i="7"/>
  <c r="W70" i="9" a="1"/>
  <c r="W70" i="9" s="1"/>
  <c r="W72" i="9" s="1"/>
  <c r="W73" i="9" s="1"/>
  <c r="W74" i="9" s="1"/>
  <c r="W62" i="5"/>
  <c r="W63" i="5" s="1"/>
  <c r="W64" i="5" s="1"/>
  <c r="W29" i="7"/>
  <c r="X75" i="9" s="1" a="1"/>
  <c r="X75" i="9" s="1"/>
  <c r="X77" i="9" s="1"/>
  <c r="X78" i="9" s="1"/>
  <c r="X79" i="9" s="1"/>
  <c r="Z14" i="6"/>
  <c r="Z91" i="6" s="1"/>
  <c r="X22" i="7"/>
  <c r="Y40" i="9" s="1" a="1"/>
  <c r="Y40" i="9" s="1"/>
  <c r="Y42" i="9" s="1"/>
  <c r="Y43" i="9" s="1"/>
  <c r="Y44" i="9" s="1"/>
  <c r="AA79" i="3"/>
  <c r="AA118" i="3" s="1"/>
  <c r="Y80" i="6"/>
  <c r="Y81" i="6" s="1"/>
  <c r="AA89" i="3"/>
  <c r="AA91" i="3" s="1"/>
  <c r="L7" i="11" s="1"/>
  <c r="AA13" i="10"/>
  <c r="AA15" i="4"/>
  <c r="Z82" i="6"/>
  <c r="AA69" i="3"/>
  <c r="AA113" i="3" s="1"/>
  <c r="AA25" i="6"/>
  <c r="Z17" i="10"/>
  <c r="Z67" i="10" s="1"/>
  <c r="Z69" i="10" s="1"/>
  <c r="Z13" i="6"/>
  <c r="Z114" i="3"/>
  <c r="Z17" i="4"/>
  <c r="AA26" i="6" l="1"/>
  <c r="AA95" i="6" s="1"/>
  <c r="AA102" i="3"/>
  <c r="Z98" i="6"/>
  <c r="W27" i="7"/>
  <c r="X65" i="9" s="1" a="1"/>
  <c r="X65" i="9" s="1"/>
  <c r="X67" i="9" s="1"/>
  <c r="X68" i="9" s="1"/>
  <c r="X69" i="9" s="1"/>
  <c r="BP50" i="11" a="1"/>
  <c r="BP50" i="11" s="1"/>
  <c r="X100" i="6" a="1"/>
  <c r="X100" i="6" s="1"/>
  <c r="Y57" i="5"/>
  <c r="Y23" i="7"/>
  <c r="Z45" i="9" s="1" a="1"/>
  <c r="Z45" i="9" s="1"/>
  <c r="Z47" i="9" s="1"/>
  <c r="Z48" i="9" s="1"/>
  <c r="Z49" i="9" s="1"/>
  <c r="AA104" i="3"/>
  <c r="AA95" i="3"/>
  <c r="Y83" i="6"/>
  <c r="Y84" i="6" s="1"/>
  <c r="BO50" i="11" s="1" a="1"/>
  <c r="BO50" i="11" s="1"/>
  <c r="Z94" i="6"/>
  <c r="Z73" i="6"/>
  <c r="Z76" i="6" s="1"/>
  <c r="Z78" i="10"/>
  <c r="Z36" i="6"/>
  <c r="AA16" i="4"/>
  <c r="AA15" i="10"/>
  <c r="AA71" i="10" s="1"/>
  <c r="AA73" i="10" s="1"/>
  <c r="Z70" i="10"/>
  <c r="X25" i="7" s="1"/>
  <c r="Y55" i="9" s="1" a="1"/>
  <c r="Y55" i="9" s="1"/>
  <c r="Y57" i="9" s="1"/>
  <c r="Y58" i="9" s="1"/>
  <c r="Y59" i="9" s="1"/>
  <c r="AA107" i="3"/>
  <c r="AA18" i="4" s="1"/>
  <c r="AA101" i="3"/>
  <c r="AA15" i="6" s="1"/>
  <c r="AA103" i="3"/>
  <c r="AA16" i="6" s="1"/>
  <c r="AA94" i="3"/>
  <c r="A7" i="11" s="1"/>
  <c r="AA97" i="3"/>
  <c r="H7" i="11" s="1"/>
  <c r="AA93" i="3"/>
  <c r="Y24" i="7" s="1"/>
  <c r="Z50" i="9" s="1" a="1"/>
  <c r="Z50" i="9" s="1"/>
  <c r="Z52" i="9" s="1"/>
  <c r="Z53" i="9" s="1"/>
  <c r="Z54" i="9" s="1"/>
  <c r="Y22" i="7" l="1"/>
  <c r="Y97" i="6"/>
  <c r="W26" i="7"/>
  <c r="X60" i="9" s="1" a="1"/>
  <c r="X60" i="9" s="1"/>
  <c r="X62" i="9" s="1"/>
  <c r="X63" i="9" s="1"/>
  <c r="X64" i="9" s="1"/>
  <c r="Z79" i="6"/>
  <c r="Y85" i="6"/>
  <c r="AA14" i="6"/>
  <c r="AA91" i="6" s="1"/>
  <c r="G17" i="7" s="1"/>
  <c r="G11" i="7"/>
  <c r="Y89" i="6"/>
  <c r="Z96" i="6"/>
  <c r="Z63" i="6"/>
  <c r="Z65" i="6" s="1"/>
  <c r="Z66" i="6" s="1"/>
  <c r="X58" i="5"/>
  <c r="X59" i="5" s="1"/>
  <c r="X60" i="5" s="1"/>
  <c r="X61" i="5" s="1"/>
  <c r="Z37" i="6"/>
  <c r="CC51" i="11" s="1" a="1"/>
  <c r="CC51" i="11" s="1"/>
  <c r="AA17" i="10"/>
  <c r="AA67" i="10" s="1"/>
  <c r="AA69" i="10" s="1"/>
  <c r="AA13" i="6"/>
  <c r="AA114" i="3"/>
  <c r="AA17" i="4"/>
  <c r="BV51" i="11" l="1" a="1"/>
  <c r="BV51" i="11" s="1"/>
  <c r="F76" i="7" a="1"/>
  <c r="F76" i="7" s="1"/>
  <c r="Z40" i="9" a="1"/>
  <c r="Z40" i="9" s="1"/>
  <c r="Z42" i="9" s="1"/>
  <c r="Z43" i="9" s="1"/>
  <c r="Z44" i="9" s="1"/>
  <c r="Y90" i="6"/>
  <c r="W32" i="7" s="1"/>
  <c r="W34" i="7" s="1"/>
  <c r="W28" i="7"/>
  <c r="X62" i="5"/>
  <c r="X63" i="5" s="1"/>
  <c r="X64" i="5" s="1"/>
  <c r="X29" i="7"/>
  <c r="Y75" i="9" s="1" a="1"/>
  <c r="Y75" i="9" s="1"/>
  <c r="Y77" i="9" s="1"/>
  <c r="Y78" i="9" s="1"/>
  <c r="Y79" i="9" s="1"/>
  <c r="Y99" i="6"/>
  <c r="Y88" i="6"/>
  <c r="AA82" i="6"/>
  <c r="AA98" i="6" s="1"/>
  <c r="AA94" i="6"/>
  <c r="AA73" i="6"/>
  <c r="AA76" i="6" s="1"/>
  <c r="Z80" i="6"/>
  <c r="AA78" i="10"/>
  <c r="AA36" i="6"/>
  <c r="AA70" i="10"/>
  <c r="W33" i="7" l="1"/>
  <c r="X70" i="9" a="1"/>
  <c r="X70" i="9" s="1"/>
  <c r="X72" i="9" s="1"/>
  <c r="X73" i="9" s="1"/>
  <c r="X74" i="9" s="1"/>
  <c r="Y100" i="6" a="1"/>
  <c r="Y100" i="6" s="1"/>
  <c r="AA37" i="6"/>
  <c r="CC52" i="11" s="1" a="1"/>
  <c r="CC52" i="11" s="1"/>
  <c r="Y25" i="7"/>
  <c r="Z55" i="9" s="1" a="1"/>
  <c r="Z55" i="9" s="1"/>
  <c r="Z57" i="9" s="1"/>
  <c r="Z58" i="9" s="1"/>
  <c r="Z59" i="9" s="1"/>
  <c r="AA96" i="6"/>
  <c r="AA63" i="6"/>
  <c r="AA65" i="6" s="1"/>
  <c r="AA66" i="6" s="1"/>
  <c r="Z81" i="6"/>
  <c r="Z83" i="6"/>
  <c r="Z84" i="6" s="1"/>
  <c r="AA77" i="10"/>
  <c r="Y58" i="5"/>
  <c r="Y59" i="5" s="1"/>
  <c r="Y60" i="5" s="1"/>
  <c r="Y61" i="5" s="1"/>
  <c r="D21" i="4" s="1" a="1"/>
  <c r="D21" i="4" s="1"/>
  <c r="X27" i="7" l="1"/>
  <c r="Y65" i="9" s="1" a="1"/>
  <c r="Y65" i="9" s="1"/>
  <c r="Y67" i="9" s="1"/>
  <c r="Y68" i="9" s="1"/>
  <c r="Y69" i="9" s="1"/>
  <c r="BP51" i="11" a="1"/>
  <c r="BP51" i="11" s="1"/>
  <c r="H17" i="11"/>
  <c r="BV52" i="11" a="1"/>
  <c r="BV52" i="11" s="1"/>
  <c r="X26" i="7"/>
  <c r="Y60" i="9" s="1" a="1"/>
  <c r="Y60" i="9" s="1"/>
  <c r="Y62" i="9" s="1"/>
  <c r="Y63" i="9" s="1"/>
  <c r="Y64" i="9" s="1"/>
  <c r="BO51" i="11" a="1"/>
  <c r="BO51" i="11" s="1"/>
  <c r="G14" i="7"/>
  <c r="A17" i="11"/>
  <c r="G15" i="7"/>
  <c r="Y29" i="7"/>
  <c r="AA80" i="6"/>
  <c r="AA83" i="6" s="1"/>
  <c r="AA79" i="6"/>
  <c r="Z97" i="6"/>
  <c r="Z85" i="6"/>
  <c r="X28" i="7" s="1"/>
  <c r="Y62" i="5"/>
  <c r="B85" i="5" a="1"/>
  <c r="B85" i="5" s="1"/>
  <c r="AA81" i="6" l="1"/>
  <c r="X33" i="7"/>
  <c r="Y70" i="9" a="1"/>
  <c r="Y70" i="9" s="1"/>
  <c r="Y72" i="9" s="1"/>
  <c r="Y73" i="9" s="1"/>
  <c r="Y74" i="9" s="1"/>
  <c r="F75" i="7" a="1"/>
  <c r="F75" i="7" s="1"/>
  <c r="Z75" i="9" a="1"/>
  <c r="Z75" i="9" s="1"/>
  <c r="Z77" i="9" s="1"/>
  <c r="Z78" i="9" s="1"/>
  <c r="Z79" i="9" s="1"/>
  <c r="Z88" i="6"/>
  <c r="Z90" i="6"/>
  <c r="X32" i="7" s="1"/>
  <c r="X34" i="7" s="1"/>
  <c r="Z89" i="6"/>
  <c r="Z99" i="6"/>
  <c r="AA84" i="6"/>
  <c r="BO52" i="11" s="1" a="1"/>
  <c r="BO52" i="11" s="1"/>
  <c r="B83" i="5"/>
  <c r="Y63" i="5"/>
  <c r="Y64" i="5" s="1"/>
  <c r="Y27" i="7" l="1"/>
  <c r="Z65" i="9" s="1" a="1"/>
  <c r="Z65" i="9" s="1"/>
  <c r="Z67" i="9" s="1"/>
  <c r="Z68" i="9" s="1"/>
  <c r="Z69" i="9" s="1"/>
  <c r="BP52" i="11" a="1"/>
  <c r="BP52" i="11" s="1"/>
  <c r="O7" i="11"/>
  <c r="Y26" i="7"/>
  <c r="Z60" i="9" s="1" a="1"/>
  <c r="Z60" i="9" s="1"/>
  <c r="Z62" i="9" s="1"/>
  <c r="Z63" i="9" s="1"/>
  <c r="Z64" i="9" s="1"/>
  <c r="V7" i="11"/>
  <c r="AA97" i="6"/>
  <c r="G12" i="7"/>
  <c r="AA85" i="6"/>
  <c r="AA89" i="6" s="1"/>
  <c r="Z100" i="6" a="1"/>
  <c r="Z100" i="6" s="1"/>
  <c r="Y28" i="7" l="1"/>
  <c r="Z70" i="9" s="1" a="1"/>
  <c r="Z70" i="9" s="1"/>
  <c r="Z72" i="9" s="1"/>
  <c r="Z73" i="9" s="1"/>
  <c r="Z74" i="9" s="1"/>
  <c r="Z7" i="11"/>
  <c r="V17" i="11" s="1"/>
  <c r="Z17" i="11" s="1" a="1"/>
  <c r="Z17" i="11" s="1"/>
  <c r="F74" i="7" a="1"/>
  <c r="F74" i="7" s="1"/>
  <c r="F77" i="7" a="1"/>
  <c r="F77" i="7" s="1"/>
  <c r="F72" i="7" a="1"/>
  <c r="F72" i="7" s="1"/>
  <c r="F73" i="7" a="1"/>
  <c r="F73" i="7" s="1"/>
  <c r="AA99" i="6"/>
  <c r="G13" i="7"/>
  <c r="AA90" i="6"/>
  <c r="Y32" i="7" s="1"/>
  <c r="Y34" i="7" s="1"/>
  <c r="AA88" i="6"/>
  <c r="Y33" i="7" l="1"/>
  <c r="AA100" i="6" a="1"/>
  <c r="AA100"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<sst xmlns="http://schemas.openxmlformats.org/spreadsheetml/2006/main" count="2985" uniqueCount="1329">
  <si>
    <t>Bear</t>
  </si>
  <si>
    <t>Base</t>
  </si>
  <si>
    <t>Bull</t>
  </si>
  <si>
    <t>Notes</t>
  </si>
  <si>
    <t>Metric</t>
  </si>
  <si>
    <t>Beginning MRR</t>
  </si>
  <si>
    <t>Ending MRR</t>
  </si>
  <si>
    <t>Salary</t>
  </si>
  <si>
    <t>G&amp;A</t>
  </si>
  <si>
    <t>COGS</t>
  </si>
  <si>
    <t>Unit Economics</t>
  </si>
  <si>
    <t>CAC calculation</t>
  </si>
  <si>
    <t>CAC = (Sales salaries + Sales tools + Marketing spend) / New customers acquired</t>
  </si>
  <si>
    <t>LTV calculation</t>
  </si>
  <si>
    <t>LTV = ARPU × Gross Margin % / Monthly Churn Rate</t>
  </si>
  <si>
    <t>LTV</t>
  </si>
  <si>
    <t>LTV:CAC</t>
  </si>
  <si>
    <t>CAC payback period</t>
  </si>
  <si>
    <t>CAC Payback (months) = CAC / (ARPU × Gross Margin %)</t>
  </si>
  <si>
    <t>Scenario Logic</t>
  </si>
  <si>
    <t>$900k</t>
  </si>
  <si>
    <t>Headcount M24</t>
  </si>
  <si>
    <t>$1.8M</t>
  </si>
  <si>
    <t>$3.1M</t>
  </si>
  <si>
    <t>ARR</t>
  </si>
  <si>
    <t>LaunchPlan AI  —  Master Assumptions Tab  |  FP&amp;A Model  |  24-Month Horizon</t>
  </si>
  <si>
    <t>YELLOW  = Hardcoded Input</t>
  </si>
  <si>
    <t>BLUE  = Formula</t>
  </si>
  <si>
    <t>GREEN  = Dashboard Output</t>
  </si>
  <si>
    <t>RED  = Check / Warning</t>
  </si>
  <si>
    <t>Category</t>
  </si>
  <si>
    <t>Assumption</t>
  </si>
  <si>
    <t>Unit</t>
  </si>
  <si>
    <t>Logic / Reasoning</t>
  </si>
  <si>
    <t>Source / Benchmark</t>
  </si>
  <si>
    <t>Feeds Into</t>
  </si>
  <si>
    <t xml:space="preserve">  § 1  CONTROL PANEL</t>
  </si>
  <si>
    <t>Control Panel</t>
  </si>
  <si>
    <t>Selected Scenario</t>
  </si>
  <si>
    <t>Text</t>
  </si>
  <si>
    <t>Dropdown drives the active model view. Use data validation.</t>
  </si>
  <si>
    <t>Model design best practice</t>
  </si>
  <si>
    <t>All tabs</t>
  </si>
  <si>
    <t>Start Date</t>
  </si>
  <si>
    <t>Date</t>
  </si>
  <si>
    <t>Every month offsets from this date via DATE() formulas. Never hardcode month names elsewhere.</t>
  </si>
  <si>
    <t>Model Horizon</t>
  </si>
  <si>
    <t>Months</t>
  </si>
  <si>
    <t>24 months covers Seed-to-Series A without pretending to forecast too far out.</t>
  </si>
  <si>
    <t>Startup FP&amp;A practice</t>
  </si>
  <si>
    <t>Currency</t>
  </si>
  <si>
    <t>USD</t>
  </si>
  <si>
    <t>Keeps model clean and consistent.</t>
  </si>
  <si>
    <t>Company Type</t>
  </si>
  <si>
    <t>AI SaaS</t>
  </si>
  <si>
    <t>LaunchPlan AI is an AI-native B2B SaaS company.</t>
  </si>
  <si>
    <t>Project setup</t>
  </si>
  <si>
    <t>Business Model</t>
  </si>
  <si>
    <t>Freemium+SaaS+Usage</t>
  </si>
  <si>
    <t>AI SaaS / PLG model</t>
  </si>
  <si>
    <t>Revenue, Unit Economics</t>
  </si>
  <si>
    <t xml:space="preserve">  § 2  STARTING METRICS</t>
  </si>
  <si>
    <t>Starting Metrics</t>
  </si>
  <si>
    <t>Beginning Cash Balance ($)</t>
  </si>
  <si>
    <t>$</t>
  </si>
  <si>
    <t>Assumes LaunchPlan AI has closed a pre-seed or seed round of ~$1.5M (angel / pre-seed vehicle).</t>
  </si>
  <si>
    <t>Startup runway practice</t>
  </si>
  <si>
    <t>Cash, Runway</t>
  </si>
  <si>
    <t>Seed Round Source</t>
  </si>
  <si>
    <t>Pre-seed/Angel</t>
  </si>
  <si>
    <t>NEW: Provides context for starting cash balance. Avoids the cash balance appearing arbitrary.</t>
  </si>
  <si>
    <t>Startup funding context</t>
  </si>
  <si>
    <t>Cash, Memo</t>
  </si>
  <si>
    <t>Starting Free Users</t>
  </si>
  <si>
    <t>Users</t>
  </si>
  <si>
    <t>Free users create top-of-funnel for PLG conversion.</t>
  </si>
  <si>
    <t>Freemium SaaS model</t>
  </si>
  <si>
    <t>Revenue</t>
  </si>
  <si>
    <t>Starting Starter Customers</t>
  </si>
  <si>
    <t>Customers</t>
  </si>
  <si>
    <t>Starter is the first paid self-serve plan.</t>
  </si>
  <si>
    <t>Internal model assumption</t>
  </si>
  <si>
    <t>Starting Growth Customers</t>
  </si>
  <si>
    <t>Growth plan is the core early paid customer segment.</t>
  </si>
  <si>
    <t>Starting Enterprise Customers</t>
  </si>
  <si>
    <t>Enterprise motion starts after product maturity and initial sales hiring.</t>
  </si>
  <si>
    <t>Startup GTM logic</t>
  </si>
  <si>
    <t>Starting Headcount (FTE)</t>
  </si>
  <si>
    <t>FTE</t>
  </si>
  <si>
    <t>Founder-led start: CEO and CTO only.</t>
  </si>
  <si>
    <t>Startup operating practice</t>
  </si>
  <si>
    <t>Headcount, OpEx</t>
  </si>
  <si>
    <t>Starting MRR ($)</t>
  </si>
  <si>
    <t>Revenue, ARR</t>
  </si>
  <si>
    <t>Starting ARR ($)</t>
  </si>
  <si>
    <t>Formula: MRR × 12.</t>
  </si>
  <si>
    <t>SaaS metric standard</t>
  </si>
  <si>
    <t>Dashboard</t>
  </si>
  <si>
    <t xml:space="preserve">  § 3  PRICING &amp; PACKAGING</t>
  </si>
  <si>
    <t>Pricing</t>
  </si>
  <si>
    <t>Free Plan Price ($/mo)</t>
  </si>
  <si>
    <t>$/month</t>
  </si>
  <si>
    <t>Free tier drives PLG top-of-funnel. No direct revenue; acquisition vehicle only.</t>
  </si>
  <si>
    <t>PLG / freemium practice</t>
  </si>
  <si>
    <t>Starter Plan Price ($/mo)</t>
  </si>
  <si>
    <t>SaaS pricing logic</t>
  </si>
  <si>
    <t>Growth Plan Price ($/mo)</t>
  </si>
  <si>
    <t>Core plan for Seed/Series A teams needing recurring FP&amp;A workflows.</t>
  </si>
  <si>
    <t>Enterprise Plan Price ($/mo)</t>
  </si>
  <si>
    <t>Enterprise flexes because negotiated contracts allow discounting (bear) or premium pricing (bull).</t>
  </si>
  <si>
    <t>FP&amp;A pricing comps</t>
  </si>
  <si>
    <t>Enterprise Implementation Fee ($/logo)</t>
  </si>
  <si>
    <t>$/logo</t>
  </si>
  <si>
    <t>One-time onboarding fee for Enterprise setup, integrations, and finance workflow configuration.</t>
  </si>
  <si>
    <t>FP&amp;A software practice</t>
  </si>
  <si>
    <t>Other Revenue</t>
  </si>
  <si>
    <t>Implementation Fee Recognition Period</t>
  </si>
  <si>
    <t>Recognize over service delivery period per revenue recognition logic.</t>
  </si>
  <si>
    <t>Revenue recognition logic</t>
  </si>
  <si>
    <t>Implementation Fee Included in ARR?</t>
  </si>
  <si>
    <t>Yes/No</t>
  </si>
  <si>
    <t>No</t>
  </si>
  <si>
    <t>ARR = recurring only. Implementation fees are non-recurring and must be excluded.</t>
  </si>
  <si>
    <t>SaaS ARR standard</t>
  </si>
  <si>
    <t>ARR Check</t>
  </si>
  <si>
    <t>Annual Billing Discount</t>
  </si>
  <si>
    <t>% off monthly</t>
  </si>
  <si>
    <t>Annual prepay discount improves cash collection. Standard SaaS practice.</t>
  </si>
  <si>
    <t>SaaS pricing practice</t>
  </si>
  <si>
    <t>Cash</t>
  </si>
  <si>
    <t>Annual Billing Mix (% of paid customers)</t>
  </si>
  <si>
    <t>% of paid</t>
  </si>
  <si>
    <t>Bull: more customers commit annually → stronger cash runway. Bear: mostly monthly billing.</t>
  </si>
  <si>
    <t>SaaS cash collection logic</t>
  </si>
  <si>
    <t>Enterprise Payment Terms</t>
  </si>
  <si>
    <t>Days</t>
  </si>
  <si>
    <t>Enterprise invoices paid slower than self-serve credit card. Bear = slower AR collection.</t>
  </si>
  <si>
    <t>B2B SaaS practice</t>
  </si>
  <si>
    <t>Payment Failure / Bad Debt (% of self-serve rev)</t>
  </si>
  <si>
    <t>% of rev</t>
  </si>
  <si>
    <t>Early-stage SMB customers carry payment failure risk. Bear case higher due to weaker ICP fit.</t>
  </si>
  <si>
    <t>SMB SaaS risk logic</t>
  </si>
  <si>
    <t>Revenue, Cash</t>
  </si>
  <si>
    <t xml:space="preserve">  § 4  AI USAGE REVENUE</t>
  </si>
  <si>
    <t>AI Usage Revenue</t>
  </si>
  <si>
    <t>AI Overage Price Per Query ($/query)</t>
  </si>
  <si>
    <t>$/query</t>
  </si>
  <si>
    <t>Usage-based pricing captures heavy AI usage above plan limits. Bull = premium pricing.</t>
  </si>
  <si>
    <t>AI usage pricing logic</t>
  </si>
  <si>
    <t>Queries/month</t>
  </si>
  <si>
    <t>Free tier is useful but tightly capped to limit compute cost and push upgrades.</t>
  </si>
  <si>
    <t>AI cost control logic</t>
  </si>
  <si>
    <t>Usage Model</t>
  </si>
  <si>
    <t>Supports light founder usage while pushing heavier users to Growth.</t>
  </si>
  <si>
    <t>Product packaging logic</t>
  </si>
  <si>
    <t>Core FP&amp;A users need more modeling and reporting prompts.</t>
  </si>
  <si>
    <t>Larger teams receive higher usage allowance. Enterprise includes team-wide access.</t>
  </si>
  <si>
    <t>Enterprise SaaS logic</t>
  </si>
  <si>
    <t>AI Usage Revenue Start Month</t>
  </si>
  <si>
    <t>Month</t>
  </si>
  <si>
    <t>Bull: users hit plan limits earlier due to deeper adoption. Bear: lighter usage depth.</t>
  </si>
  <si>
    <t>AI adoption logic</t>
  </si>
  <si>
    <t>Early usage starts modestly while FP&amp;A workflows are still forming.</t>
  </si>
  <si>
    <t>Internal usage assumption</t>
  </si>
  <si>
    <t>Usage grows as product embeds in budgeting, board reporting, and scenario planning.</t>
  </si>
  <si>
    <t>AI workflow adoption logic</t>
  </si>
  <si>
    <t>Active Users Per Starter Customer</t>
  </si>
  <si>
    <t>Starter = founder-led or very small teams. Bull = slightly larger founding team.</t>
  </si>
  <si>
    <t>Customer segment logic</t>
  </si>
  <si>
    <t>Active Users Per Growth Customer</t>
  </si>
  <si>
    <t>Growth customers have more operators using the tool.</t>
  </si>
  <si>
    <t>Active Users Per Enterprise Customer</t>
  </si>
  <si>
    <t>Enterprise usage spans finance, founders, and department leads.</t>
  </si>
  <si>
    <t>%</t>
  </si>
  <si>
    <t>Heavy users generate overage revenue. Bull assumes deeper adoption.</t>
  </si>
  <si>
    <t>Usage-based SaaS logic</t>
  </si>
  <si>
    <t>Avg Overage Queries Per Exceeding Customer/mo</t>
  </si>
  <si>
    <t>Queries</t>
  </si>
  <si>
    <t>Usage revenue formula logic</t>
  </si>
  <si>
    <t>AI Usage Revenue as % of MRR by M18</t>
  </si>
  <si>
    <t>Keeps usage revenue meaningful but not dominant. Crosscheck against overage formula output.</t>
  </si>
  <si>
    <t>AI monetization logic</t>
  </si>
  <si>
    <t xml:space="preserve">  § 5  CUSTOMER ACQUISITION</t>
  </si>
  <si>
    <t>Acquisition</t>
  </si>
  <si>
    <t>Users/month</t>
  </si>
  <si>
    <t>Top-of-funnel from content, founder communities, templates, and referrals.</t>
  </si>
  <si>
    <t>PLG logic</t>
  </si>
  <si>
    <t>Free User Monthly Growth Rate (MoM)</t>
  </si>
  <si>
    <t>% MoM</t>
  </si>
  <si>
    <t>PLG funnel logic</t>
  </si>
  <si>
    <t>Free User Decay Rate (dormancy)</t>
  </si>
  <si>
    <t>% monthly</t>
  </si>
  <si>
    <t>Freemium lifecycle logic</t>
  </si>
  <si>
    <t>Customers/month</t>
  </si>
  <si>
    <t>Growth plan reflects startups willing to pay for recurring FP&amp;A workflows.</t>
  </si>
  <si>
    <t>Enterprise acquisition starts after product maturity. Cannot start M1.</t>
  </si>
  <si>
    <t>B2B sales logic</t>
  </si>
  <si>
    <t>Monthly New Logo Growth Rate (MoM)</t>
  </si>
  <si>
    <t>Enterprise Motion Start Month</t>
  </si>
  <si>
    <t>Enterprise selling needs credible onboarding, security posture, and integrations. Not before M6.</t>
  </si>
  <si>
    <t>Growth Plan Sales Cycle</t>
  </si>
  <si>
    <t>Growth plan has lighter buying process. Bull = strong brand and self-service demos.</t>
  </si>
  <si>
    <t>B2B SaaS logic</t>
  </si>
  <si>
    <t>Enterprise Sales Cycle</t>
  </si>
  <si>
    <t>Enterprise requires demos, approval, onboarding negotiation, and security review.</t>
  </si>
  <si>
    <t>B2B sales practice</t>
  </si>
  <si>
    <t>Inbound Lead-to-Customer Conversion</t>
  </si>
  <si>
    <t>Improves as content, brand, and PMF strengthen over 24 months.</t>
  </si>
  <si>
    <t>SaaS funnel logic</t>
  </si>
  <si>
    <t>CAC, Revenue</t>
  </si>
  <si>
    <t>Paid Lead-to-Customer Conversion</t>
  </si>
  <si>
    <t>Paid traffic is colder. Lowest conversion channel.</t>
  </si>
  <si>
    <t>Outbound Lead-to-Customer Conversion</t>
  </si>
  <si>
    <t>Improves with cleaner ICP and stronger AE productivity.</t>
  </si>
  <si>
    <t>Sales-led SaaS logic</t>
  </si>
  <si>
    <t xml:space="preserve">  § 6  CONVERSION, EXPANSION &amp; NRR</t>
  </si>
  <si>
    <t>Conversion &amp; Expansion</t>
  </si>
  <si>
    <t>Free-to-Starter Conversion</t>
  </si>
  <si>
    <t>Base case within strong freemium conversion range. Bull assumes better activation and onboarding.</t>
  </si>
  <si>
    <t>ChartMogul: 3-5% good, 8-12% great</t>
  </si>
  <si>
    <t>Starter-to-Growth Monthly Upgrade Rate</t>
  </si>
  <si>
    <t>Small customers upgrade as they hire, raise funding, and need better planning capabilities.</t>
  </si>
  <si>
    <t>SaaS expansion logic</t>
  </si>
  <si>
    <t>Expansion MRR</t>
  </si>
  <si>
    <t>Growth-to-Enterprise Monthly Upgrade Rate</t>
  </si>
  <si>
    <t>Most Enterprise comes via outbound, but some Growth customers graduate. Keep rate low.</t>
  </si>
  <si>
    <t>Expansion MRR Start Month</t>
  </si>
  <si>
    <t>Expansion should only begin after customers experience recurring product value.</t>
  </si>
  <si>
    <t>SaaS lifecycle logic</t>
  </si>
  <si>
    <t>Contraction MRR Rate (monthly)</t>
  </si>
  <si>
    <t>Captures downgrades, seat reductions, and usage contractions. Separate from full churn.</t>
  </si>
  <si>
    <t>SaaS retention logic</t>
  </si>
  <si>
    <t>Bull case has stronger upsell and usage expansion. This crosschecks the NRR formula.</t>
  </si>
  <si>
    <t>NRR logic</t>
  </si>
  <si>
    <t>Logo Churn vs. Revenue Churn Delta</t>
  </si>
  <si>
    <t>% points</t>
  </si>
  <si>
    <t>SaaS retention sophistication</t>
  </si>
  <si>
    <t>Unit Economics, Dashboard</t>
  </si>
  <si>
    <t>Bear: expansion fails to offset churn. Base: healthy SaaS. Bull: best-in-class expansion revenue.</t>
  </si>
  <si>
    <t>ChartMogul NRR benchmarks</t>
  </si>
  <si>
    <t xml:space="preserve">  § 7  CHURN &amp; RETENTION</t>
  </si>
  <si>
    <t>Churn &amp; Retention</t>
  </si>
  <si>
    <t>Starter Monthly Churn</t>
  </si>
  <si>
    <t>Starter customers are small startups with high failure, pivot, and budget risk.</t>
  </si>
  <si>
    <t>ChartMogul churn benchmarks</t>
  </si>
  <si>
    <t>Revenue, LTV</t>
  </si>
  <si>
    <t>Growth Monthly Churn</t>
  </si>
  <si>
    <t>Growth customers are more committed and have deeper workflow adoption.</t>
  </si>
  <si>
    <t>Enterprise Annual Churn</t>
  </si>
  <si>
    <t>Enterprise retains better but startup buyers still carry company-failure risk.</t>
  </si>
  <si>
    <t>Enterprise Monthly Churn (converted)</t>
  </si>
  <si>
    <t>SaaS formula</t>
  </si>
  <si>
    <t>Blended Monthly Churn</t>
  </si>
  <si>
    <t>Weighted average across plans. Used for summary LTV and scenario-level checks.</t>
  </si>
  <si>
    <t>SaaS churn logic</t>
  </si>
  <si>
    <t>Churn Start Month</t>
  </si>
  <si>
    <t>Avoids unrealistic churn in month 1. First customers have grace period.</t>
  </si>
  <si>
    <t>Model design logic</t>
  </si>
  <si>
    <t>Free User Dormancy Rate</t>
  </si>
  <si>
    <t xml:space="preserve">  § 8  COGS &amp; GROSS MARGIN</t>
  </si>
  <si>
    <t>COGS &amp; Gross Margin</t>
  </si>
  <si>
    <t>Early AI costs are high: unoptimized prompts, low scale, no committed spend discounts.</t>
  </si>
  <si>
    <t>Bessemer AI margin research</t>
  </si>
  <si>
    <t>Improves via prompt engineering, caching, model routing, and volume pricing (Anthropic/OpenAI).</t>
  </si>
  <si>
    <t>$/customer/month</t>
  </si>
  <si>
    <t>Bear: weaker infrastructure efficiency. Bull: reserved instances and architecture optimization.</t>
  </si>
  <si>
    <t>SaaS infrastructure logic</t>
  </si>
  <si>
    <t>Payment Processing Fee (% of card revenue)</t>
  </si>
  <si>
    <t>Stripe / card processor fee. Fixed % of self-serve revenue. Always in COGS.</t>
  </si>
  <si>
    <t>Payments practice</t>
  </si>
  <si>
    <t>Support Tool Cost ($/customer/mo)</t>
  </si>
  <si>
    <t>Intercom/Zendesk tooling scales with customer count.</t>
  </si>
  <si>
    <t>SaaS support logic</t>
  </si>
  <si>
    <t>CS Hire Trigger (customers per CS FTE)</t>
  </si>
  <si>
    <t>SaaS support model</t>
  </si>
  <si>
    <t>COGS, Hiring</t>
  </si>
  <si>
    <t>CS Fully Loaded Salary (annual)</t>
  </si>
  <si>
    <t>$/year</t>
  </si>
  <si>
    <t>SaaS gross margin logic</t>
  </si>
  <si>
    <t>Implementation Cost Per Enterprise Logo</t>
  </si>
  <si>
    <t>Onboarding labor and setup burden. Bull: repeatable playbook lowers cost.</t>
  </si>
  <si>
    <t>Implementation Hours Per Enterprise Logo</t>
  </si>
  <si>
    <t>Hours</t>
  </si>
  <si>
    <t>Bull: more repeatable implementation. Bear: custom work per customer.</t>
  </si>
  <si>
    <t>AI SaaS starts lower due to early compute costs and underoptimized prompts.</t>
  </si>
  <si>
    <t>Bessemer AI SaaS benchmarks</t>
  </si>
  <si>
    <t>Margin expands as AI cost compresses. Traditional SaaS = 80-90%; AI SaaS closer to 70-80% at maturity.</t>
  </si>
  <si>
    <t xml:space="preserve">  § 9  CAC &amp; GTM</t>
  </si>
  <si>
    <t>CAC &amp; GTM</t>
  </si>
  <si>
    <t>Inbound / PLG CAC</t>
  </si>
  <si>
    <t>$/customer</t>
  </si>
  <si>
    <t>PLG is lowest-cost channel. Users self-educate before any sales touch.</t>
  </si>
  <si>
    <t>SaaS GTM logic</t>
  </si>
  <si>
    <t>Paid Marketing CAC</t>
  </si>
  <si>
    <t>Outbound / AE CAC</t>
  </si>
  <si>
    <t>Weighted average across channels. Base case ~$1,800 is the hiring gate reference point.</t>
  </si>
  <si>
    <t>CAC model logic</t>
  </si>
  <si>
    <t>Controlled early spend before proving channel efficiency.</t>
  </si>
  <si>
    <t>OpEx, CAC</t>
  </si>
  <si>
    <t>Scales with confidence in CAC and conversion quality.</t>
  </si>
  <si>
    <t>Paid Marketing Multiplier (scenario lever)</t>
  </si>
  <si>
    <t>x</t>
  </si>
  <si>
    <t>Single multiplier adjusts paid spend across scenarios without adding rows.</t>
  </si>
  <si>
    <t>Scenario logic</t>
  </si>
  <si>
    <t>Sales Tools Cost Per Sales Rep/mo</t>
  </si>
  <si>
    <t>$/rep/month</t>
  </si>
  <si>
    <t>CRM, enrichment, outbound sequencing tools (HubSpot, Apollo, etc.).</t>
  </si>
  <si>
    <t>SaaS sales stack logic</t>
  </si>
  <si>
    <t>OpEx</t>
  </si>
  <si>
    <t>AE Ramp Period</t>
  </si>
  <si>
    <t>Sales productivity logic</t>
  </si>
  <si>
    <t>% of quota</t>
  </si>
  <si>
    <t>Sales ramp curve logic</t>
  </si>
  <si>
    <t>AE Annual Quota (full productivity)</t>
  </si>
  <si>
    <t>ARR/year</t>
  </si>
  <si>
    <t>Sales capacity model</t>
  </si>
  <si>
    <t>AE Quota Attainment</t>
  </si>
  <si>
    <t>Bear: weaker execution. Bull: strong ICP fit. Attainment × quota = actual ARR per AE.</t>
  </si>
  <si>
    <t>Sales execution logic</t>
  </si>
  <si>
    <t>Sales Commission Rate (% of closed ARR)</t>
  </si>
  <si>
    <t>Commission tied to closed ARR. Higher rate in bear reflects less efficient selling economics.</t>
  </si>
  <si>
    <t>SaaS sales comp logic</t>
  </si>
  <si>
    <t>CAC Payback Target (hiring gate threshold)</t>
  </si>
  <si>
    <t>Core hiring gate. AE #3 is blocked unless payback &lt; 12 for 3 consecutive months.</t>
  </si>
  <si>
    <t>OpenView SaaS benchmark</t>
  </si>
  <si>
    <t>Hiring Gate</t>
  </si>
  <si>
    <t>LTV:CAC Minimum Target</t>
  </si>
  <si>
    <t>Below 3x means buying revenue, not building a business. Floor for all scenarios.</t>
  </si>
  <si>
    <t>SaaS unit economics standard</t>
  </si>
  <si>
    <t xml:space="preserve">  § 10  HEADCOUNT</t>
  </si>
  <si>
    <t>Headcount</t>
  </si>
  <si>
    <t>Benefits Load (% of salary)</t>
  </si>
  <si>
    <t>Covers payroll taxes, health benefits, insurance, employer 401k match.</t>
  </si>
  <si>
    <t>Startup OpEx practice</t>
  </si>
  <si>
    <t>Tools &amp; Equipment ($/employee/year)</t>
  </si>
  <si>
    <t>$/emp/year</t>
  </si>
  <si>
    <t>Founder starts at company inception.</t>
  </si>
  <si>
    <t>Startup team logic</t>
  </si>
  <si>
    <t>Reasonable cash comp for seed-stage founder. Below-market to preserve runway.</t>
  </si>
  <si>
    <t>Startup compensation logic</t>
  </si>
  <si>
    <t>Technical co-founder starts at inception.</t>
  </si>
  <si>
    <t>Slightly higher for technical founder.</t>
  </si>
  <si>
    <t>First external engineering hire to build product velocity.</t>
  </si>
  <si>
    <t>Startup hiring logic</t>
  </si>
  <si>
    <t>Competitive engineering salary in tech hubs.</t>
  </si>
  <si>
    <t>Startup comp logic</t>
  </si>
  <si>
    <t>GTM hiring logic</t>
  </si>
  <si>
    <t>Sales, CAC</t>
  </si>
  <si>
    <t>Total on-target earnings. Split ~$110k base / $40k variable.</t>
  </si>
  <si>
    <t>Sales comp logic</t>
  </si>
  <si>
    <t>Supports content, paid, and PLG acquisition channels.</t>
  </si>
  <si>
    <t>Marketing execution headcount.</t>
  </si>
  <si>
    <t>Adds product velocity and infrastructure stability.</t>
  </si>
  <si>
    <t>Product hiring logic</t>
  </si>
  <si>
    <t>Engineering OpEx.</t>
  </si>
  <si>
    <t>Timing links to CS customer trigger (Section 8), not just calendar month.</t>
  </si>
  <si>
    <t>CS scaling logic</t>
  </si>
  <si>
    <t>CS is 100% COGS. Customer-facing, variable support cost.</t>
  </si>
  <si>
    <t>SaaS COGS logic</t>
  </si>
  <si>
    <t>Needed as roadmap complexity and customer feedback volume increases.</t>
  </si>
  <si>
    <t>Product org logic</t>
  </si>
  <si>
    <t>Product OpEx.</t>
  </si>
  <si>
    <t>Supports data pipelines, model usage analytics, and AI workflow infrastructure.</t>
  </si>
  <si>
    <t>AI SaaS hiring logic</t>
  </si>
  <si>
    <t>GTM acceleration. Scenario-dependent. Bear: delayed until CAC payback confirms efficiency.</t>
  </si>
  <si>
    <t>Sales capacity logic</t>
  </si>
  <si>
    <t>Sales headcount cost.</t>
  </si>
  <si>
    <t>Triggered by customer count reaching CS threshold × 2.</t>
  </si>
  <si>
    <t>Conditional on CAC payback gate. Never hire before this even if gate passes.</t>
  </si>
  <si>
    <t>Hiring gate logic</t>
  </si>
  <si>
    <t>Hiring Plan</t>
  </si>
  <si>
    <t>If payback gate not met by this month, defer AE #3 entirely until Series A.</t>
  </si>
  <si>
    <t>Runway protection logic</t>
  </si>
  <si>
    <t>Finance hire becomes critical near Series A readiness for diligence and investor reporting.</t>
  </si>
  <si>
    <t>Startup finance scaling logic</t>
  </si>
  <si>
    <t>Senior finance / G&amp;A hire. Highest-salaried non-founder role.</t>
  </si>
  <si>
    <t xml:space="preserve">  § 11  NON-HEADCOUNT OPEX</t>
  </si>
  <si>
    <t>Non-Headcount OpEx</t>
  </si>
  <si>
    <t>Office / Co-working Cost</t>
  </si>
  <si>
    <t>Starts when team grows past founder stage.</t>
  </si>
  <si>
    <t>Startup OpEx logic</t>
  </si>
  <si>
    <t>Office Start Month</t>
  </si>
  <si>
    <t>Avoids unrealistic office cost before team is meaningful.</t>
  </si>
  <si>
    <t>SaaS Tools Base Cost</t>
  </si>
  <si>
    <t>Slack, Notion, Linear, HubSpot, and finance tools.</t>
  </si>
  <si>
    <t>Legal &amp; Accounting</t>
  </si>
  <si>
    <t>Ongoing corporate, tax, accounting. Spikes during Series A diligence.</t>
  </si>
  <si>
    <t>D&amp;O / E&amp;O Insurance</t>
  </si>
  <si>
    <t>Required for Enterprise customers and institutional fundraising.</t>
  </si>
  <si>
    <t>Startup risk logic</t>
  </si>
  <si>
    <t>Insurance Start Month</t>
  </si>
  <si>
    <t>Start before institutional fundraising process begins.</t>
  </si>
  <si>
    <t>Conferences / Travel</t>
  </si>
  <si>
    <t>Higher in bull because GTM activity and sales travel is stronger.</t>
  </si>
  <si>
    <t>GTM OpEx logic</t>
  </si>
  <si>
    <t>Sales &amp; Marketing</t>
  </si>
  <si>
    <t>Contractors / Design Support</t>
  </si>
  <si>
    <t>Flexible headcount without full-time hiring risk.</t>
  </si>
  <si>
    <t>Startup operating logic</t>
  </si>
  <si>
    <t>R&amp;D</t>
  </si>
  <si>
    <t>Security / Compliance Tools</t>
  </si>
  <si>
    <t>B2B SaaS enterprise logic</t>
  </si>
  <si>
    <t>Data / API Subscriptions</t>
  </si>
  <si>
    <t>Supports benchmarking, finance intelligence, and product integrations.</t>
  </si>
  <si>
    <t>AI FP&amp;A product logic</t>
  </si>
  <si>
    <t xml:space="preserve">  § 12  CASH &amp; RUNWAY</t>
  </si>
  <si>
    <t>Cash &amp; Runway</t>
  </si>
  <si>
    <t>Minimum Cash Buffer ($)</t>
  </si>
  <si>
    <t>Company should not operate to zero cash. Buffer for AR delays and surprises.</t>
  </si>
  <si>
    <t>Startup cash discipline</t>
  </si>
  <si>
    <t>Runway</t>
  </si>
  <si>
    <t>Runway Red Threshold</t>
  </si>
  <si>
    <t>&lt;6</t>
  </si>
  <si>
    <t>Below 6 months = immediate fundraising risk. Trigger: RAISE NOW.</t>
  </si>
  <si>
    <t>Runway Amber Threshold</t>
  </si>
  <si>
    <t>6–12</t>
  </si>
  <si>
    <t>Start investor conversations. Still leverage to negotiate valuation.</t>
  </si>
  <si>
    <t>Runway Green Threshold</t>
  </si>
  <si>
    <t>&gt;12</t>
  </si>
  <si>
    <t>Healthy operating cushion. No near-term fundraising pressure.</t>
  </si>
  <si>
    <t>Self-Serve Billing Collection Lag</t>
  </si>
  <si>
    <t>Credit card payments settle quickly but may have short processing delay.</t>
  </si>
  <si>
    <t>SaaS billing logic</t>
  </si>
  <si>
    <t>Enterprise Collection Lag</t>
  </si>
  <si>
    <t>Enterprise invoices paid on net-30/45 terms. Bear = slower AR collection.</t>
  </si>
  <si>
    <t>B2B SaaS billing logic</t>
  </si>
  <si>
    <t>Payroll Timing</t>
  </si>
  <si>
    <t>Monthly</t>
  </si>
  <si>
    <t>Payroll disbursed monthly. Consistent timing simplifies cash model.</t>
  </si>
  <si>
    <t>Cash flow logic</t>
  </si>
  <si>
    <t>Vendor Payment Lag</t>
  </si>
  <si>
    <t>Standard vendor payment timing for AP modeling.</t>
  </si>
  <si>
    <t>Working capital logic</t>
  </si>
  <si>
    <t xml:space="preserve">  § 13  SERIES A &amp; VALUATION</t>
  </si>
  <si>
    <t>Series A</t>
  </si>
  <si>
    <t>Fundraising Process Length</t>
  </si>
  <si>
    <t>Fundraising takes 3-6 months. Start before cash becomes critical.</t>
  </si>
  <si>
    <t>Startup fundraising practice</t>
  </si>
  <si>
    <t>ARR 'Start Conversations' Milestone ($)</t>
  </si>
  <si>
    <t>$1M ARR signals readiness to start conversations. Not a guarantee of close.</t>
  </si>
  <si>
    <t>VC market logic</t>
  </si>
  <si>
    <t>Fundraising Trigger</t>
  </si>
  <si>
    <t>More Credible Series A ARR Range ($)</t>
  </si>
  <si>
    <t>True Series A readiness in current market. $1M is floor; $2M is stronger.</t>
  </si>
  <si>
    <t>Fundraising Memo</t>
  </si>
  <si>
    <t>Target Raise Amount ($)</t>
  </si>
  <si>
    <t>Raise should fund 18-24 months of growth post-round.</t>
  </si>
  <si>
    <t>Startup fundraising logic</t>
  </si>
  <si>
    <t>ARR Valuation Multiple (x ARR)</t>
  </si>
  <si>
    <t>x ARR</t>
  </si>
  <si>
    <t>REVISED: Bear 7x (SaaS Capital Index median 7.0x entering 2025). Base 9x (premium AI SaaS). Bull 13x (exceptional NRR + growth). Previous bear of 6x was below market median.</t>
  </si>
  <si>
    <t>SaaS Capital Index 2025</t>
  </si>
  <si>
    <t>Valuation</t>
  </si>
  <si>
    <t>Pre-Money Valuation ($)</t>
  </si>
  <si>
    <t>Formula: ARR at raise × ARR multiple. Never hardcode.</t>
  </si>
  <si>
    <t>Valuation logic</t>
  </si>
  <si>
    <t>Dilution</t>
  </si>
  <si>
    <t>Post-Money Valuation ($)</t>
  </si>
  <si>
    <t>Formula: Pre-money + raise amount.</t>
  </si>
  <si>
    <t>Dilution (%)</t>
  </si>
  <si>
    <t>% equity</t>
  </si>
  <si>
    <t>Formula: Raise / Post-money valuation.</t>
  </si>
  <si>
    <t>Product and AI infrastructure remain highest priority across all scenarios.</t>
  </si>
  <si>
    <t>Startup fund allocation logic</t>
  </si>
  <si>
    <t>Memo</t>
  </si>
  <si>
    <t>GTM scale after unit economics improve.</t>
  </si>
  <si>
    <t>Finance, legal, recruiting, and compliance.</t>
  </si>
  <si>
    <t>Start Fundraising Month</t>
  </si>
  <si>
    <t>Bear raises earlier due to compressed runway. Bull can wait for stronger metrics.</t>
  </si>
  <si>
    <t>Runway trigger logic</t>
  </si>
  <si>
    <t xml:space="preserve">  § 14  DECISION RULES (HIRING GATES &amp; TRIGGERS)</t>
  </si>
  <si>
    <t>Decision Rules</t>
  </si>
  <si>
    <t>Rule</t>
  </si>
  <si>
    <t>Payback &lt;12 for 3 consec. months</t>
  </si>
  <si>
    <t>AE #3 hired only when CAC payback is healthy for 3 consecutive months. Avoids hiring on one lucky month.</t>
  </si>
  <si>
    <t>Startup finance discipline</t>
  </si>
  <si>
    <t>CAC Payback Lookback Period</t>
  </si>
  <si>
    <t>3-month lookback prevents a single strong month from triggering premature hiring.</t>
  </si>
  <si>
    <t>FP&amp;A control logic</t>
  </si>
  <si>
    <t>Payback &gt;12 for 3 months</t>
  </si>
  <si>
    <t>Prevents sales headcount from damaging runway before acquisition efficiency is proven.</t>
  </si>
  <si>
    <t>AE #3 Excel Formula (reference only)</t>
  </si>
  <si>
    <t>Formula text</t>
  </si>
  <si>
    <t>Reference formula. Replace Pay_M / Pay_M1 / Pay_M2 with actual cell references in Hiring Plan tab.</t>
  </si>
  <si>
    <t>Model formula design</t>
  </si>
  <si>
    <t>Runway &lt;6 mo</t>
  </si>
  <si>
    <t>Formula: =IF(runway_months&lt;6,"RAISE NOW",""). Red flag in dashboard.</t>
  </si>
  <si>
    <t>Startup runway logic</t>
  </si>
  <si>
    <t>Runway &lt;12 mo</t>
  </si>
  <si>
    <t>Start investor conversations while there is still negotiating leverage.</t>
  </si>
  <si>
    <t>Fundraising practice</t>
  </si>
  <si>
    <t>ARR &gt;$1M</t>
  </si>
  <si>
    <t>Formula: =IF(ARR&gt;1000000,"SERIES A READY",""). Useful milestone; not the only requirement.</t>
  </si>
  <si>
    <t>NRR &gt;110%</t>
  </si>
  <si>
    <t>When expansion covers churn, safe to pour GTM fuel. Bull case signal.</t>
  </si>
  <si>
    <t>$1M ARR Excel Milestone Formula</t>
  </si>
  <si>
    <t>Reference formula for Series A readiness trigger in P&amp;L tab.</t>
  </si>
  <si>
    <t>P&amp;L, Dashboard</t>
  </si>
  <si>
    <t xml:space="preserve">  § 15  DASHBOARD THRESHOLDS</t>
  </si>
  <si>
    <t>Dashboard Thresholds</t>
  </si>
  <si>
    <t>65%–70%</t>
  </si>
  <si>
    <t>70%–76%</t>
  </si>
  <si>
    <t>74%–80%</t>
  </si>
  <si>
    <t>AI SaaS should show improving margin leverage toward 70-80% by M24.</t>
  </si>
  <si>
    <t>AI margin benchmark</t>
  </si>
  <si>
    <t>&lt;12</t>
  </si>
  <si>
    <t>Core GTM efficiency signal. The hiring gate.</t>
  </si>
  <si>
    <t>CAC benchmark</t>
  </si>
  <si>
    <t>&gt;3x</t>
  </si>
  <si>
    <t>Basic acquisition quality floor.</t>
  </si>
  <si>
    <t>SaaS unit economics</t>
  </si>
  <si>
    <t>&gt;95%</t>
  </si>
  <si>
    <t>&gt;100%</t>
  </si>
  <si>
    <t>&gt;110%</t>
  </si>
  <si>
    <t>Expansion should offset churn. Bull: self-funding growth loop.</t>
  </si>
  <si>
    <t>SaaS retention benchmark</t>
  </si>
  <si>
    <t>Immediate fundraising risk.</t>
  </si>
  <si>
    <t>Start conversations.</t>
  </si>
  <si>
    <t>Healthy cushion.</t>
  </si>
  <si>
    <t xml:space="preserve">  § 16  SENSITIVITIES</t>
  </si>
  <si>
    <t>Sensitivities</t>
  </si>
  <si>
    <t>Churn Sensitivity Test</t>
  </si>
  <si>
    <t>Change</t>
  </si>
  <si>
    <t>+1 pp</t>
  </si>
  <si>
    <t>+1 point monthly churn = approximately -$85k ARR at M24. Highest-impact SaaS variable.</t>
  </si>
  <si>
    <t>SaaS sensitivity logic</t>
  </si>
  <si>
    <t>Sensitivity Tab</t>
  </si>
  <si>
    <t>Paid CAC Sensitivity Test</t>
  </si>
  <si>
    <t>Tests GTM efficiency risk from rising CPMs or worsening conversion.</t>
  </si>
  <si>
    <t>CAC sensitivity logic</t>
  </si>
  <si>
    <t>AI Compute Cost Sensitivity Test</t>
  </si>
  <si>
    <t>+10 pp</t>
  </si>
  <si>
    <t>Tests AI gross margin risk from API price changes or usage patterns.</t>
  </si>
  <si>
    <t>AI cost sensitivity logic</t>
  </si>
  <si>
    <t>Enterprise ARPU Sensitivity Test</t>
  </si>
  <si>
    <t>Tests discounting pressure during Enterprise sales cycles.</t>
  </si>
  <si>
    <t>Pricing sensitivity logic</t>
  </si>
  <si>
    <t>AE #3 Pull-Forward Sensitivity Test</t>
  </si>
  <si>
    <t>3 mo earlier</t>
  </si>
  <si>
    <t>Tests runway impact of aggressive hiring. Should show -1.5 months runway.</t>
  </si>
  <si>
    <t>Hiring sensitivity logic</t>
  </si>
  <si>
    <t>Annual Billing Mix Sensitivity Test</t>
  </si>
  <si>
    <t>+20 pp</t>
  </si>
  <si>
    <t>Tests cash upside from shifting customers to annual prepay.</t>
  </si>
  <si>
    <t>Cash sensitivity logic</t>
  </si>
  <si>
    <t>Enterprise Close Rate Sensitivity Test</t>
  </si>
  <si>
    <t>Tests sales execution risk on the highest-ARPU segment.</t>
  </si>
  <si>
    <t>Sales sensitivity logic</t>
  </si>
  <si>
    <t>Gross Margin Sensitivity Test</t>
  </si>
  <si>
    <t>-5 pp</t>
  </si>
  <si>
    <t>Tests cost pressure from AI usage spikes and support scaling.</t>
  </si>
  <si>
    <t>Margin sensitivity logic</t>
  </si>
  <si>
    <t>AE Ramp Productivity Sensitivity Test</t>
  </si>
  <si>
    <t>-10 pp</t>
  </si>
  <si>
    <t>NEW: Tests impact of AEs ramping slower than assumed. Delays quota attainment.</t>
  </si>
  <si>
    <t>Sales ramp sensitivity</t>
  </si>
  <si>
    <t xml:space="preserve">  MODELING RULE: Every hardcoded input lives on this tab. Revenue, COGS, OpEx, Unit Economics, and Dashboard must reference these cells. No hardcoded numbers in formula tabs.  |  Color: Yellow = Input  |  Blue = Formula  |  Green = Output</t>
  </si>
  <si>
    <t>Free Plan ; Included Queries/mo</t>
  </si>
  <si>
    <t>Starter ; Included Queries/mo</t>
  </si>
  <si>
    <t>Growth ; Included Queries/mo</t>
  </si>
  <si>
    <t>Enterprise ; Included Queries/mo</t>
  </si>
  <si>
    <t>Avg Queries Per Active User ; M1</t>
  </si>
  <si>
    <t>Avg Queries Per Active User ; M24</t>
  </si>
  <si>
    <t>% Customers Exceeding Query Limit ; M24</t>
  </si>
  <si>
    <t>Low-friction founder plan. Price fixed across scenarios ; self-serve pricing should be stable.</t>
  </si>
  <si>
    <t>New Free Users ; M1</t>
  </si>
  <si>
    <t>New Starter Logos ; M1</t>
  </si>
  <si>
    <t>New Growth Logos ; M1</t>
  </si>
  <si>
    <t>New Enterprise Logos ; M6+</t>
  </si>
  <si>
    <t>SaaS growth benchmarks ; ChartMogul</t>
  </si>
  <si>
    <t>Expansion MRR as % of Prior MRR ; M24</t>
  </si>
  <si>
    <t>NRR Target ; M24</t>
  </si>
  <si>
    <t>AI API Cost % of AI Revenue ; M1</t>
  </si>
  <si>
    <t>AI API Cost % of AI Revenue ; M24</t>
  </si>
  <si>
    <t>Cloud Hosting ; Per Customer/mo</t>
  </si>
  <si>
    <t>Cloud Hosting ; Fixed Platform Cost/mo</t>
  </si>
  <si>
    <t>CS is 100% COGS ; customer-facing, variable cost. Never put CS in OpEx.</t>
  </si>
  <si>
    <t>Target Gross Margin ; M6</t>
  </si>
  <si>
    <t>Target Gross Margin ; M24</t>
  </si>
  <si>
    <t>Blended CAC ; M12</t>
  </si>
  <si>
    <t>Paid Marketing Spend ; M1</t>
  </si>
  <si>
    <t>Paid Marketing Spend ; M24</t>
  </si>
  <si>
    <t>AE Productivity During Ramp ; Month 1</t>
  </si>
  <si>
    <t>AE Productivity During Ramp ; Month 2</t>
  </si>
  <si>
    <t>AE Productivity During Ramp ; Month 3+</t>
  </si>
  <si>
    <t>Founder / CEO ; Start Month</t>
  </si>
  <si>
    <t>Founder / CEO ; Annual Salary</t>
  </si>
  <si>
    <t>Founder / CTO ; Start Month</t>
  </si>
  <si>
    <t>Founder / CTO ; Annual Salary</t>
  </si>
  <si>
    <t>Full-Stack Engineer #1 ; Start Month</t>
  </si>
  <si>
    <t>Full-Stack Engineer #1 ; Annual Salary</t>
  </si>
  <si>
    <t>Head of Growth / AE #1 ; Start Month</t>
  </si>
  <si>
    <t>Head of Growth / AE #1 ; OTE (Base + Variable)</t>
  </si>
  <si>
    <t>Marketing Manager ; Start Month</t>
  </si>
  <si>
    <t>Marketing Manager ; Annual Salary</t>
  </si>
  <si>
    <t>Full-Stack Engineer #2 ; Start Month</t>
  </si>
  <si>
    <t>Full-Stack Engineer #2 ; Annual Salary</t>
  </si>
  <si>
    <t>Customer Success #1 ; Annual Salary</t>
  </si>
  <si>
    <t>Product Manager ; Start Month</t>
  </si>
  <si>
    <t>Product Manager ; Annual Salary</t>
  </si>
  <si>
    <t>Data Engineer ; Start Month</t>
  </si>
  <si>
    <t>Data Engineer ; Annual Salary</t>
  </si>
  <si>
    <t>AE #2 ; Start Month</t>
  </si>
  <si>
    <t>AE #2 ; OTE</t>
  </si>
  <si>
    <t>Customer Success #2 ; Annual Salary</t>
  </si>
  <si>
    <t>COGS ; customer-facing support.</t>
  </si>
  <si>
    <t>AE #3 ; Earliest Possible Start Month</t>
  </si>
  <si>
    <t>AE #3 ; Latest Delay Month (runway protection)</t>
  </si>
  <si>
    <t>AE #3 ; OTE</t>
  </si>
  <si>
    <t>CFO / Finance Hire ; Start Month</t>
  </si>
  <si>
    <t>CFO / Finance Hire ; Annual Salary</t>
  </si>
  <si>
    <t>VC market logic ; 2025/2026</t>
  </si>
  <si>
    <t>Use of Proceeds ; Engineering</t>
  </si>
  <si>
    <t>Use of Proceeds ; Sales &amp; Marketing</t>
  </si>
  <si>
    <t>Use of Proceeds ; G&amp;A</t>
  </si>
  <si>
    <t>AE #3 Hiring Gate ; Rule</t>
  </si>
  <si>
    <t>Block GTM Hiring ; Rule</t>
  </si>
  <si>
    <t>Runway ; RAISE NOW Trigger</t>
  </si>
  <si>
    <t>Runway ; Start Conversations Trigger</t>
  </si>
  <si>
    <t>Series A Ready Signal ; ARR</t>
  </si>
  <si>
    <t>Accelerated Hiring Trigger ; NRR</t>
  </si>
  <si>
    <t>ARR KPI ; Target M24 ($)</t>
  </si>
  <si>
    <t>Main SaaS scale metric. Output ; do not input here; link to Revenue tab M24 ARR cell.</t>
  </si>
  <si>
    <t>Gross Margin ; Healthy Range</t>
  </si>
  <si>
    <t>CAC Payback ; Healthy Threshold</t>
  </si>
  <si>
    <t>LTV:CAC ; Healthy Threshold</t>
  </si>
  <si>
    <t>NRR ; Healthy Threshold</t>
  </si>
  <si>
    <t>Runway ; Red Threshold</t>
  </si>
  <si>
    <t>Runway ; Amber Threshold</t>
  </si>
  <si>
    <t>Runway ; Green Threshold</t>
  </si>
  <si>
    <t>Free User Activation Rate</t>
  </si>
  <si>
    <t>Only activated users are eligible to convert to paid</t>
  </si>
  <si>
    <t>% of new free users</t>
  </si>
  <si>
    <t>Non-converting free users become inactive over time; prevents inflated free-user base.</t>
  </si>
  <si>
    <t xml:space="preserve">Formula: Starting customers × plan pricing. </t>
  </si>
  <si>
    <t>Free user acquisition must grow over time to support the free-to-paid funnel. Without this assumption, free users remain fixed at Month 1 levels, limiting paid customer growth.</t>
  </si>
  <si>
    <t>Needed to calculate actual overage revenue. Without this assumption overage revenue is incalculable. Formula: Exceeding customers × avg overage queries × $/query.</t>
  </si>
  <si>
    <t>Self-serve Starter grows through Product-Led Growth (PLG) adoption.</t>
  </si>
  <si>
    <t>Bear = slow product-led growth; Base = strong but reasonable adoption; Bull = strong product-market fit (PMF) plus effective distribution. Growth compounds monthly.</t>
  </si>
  <si>
    <t>Revenue churn is typically lower than logo churn because larger customers retain better. Model logo churn and revenue churn separately. Delta = revenue churn is this many points lower than logo churn.</t>
  </si>
  <si>
    <t xml:space="preserve">Formula: =1-(1-Annual_Churn)^(1/12). </t>
  </si>
  <si>
    <t>Free users who don't convert within 60-90 days go dormant. Already captured in Acquisition section.</t>
  </si>
  <si>
    <t>Base platform cost before customer-level scaling, including Content Delivery Network (CDN), databases, and baseline compute infrastructure.</t>
  </si>
  <si>
    <t>Bear: higher churn needs more hand-holding → hire CS earlier. Bull: product is self-sufficient. Customer Success (CS) hiring is triggered based on customers per CS employee. Bear case assumes more support needs; Bull case assumes a more self-serve product.</t>
  </si>
  <si>
    <t>Combines Product-led-growth (PLG) acquisition, subscription, and usage-based AI monetization.</t>
  </si>
  <si>
    <t>Paid marketing is scalable but less efficient than organic because higher ad costs and lower conversion rates increase customer acquisition cost. cost per 1,000 ad impressions</t>
  </si>
  <si>
    <t>Outbound sales through Account Executives (AE) is expensive, but it can be justified because Enterprise customers generate higher average revenue and usually stay longer. The model also needs to account for how long new AEs take to become fully productive.</t>
  </si>
  <si>
    <t>AEs do not reach full productivity immediately. Critical for new Annual Recurring Revenue (ARR) timing.</t>
  </si>
  <si>
    <t>Without monthly ramp productivity, ARR from new AEs is overstated. Month 1 of ramp.</t>
  </si>
  <si>
    <t xml:space="preserve"> Month 2 of ramp. Compounding toward full quota.</t>
  </si>
  <si>
    <t>Month 3+ of ramp. Full quota from ramp period end month onward.</t>
  </si>
  <si>
    <t>Sales capacity assumption for new ARR. Bull = tight Ideal Customer Profile (ICP) and strong brand.</t>
  </si>
  <si>
    <t>Laptop, software, and employee tooling per Full-Time Equivalent (FTE).</t>
  </si>
  <si>
    <t>Starts Go-To-Market (GTM) motion after initial product readiness. Combined growth + sales role early.</t>
  </si>
  <si>
    <t>Required for Enterprise readiness (System and Organization Controls 2 (SOC2), encryption, audit logging).</t>
  </si>
  <si>
    <t>=IF(AND(@Pay_M&lt;12,@Pay_M1&lt;12,@Pay_M2&lt;12),"HIRE OK","DELAY")</t>
  </si>
  <si>
    <t>=IF(@ARR&gt;1000000,"SERIES A READY","")</t>
  </si>
  <si>
    <t>Selected Value</t>
  </si>
  <si>
    <t>YELLOW = Hardcoded Input</t>
  </si>
  <si>
    <t>BLUE = Formula</t>
  </si>
  <si>
    <t>GREEN = Dashboard Output</t>
  </si>
  <si>
    <t>RED = Check / Warning</t>
  </si>
  <si>
    <t>Section</t>
  </si>
  <si>
    <t>Line Item</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</si>
  <si>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</si>
  <si>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</si>
  <si>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</si>
  <si>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</si>
  <si>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</si>
  <si>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</si>
  <si>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</si>
  <si>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</si>
  <si>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</si>
  <si>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</si>
  <si>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</si>
  <si>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</si>
  <si>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</si>
  <si>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</si>
  <si>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</si>
  <si>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</si>
  <si>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</si>
  <si>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</si>
  <si>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</si>
  <si>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</si>
  <si>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</si>
  <si>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</si>
  <si>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</si>
  <si>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</si>
  <si>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Notes / Formula Logic</t>
  </si>
  <si>
    <t>Check / Source</t>
  </si>
  <si>
    <t xml:space="preserve">  § 1  CONTROL &amp; TIMELINE</t>
  </si>
  <si>
    <t>Control</t>
  </si>
  <si>
    <t>Links from Assumptions tab Control Panel</t>
  </si>
  <si>
    <t>Timeline</t>
  </si>
  <si>
    <t>Month Number</t>
  </si>
  <si>
    <t>Calendar Month</t>
  </si>
  <si>
    <t>EDATE(Start_Date, MonthNum-1) — links to Assumptions Start Date</t>
  </si>
  <si>
    <t xml:space="preserve">  § 2  FREE USER FUNNEL</t>
  </si>
  <si>
    <t>Free Funnel</t>
  </si>
  <si>
    <t>Beginning Active Free Users</t>
  </si>
  <si>
    <t>M1: Starting Free Users × Activation Rate; M2+: Prior Ending Active Free Users</t>
  </si>
  <si>
    <t>New Free Users</t>
  </si>
  <si>
    <t>XLOOKUP "New Free Users M1" × (1+Growth Rate) each month</t>
  </si>
  <si>
    <t>New Activated Free Users</t>
  </si>
  <si>
    <t>Free-to-Starter Conversions</t>
  </si>
  <si>
    <t>Only ACTIVE free users convert to paid — not total free users</t>
  </si>
  <si>
    <t>Dormant Free Users</t>
  </si>
  <si>
    <t>Ending Active Free Users</t>
  </si>
  <si>
    <t>Beginning + New Activated - Free-to-Starter Conversions - Dormant</t>
  </si>
  <si>
    <t xml:space="preserve">  § 3  NEW LOGO ACQUISITION</t>
  </si>
  <si>
    <t>New Starter Logos – Direct/Self-Serve</t>
  </si>
  <si>
    <t>New Growth Logos – Direct</t>
  </si>
  <si>
    <t>New Enterprise Logos</t>
  </si>
  <si>
    <t>0 before Enterprise Motion Start Month; grows monthly after</t>
  </si>
  <si>
    <t>Free-to-Starter Conversions (from Free Funnel)</t>
  </si>
  <si>
    <t>Total New Paid Logos</t>
  </si>
  <si>
    <t>Starter + Growth + Enterprise + Free-to-Starter</t>
  </si>
  <si>
    <t xml:space="preserve">  § 4  STARTER CUSTOMER ROLL-FORWARD</t>
  </si>
  <si>
    <t>Starter Customers</t>
  </si>
  <si>
    <t>Beginning Starter Customers</t>
  </si>
  <si>
    <t>New Starter Logos</t>
  </si>
  <si>
    <t>Starter-to-Growth Upgrades</t>
  </si>
  <si>
    <t>Starter Churned Customers</t>
  </si>
  <si>
    <t>Ending Starter Customers</t>
  </si>
  <si>
    <t>Beginning + New + Free Conversions - Upgrades - Churn</t>
  </si>
  <si>
    <t xml:space="preserve">  § 5  GROWTH CUSTOMER ROLL-FORWARD</t>
  </si>
  <si>
    <t>Growth Customers</t>
  </si>
  <si>
    <t>Beginning Growth Customers</t>
  </si>
  <si>
    <t>New Growth Logos</t>
  </si>
  <si>
    <t>Upgrades from Starter</t>
  </si>
  <si>
    <t>Growth-to-Enterprise Upgrades</t>
  </si>
  <si>
    <t>Growth Churned Customers</t>
  </si>
  <si>
    <t>Ending Growth Customers</t>
  </si>
  <si>
    <t>Beginning + New + Starter Upgrades - Enterprise Upgrades - Churn</t>
  </si>
  <si>
    <t xml:space="preserve">  § 6  ENTERPRISE CUSTOMER ROLL-FORWARD</t>
  </si>
  <si>
    <t>Enterprise Customers</t>
  </si>
  <si>
    <t>Beginning Enterprise Customers</t>
  </si>
  <si>
    <t>Upgrades from Growth</t>
  </si>
  <si>
    <t>Enterprise Churned Customers</t>
  </si>
  <si>
    <t>Ending Enterprise Customers</t>
  </si>
  <si>
    <t xml:space="preserve">  § 7  TOTAL CUSTOMER SUMMARY</t>
  </si>
  <si>
    <t>Customer Summary</t>
  </si>
  <si>
    <t>Total Beginning Paid Customers</t>
  </si>
  <si>
    <t>Total New Paid Customers</t>
  </si>
  <si>
    <t>Total Churned Customers</t>
  </si>
  <si>
    <t>Total Ending Paid Customers</t>
  </si>
  <si>
    <t>Feeds Dashboard tab — key SaaS growth metric</t>
  </si>
  <si>
    <t>Logo Churn Rate</t>
  </si>
  <si>
    <t>Logo Churn = Churned / Beginning Paid. Target: Starter&lt;6%, Growth&lt;4%, Enterprise&lt;2% monthly</t>
  </si>
  <si>
    <t xml:space="preserve">  § 8  SUBSCRIPTION MRR BY PLAN</t>
  </si>
  <si>
    <t>Subscription MRR</t>
  </si>
  <si>
    <t>Starter MRR</t>
  </si>
  <si>
    <t>Growth MRR</t>
  </si>
  <si>
    <t>Enterprise MRR</t>
  </si>
  <si>
    <t>Gross Subscription MRR Before Contraction</t>
  </si>
  <si>
    <t>Contraction MRR</t>
  </si>
  <si>
    <t>Ending Subscription MRR</t>
  </si>
  <si>
    <t>Gross Subscription MRR - Contraction MRR. Recurring subscription only.</t>
  </si>
  <si>
    <t xml:space="preserve">  § 9  MRR BRIDGE (WHY DID MRR CHANGE?)</t>
  </si>
  <si>
    <t>MRR Bridge</t>
  </si>
  <si>
    <t>Beginning Subscription MRR</t>
  </si>
  <si>
    <t>New Logo MRR</t>
  </si>
  <si>
    <t>Free Conversion MRR</t>
  </si>
  <si>
    <t>Upgrade / Expansion MRR</t>
  </si>
  <si>
    <t>Churned MRR</t>
  </si>
  <si>
    <t>Ending Subscription MRR (Bridge)</t>
  </si>
  <si>
    <t>MRR Bridge Check (should = 0)</t>
  </si>
  <si>
    <t>MUST = 0. If not zero, check roll-forward logic.</t>
  </si>
  <si>
    <t xml:space="preserve">  § 10  AI USAGE REVENUE</t>
  </si>
  <si>
    <t>AI Usage Revenue Active?</t>
  </si>
  <si>
    <t>Total Eligible Paid Customers</t>
  </si>
  <si>
    <t>% Customers Exceeding Query Limit</t>
  </si>
  <si>
    <t>Ramp: 0 until AI Usage Start Month, then linear ramp to M24 target %</t>
  </si>
  <si>
    <t>Customers Exceeding Query Limit</t>
  </si>
  <si>
    <t>Avg Overage Queries per Exceeding Customer</t>
  </si>
  <si>
    <t>AI Overage Price per Query</t>
  </si>
  <si>
    <t>Exceeding Customers x Avg Overage Queries x Overage Price per Query</t>
  </si>
  <si>
    <t>AI Usage Revenue as % of Subscription MRR</t>
  </si>
  <si>
    <t xml:space="preserve">  § 11  IMPLEMENTATION REVENUE (Non-Recurring)</t>
  </si>
  <si>
    <t>Implementation Revenue</t>
  </si>
  <si>
    <t>Implementation Fee per Logo</t>
  </si>
  <si>
    <t>New Implementation Bookings</t>
  </si>
  <si>
    <t>Recognized Implementation Revenue</t>
  </si>
  <si>
    <t>Recognized over 3 months: (Current + Prior + 2-Months-Ago Bookings) / 3</t>
  </si>
  <si>
    <t>ARR Inclusion Check</t>
  </si>
  <si>
    <t>Check</t>
  </si>
  <si>
    <t xml:space="preserve">  § 12  TOTAL REVENUE SUMMARY  ★</t>
  </si>
  <si>
    <t>Revenue Summary</t>
  </si>
  <si>
    <t>Total Recurring MRR</t>
  </si>
  <si>
    <t>Implementation Revenue (Non-Recurring)</t>
  </si>
  <si>
    <t>Total Monthly Revenue</t>
  </si>
  <si>
    <t>ARR (Recurring Only)</t>
  </si>
  <si>
    <t>ARR = Total Recurring MRR × 12. Excludes implementation fees.</t>
  </si>
  <si>
    <t>KEY ARR METRIC</t>
  </si>
  <si>
    <t>Subscription ARR</t>
  </si>
  <si>
    <t>AI Usage ARR Run-Rate</t>
  </si>
  <si>
    <t>MRR Growth % (MoM)</t>
  </si>
  <si>
    <t xml:space="preserve">  § 13  REVENUE KPIs (DASHBOARD FEED)</t>
  </si>
  <si>
    <t>Revenue KPIs</t>
  </si>
  <si>
    <t>Total Paid Customers</t>
  </si>
  <si>
    <t>ARPU (Total Recurring)</t>
  </si>
  <si>
    <t>Subscription ARPU</t>
  </si>
  <si>
    <t>AI Usage % of Recurring MRR</t>
  </si>
  <si>
    <t>Enterprise Mix % of Subscription MRR</t>
  </si>
  <si>
    <t>Free-to-Paid Conversion Rate</t>
  </si>
  <si>
    <t>Net New MRR</t>
  </si>
  <si>
    <t xml:space="preserve">  § 14  ERROR CHECKS &amp; MODEL VALIDATION</t>
  </si>
  <si>
    <t>Checks</t>
  </si>
  <si>
    <t>Starter Roll-Forward Check (should = 0)</t>
  </si>
  <si>
    <t>Growth Roll-Forward Check (should = 0)</t>
  </si>
  <si>
    <t>Enterprise Roll-Forward Check (should = 0)</t>
  </si>
  <si>
    <t>ARR Excludes Implementation Revenue?</t>
  </si>
  <si>
    <t>Negative Ending Starter Customers?</t>
  </si>
  <si>
    <t>Warning</t>
  </si>
  <si>
    <t>Negative Ending Growth Customers?</t>
  </si>
  <si>
    <t>Negative Ending Enterprise Customers?</t>
  </si>
  <si>
    <t>AI Usage % Sanity Check</t>
  </si>
  <si>
    <t>Cumulative Contraction MRR</t>
  </si>
  <si>
    <t>§ 1  CONTROL &amp; TIMELINE</t>
  </si>
  <si>
    <t>§ 2  LINKED OPERATING DRIVERS</t>
  </si>
  <si>
    <t>Operating Drivers</t>
  </si>
  <si>
    <t>§ 3  HIRING GATE INPUTS</t>
  </si>
  <si>
    <t>CAC Payback Months (link from Unit Economics when ready)</t>
  </si>
  <si>
    <t>§ 4  ROLE-LEVEL FTE</t>
  </si>
  <si>
    <t>Role FTE</t>
  </si>
  <si>
    <t>Founder / CEO FTE</t>
  </si>
  <si>
    <t>Founder / CTO FTE</t>
  </si>
  <si>
    <t>Full-Stack Engineer #1 FTE</t>
  </si>
  <si>
    <t>Head of Growth / AE #1 FTE</t>
  </si>
  <si>
    <t>Marketing Manager FTE</t>
  </si>
  <si>
    <t>Full-Stack Engineer #2 FTE</t>
  </si>
  <si>
    <t>Customer Success #1 FTE</t>
  </si>
  <si>
    <t>Product Manager FTE</t>
  </si>
  <si>
    <t>Data Engineer FTE</t>
  </si>
  <si>
    <t>AE #2 FTE</t>
  </si>
  <si>
    <t>Customer Success #2 FTE</t>
  </si>
  <si>
    <t>AE #3 FTE</t>
  </si>
  <si>
    <t>CFO / Finance Hire FTE</t>
  </si>
  <si>
    <t>§ 5  DEPARTMENT FTE SUMMARY</t>
  </si>
  <si>
    <t>Department FTE</t>
  </si>
  <si>
    <t>R&amp;D FTE</t>
  </si>
  <si>
    <t>Sales &amp; Marketing FTE</t>
  </si>
  <si>
    <t>G&amp;A FTE</t>
  </si>
  <si>
    <t>COGS / Customer Success FTE</t>
  </si>
  <si>
    <t>Total Department FTE</t>
  </si>
  <si>
    <t>Total Role FTE</t>
  </si>
  <si>
    <t>§ 6  SALARY BY ROLE</t>
  </si>
  <si>
    <t>Total Salary Expense</t>
  </si>
  <si>
    <t>Benefits</t>
  </si>
  <si>
    <t>Benefits Load</t>
  </si>
  <si>
    <t>Tools</t>
  </si>
  <si>
    <t>Payroll</t>
  </si>
  <si>
    <t>Total Fully Loaded Payroll</t>
  </si>
  <si>
    <t>§ 7  FULLY LOADED PAYROLL BY DEPARTMENT</t>
  </si>
  <si>
    <t>Department Payroll</t>
  </si>
  <si>
    <t>R&amp;D Salary</t>
  </si>
  <si>
    <t>Sales &amp; Marketing Salary</t>
  </si>
  <si>
    <t>G&amp;A Salary</t>
  </si>
  <si>
    <t>CS Salary</t>
  </si>
  <si>
    <t>R&amp;D Fully Loaded Payroll</t>
  </si>
  <si>
    <t>Sales &amp; Marketing Fully Loaded Payroll</t>
  </si>
  <si>
    <t>G&amp;A Fully Loaded Payroll</t>
  </si>
  <si>
    <t>CS Fully Loaded Payroll</t>
  </si>
  <si>
    <t>Total Fully Loaded Payroll by Dept</t>
  </si>
  <si>
    <t>§ 8  SALES CAPACITY / AE RAMP</t>
  </si>
  <si>
    <t>Sales Capacity</t>
  </si>
  <si>
    <t>Active AE Count</t>
  </si>
  <si>
    <t>Effective AE Capacity</t>
  </si>
  <si>
    <t>Monthly New ARR Capacity</t>
  </si>
  <si>
    <t>Required New ARR from Revenue</t>
  </si>
  <si>
    <t>Sales Capacity Check</t>
  </si>
  <si>
    <t>§ 9  CHECKS</t>
  </si>
  <si>
    <t>Total FTE Cross-Check</t>
  </si>
  <si>
    <t>CS Classification Check</t>
  </si>
  <si>
    <t>AE Double Count Check</t>
  </si>
  <si>
    <t>§ 4  ROLE-LEVEL Start Months</t>
  </si>
  <si>
    <t>Role Level</t>
  </si>
  <si>
    <t>Formula</t>
  </si>
  <si>
    <t>AE Ramp Month</t>
  </si>
  <si>
    <t>AE Productivity %</t>
  </si>
  <si>
    <t>Assumptions</t>
  </si>
  <si>
    <t>Linked to Revenue Drivers timeline</t>
  </si>
  <si>
    <t>Revenue Drivers</t>
  </si>
  <si>
    <t>§ 2  REVENUE DRIVERS LINKED FROM REVENUE</t>
  </si>
  <si>
    <t>Linked from Revenue Drivers</t>
  </si>
  <si>
    <t>§ 3  AI COMPUTE COGS</t>
  </si>
  <si>
    <t>AI Compute</t>
  </si>
  <si>
    <t>AI API Cost %</t>
  </si>
  <si>
    <t>Linear ramp from M1 AI cost % to M24 AI cost %</t>
  </si>
  <si>
    <t>AI Compute COGS</t>
  </si>
  <si>
    <t>AI Usage Revenue × AI API Cost %</t>
  </si>
  <si>
    <t>§ 4  CLOUD HOSTING COGS</t>
  </si>
  <si>
    <t>Cloud Hosting</t>
  </si>
  <si>
    <t>Fixed Platform Cost</t>
  </si>
  <si>
    <t>Baseline platform cost before customer-level scaling</t>
  </si>
  <si>
    <t>Cloud Cost per Customer</t>
  </si>
  <si>
    <t>Variable cloud hosting cost per paid customer</t>
  </si>
  <si>
    <t>Variable Cloud Hosting Cost</t>
  </si>
  <si>
    <t>Total Paid Customers × Cloud Cost per Customer</t>
  </si>
  <si>
    <t>Total Cloud Hosting COGS</t>
  </si>
  <si>
    <t>Fixed platform cost + variable customer cloud cost</t>
  </si>
  <si>
    <t>§ 5  PAYMENT PROCESSING COGS</t>
  </si>
  <si>
    <t>Payment Processing</t>
  </si>
  <si>
    <t>Self-Serve Card Revenue</t>
  </si>
  <si>
    <t>Starter MRR + Growth MRR. Enterprise excluded because invoiced, not card-paid.</t>
  </si>
  <si>
    <t>Stripe/card processing fee assumption</t>
  </si>
  <si>
    <t>Payment Processing COGS</t>
  </si>
  <si>
    <t>Self-Serve Card Revenue × fee %</t>
  </si>
  <si>
    <t>§ 6  SUPPORT TOOL COGS</t>
  </si>
  <si>
    <t>Support Tools</t>
  </si>
  <si>
    <t>Customer support tooling per paid customer</t>
  </si>
  <si>
    <t>Support Tool COGS</t>
  </si>
  <si>
    <t>Total Paid Customers × Support Tool Cost per Customer</t>
  </si>
  <si>
    <t>§ 7  CUSTOMER SUCCESS PAYROLL COGS</t>
  </si>
  <si>
    <t>CS Payroll</t>
  </si>
  <si>
    <t>Linked from Headcount Plan</t>
  </si>
  <si>
    <t>Headcount Plan</t>
  </si>
  <si>
    <t>Only customer-facing CS payroll is classified in COGS</t>
  </si>
  <si>
    <t>§ 8  IMPLEMENTATION DELIVERY COGS</t>
  </si>
  <si>
    <t>Implementation</t>
  </si>
  <si>
    <t>Implementation Cost per Enterprise Logo</t>
  </si>
  <si>
    <t>Cost per enterprise onboarding / setup</t>
  </si>
  <si>
    <t>New Implementation Cost Bookings</t>
  </si>
  <si>
    <t>New Enterprise Logos × Cost per Logo</t>
  </si>
  <si>
    <t>Recognized Implementation COGS</t>
  </si>
  <si>
    <t>Recognized over same 3-month period as implementation revenue</t>
  </si>
  <si>
    <t>Implementation Gross Margin %</t>
  </si>
  <si>
    <t>Implementation revenue less recognized implementation COGS</t>
  </si>
  <si>
    <t>§ 9  TOTAL COGS SUMMARY</t>
  </si>
  <si>
    <t>COGS Summary</t>
  </si>
  <si>
    <t>Total COGS</t>
  </si>
  <si>
    <t>AI + cloud + payment + support + CS payroll + implementation COGS</t>
  </si>
  <si>
    <t>Recurring COGS</t>
  </si>
  <si>
    <t>Total COGS excluding implementation COGS</t>
  </si>
  <si>
    <t>§ 10  GROSS PROFIT &amp; GROSS MARGIN</t>
  </si>
  <si>
    <t>Gross Profit</t>
  </si>
  <si>
    <t>Gross Margin %</t>
  </si>
  <si>
    <t>Gross Profit ÷ Total Monthly Revenue</t>
  </si>
  <si>
    <t>Recurring Gross Margin %</t>
  </si>
  <si>
    <t>Recurring Gross Profit ÷ Total Recurring MRR</t>
  </si>
  <si>
    <t>§ 11  CHECKS</t>
  </si>
  <si>
    <t>Gross Margin M6 Check</t>
  </si>
  <si>
    <t>Gross Margin M24 Check</t>
  </si>
  <si>
    <t>Negative Gross Profit Check</t>
  </si>
  <si>
    <t>AI COGS Check</t>
  </si>
  <si>
    <t>CS Payroll Check</t>
  </si>
  <si>
    <t>Implementation Matching Check</t>
  </si>
  <si>
    <t>CS #1 Fully Loaded Cost</t>
  </si>
  <si>
    <t>CS #2 Fully Loaded Cost</t>
  </si>
  <si>
    <t>AI compute COGS</t>
  </si>
  <si>
    <t>Cloud Hosting COGS</t>
  </si>
  <si>
    <t>Customer Success Payroll COGS</t>
  </si>
  <si>
    <t>Implementation COGS</t>
  </si>
  <si>
    <t>Recurring Revenue</t>
  </si>
  <si>
    <t>Customer Success #1 ; Planned Start Month</t>
  </si>
  <si>
    <t>Customer Success #1 ; Trigger Month</t>
  </si>
  <si>
    <t>Customer Success #1 ; Actual Start Month</t>
  </si>
  <si>
    <t>Customer Success #2 ; Planned Start Month</t>
  </si>
  <si>
    <t>Customer Success #2 ; Trigger Start Month</t>
  </si>
  <si>
    <t>Customer Success #2 ; Actual Start Month</t>
  </si>
  <si>
    <t>Payroll Classification</t>
  </si>
  <si>
    <t>COGS Payroll</t>
  </si>
  <si>
    <t>R&amp;D OpEx Payroll</t>
  </si>
  <si>
    <t>Sales &amp; Marketing OpEx Payroll</t>
  </si>
  <si>
    <t>G&amp;A OpEx Payroll</t>
  </si>
  <si>
    <t>Total OpEx Payroll</t>
  </si>
  <si>
    <t>Total Payroll Classification</t>
  </si>
  <si>
    <t>Purpose: prove LTV, CAC, CAC payback, LTV:CAC, AE hiring gate, and Series A dilution.</t>
  </si>
  <si>
    <t>Value</t>
  </si>
  <si>
    <t>Model Rule</t>
  </si>
  <si>
    <t>§ 1 — Plan-Level Inputs, LTV, and Payback</t>
  </si>
  <si>
    <t>CAC</t>
  </si>
  <si>
    <t>Monthly Gross Profit</t>
  </si>
  <si>
    <t>CAC Payback</t>
  </si>
  <si>
    <t>§ 2 — Channel CAC Logic</t>
  </si>
  <si>
    <t>Channel</t>
  </si>
  <si>
    <t>§ 3 — Monthly Blended CAC, Payback, and AE #3 Hiring Gate</t>
  </si>
  <si>
    <t>New Starter Customers</t>
  </si>
  <si>
    <t>New Growth Customers</t>
  </si>
  <si>
    <t>New Enterprise / Scale Customers</t>
  </si>
  <si>
    <t>Total New Customers</t>
  </si>
  <si>
    <t>Starter CAC</t>
  </si>
  <si>
    <t>Growth CAC</t>
  </si>
  <si>
    <t>Enterprise / Scale CAC</t>
  </si>
  <si>
    <t>Blended CAC</t>
  </si>
  <si>
    <t>Total MRR</t>
  </si>
  <si>
    <t>Gross Profit / Paid Customer</t>
  </si>
  <si>
    <t>Blended CAC Payback</t>
  </si>
  <si>
    <t>Payback &lt; Target?</t>
  </si>
  <si>
    <t>3-Month Gate Passed?</t>
  </si>
  <si>
    <t>AE #3 Hiring Decision</t>
  </si>
  <si>
    <t>§ 4 — Series A Dilution Model</t>
  </si>
  <si>
    <t>ARR at Raise</t>
  </si>
  <si>
    <t>Pre-Money Valuation</t>
  </si>
  <si>
    <t>Post-Money Valuation</t>
  </si>
  <si>
    <t>Dilution %</t>
  </si>
  <si>
    <t>Start Conversations Signal</t>
  </si>
  <si>
    <t>Series A Ready Signal</t>
  </si>
  <si>
    <t>§ 5 — Model Integrity Checks</t>
  </si>
  <si>
    <t>Plan LTV populated</t>
  </si>
  <si>
    <t>Series A trigger split</t>
  </si>
  <si>
    <t>No zero-hidden errors</t>
  </si>
  <si>
    <t>Payback Check</t>
  </si>
  <si>
    <t>ARR Valuation Multiple</t>
  </si>
  <si>
    <t>Target Raise Amount</t>
  </si>
  <si>
    <t>LTV Denominator Check</t>
  </si>
  <si>
    <t>Blended CAC check</t>
  </si>
  <si>
    <t>Payback gate check</t>
  </si>
  <si>
    <t>AE #3 should only be hired when payback is below 12 months for 3 consecutive months</t>
  </si>
  <si>
    <t>Selected CAC</t>
  </si>
  <si>
    <t>Units</t>
  </si>
  <si>
    <t>Metrics</t>
  </si>
  <si>
    <t>§ 2  REVENUE SUMMARY</t>
  </si>
  <si>
    <t>§ 3  MRR BRIDGE SUMMARY</t>
  </si>
  <si>
    <t>MRR Bridge Check</t>
  </si>
  <si>
    <t>§ 4  COGS &amp; GROSS PROFIT</t>
  </si>
  <si>
    <t>AI API Costs</t>
  </si>
  <si>
    <t>Customer Success Payroll</t>
  </si>
  <si>
    <t>Implementation Costs</t>
  </si>
  <si>
    <t>§ 5  HEADCOUNT SUMMARY</t>
  </si>
  <si>
    <t>Engineering FTE</t>
  </si>
  <si>
    <t>GTM FTE</t>
  </si>
  <si>
    <t>Customer Success FTE</t>
  </si>
  <si>
    <t>Total FTE</t>
  </si>
  <si>
    <t>$/FTE</t>
  </si>
  <si>
    <t>§ 6  OPEX</t>
  </si>
  <si>
    <t>R&amp;D Payroll</t>
  </si>
  <si>
    <t>Sales &amp; Marketing Payroll</t>
  </si>
  <si>
    <t>G&amp;A Payroll</t>
  </si>
  <si>
    <t>Paid Marketing Spend</t>
  </si>
  <si>
    <t>Office / Co-working</t>
  </si>
  <si>
    <t>SaaS Tools</t>
  </si>
  <si>
    <t>Insurance</t>
  </si>
  <si>
    <t>Security / Compliance</t>
  </si>
  <si>
    <t>Sales Commissions</t>
  </si>
  <si>
    <t>Total OpEx</t>
  </si>
  <si>
    <t>§ 7  PROFITABILITY</t>
  </si>
  <si>
    <t>Profitability</t>
  </si>
  <si>
    <t>EBITDA</t>
  </si>
  <si>
    <t>EBITDA Margin %</t>
  </si>
  <si>
    <t>§ 8  CASH TIMING &amp; WORKING CAPITAL</t>
  </si>
  <si>
    <t>Cash Timing</t>
  </si>
  <si>
    <t>Cash Collections from Self-Serve</t>
  </si>
  <si>
    <t>Cash Collections from Enterprise</t>
  </si>
  <si>
    <t>Cash Collections from Implementation</t>
  </si>
  <si>
    <t>Total Cash Collections</t>
  </si>
  <si>
    <t>Working Capital</t>
  </si>
  <si>
    <t>Change in Accounts Receivable</t>
  </si>
  <si>
    <t>Cash Operating Expenses Paid</t>
  </si>
  <si>
    <t>Change in Accounts Payable</t>
  </si>
  <si>
    <t>Net Working Capital Adjustment</t>
  </si>
  <si>
    <t>§ 9  CASH FLOW &amp; RUNWAY</t>
  </si>
  <si>
    <t>Cash Flow</t>
  </si>
  <si>
    <t>Beginning Cash Balance</t>
  </si>
  <si>
    <t>Operating Cash Flow</t>
  </si>
  <si>
    <t>Net Cash Burn</t>
  </si>
  <si>
    <t>Equity Raise Proceeds</t>
  </si>
  <si>
    <t>Net Cash Flow</t>
  </si>
  <si>
    <t>Ending Cash Balance</t>
  </si>
  <si>
    <t>Runway Months</t>
  </si>
  <si>
    <t>§ 10  FUNDRAISING / RUNWAY SIGNALS</t>
  </si>
  <si>
    <t>Signals</t>
  </si>
  <si>
    <t>Runway Status</t>
  </si>
  <si>
    <t>Raise Now Signal</t>
  </si>
  <si>
    <t>§ 11  MODEL INTEGRITY CHECKS</t>
  </si>
  <si>
    <t>Revenue Link Check</t>
  </si>
  <si>
    <t>Gross Profit Check</t>
  </si>
  <si>
    <t>Cash Rollforward Check</t>
  </si>
  <si>
    <t>Equity Raise Timing Check</t>
  </si>
  <si>
    <t>Runway Calculation Check</t>
  </si>
  <si>
    <t>No Error Check</t>
  </si>
  <si>
    <t>Average Fully Loaded Cost / FTE / Month</t>
  </si>
  <si>
    <t>The company begins fundraising before the red runway period and closes the round once ARR crosses the credible Series A threshold.</t>
  </si>
  <si>
    <t>Purpose: compare Bear / Base / Bull outputs, identify breakpoints, and convert the model into raise / hire / delay / accelerate decisions.</t>
  </si>
  <si>
    <t>1. Scenario Control Panel</t>
  </si>
  <si>
    <t>Model Start Date</t>
  </si>
  <si>
    <t>2. Executive Scenario Comparison</t>
  </si>
  <si>
    <t>ARR at M24</t>
  </si>
  <si>
    <t>Ending Cash at M24</t>
  </si>
  <si>
    <t>Runway Remaining</t>
  </si>
  <si>
    <t>Gross Margin M24</t>
  </si>
  <si>
    <t>CAC Payback M24</t>
  </si>
  <si>
    <t>Series A Needed By</t>
  </si>
  <si>
    <t>Quarter</t>
  </si>
  <si>
    <t>3. Monthly Scenario Output &amp; Breakpoint Engine</t>
  </si>
  <si>
    <t>MRR</t>
  </si>
  <si>
    <t>Ending Cash</t>
  </si>
  <si>
    <t>Monthly Net Burn</t>
  </si>
  <si>
    <t>Fundraising Flag</t>
  </si>
  <si>
    <t>Hiring Gate Flag</t>
  </si>
  <si>
    <t>4. Breakpoint Summary — First Month Each Rule Fires</t>
  </si>
  <si>
    <t>Breakpoint</t>
  </si>
  <si>
    <t>Rule / Threshold</t>
  </si>
  <si>
    <t>Bear Month</t>
  </si>
  <si>
    <t>Base Month</t>
  </si>
  <si>
    <t>Bull Month</t>
  </si>
  <si>
    <t>Severity</t>
  </si>
  <si>
    <t>Action</t>
  </si>
  <si>
    <t>Runway Red</t>
  </si>
  <si>
    <t>&lt; 6 months</t>
  </si>
  <si>
    <t>High</t>
  </si>
  <si>
    <t>Raise Now</t>
  </si>
  <si>
    <t>Cash crisis overrides all other decisions</t>
  </si>
  <si>
    <t>Runway Amber</t>
  </si>
  <si>
    <t>6–12 months</t>
  </si>
  <si>
    <t>Medium</t>
  </si>
  <si>
    <t>Start Conversations</t>
  </si>
  <si>
    <t>Begin investor outreach while leverage remains</t>
  </si>
  <si>
    <t>Cash Negative</t>
  </si>
  <si>
    <t>Ending cash &lt; 0</t>
  </si>
  <si>
    <t>Emergency financing</t>
  </si>
  <si>
    <t>Should ideally never happen</t>
  </si>
  <si>
    <t>CAC Payback Break</t>
  </si>
  <si>
    <t>&gt; 12 months for 3 months</t>
  </si>
  <si>
    <t>Delay AE Hire</t>
  </si>
  <si>
    <t>Protect runway from inefficient GTM spend</t>
  </si>
  <si>
    <t>ARR Milestone</t>
  </si>
  <si>
    <t>&gt; $1M ARR</t>
  </si>
  <si>
    <t>Series A Ready</t>
  </si>
  <si>
    <t>Investor readiness signal, not guarantee</t>
  </si>
  <si>
    <t>Accelerate GTM</t>
  </si>
  <si>
    <t>Expansion is covering churn</t>
  </si>
  <si>
    <t>5. Scenario Driver Bridge</t>
  </si>
  <si>
    <t>Monthly New Logo Growth</t>
  </si>
  <si>
    <t>Primary ARR growth lever</t>
  </si>
  <si>
    <t>Paid Marketing Multiplier</t>
  </si>
  <si>
    <t>Controls GTM spend efficiency</t>
  </si>
  <si>
    <t>AE #2 Start Month</t>
  </si>
  <si>
    <t>Controls sales capacity timing</t>
  </si>
  <si>
    <t>Enterprise Logo Growth</t>
  </si>
  <si>
    <t>logos/mo</t>
  </si>
  <si>
    <t>High-ARPU growth driver</t>
  </si>
  <si>
    <t>AI Usage Revenue Onset</t>
  </si>
  <si>
    <t>Usage monetization upside timing</t>
  </si>
  <si>
    <t>Annual Billing Mix</t>
  </si>
  <si>
    <t>Improves cash runway via prepay</t>
  </si>
  <si>
    <t>AI Compute Cost</t>
  </si>
  <si>
    <t>% of AI rev</t>
  </si>
  <si>
    <t>Gross margin risk in AI SaaS</t>
  </si>
  <si>
    <t>6. Decision Rules / Trigger Priority Hierarchy</t>
  </si>
  <si>
    <t>Priority</t>
  </si>
  <si>
    <t>Trigger</t>
  </si>
  <si>
    <t>Flag Output</t>
  </si>
  <si>
    <t>Owner</t>
  </si>
  <si>
    <t>Source Tab</t>
  </si>
  <si>
    <t>Cash Crisis</t>
  </si>
  <si>
    <t>Runway &lt; 6 months</t>
  </si>
  <si>
    <t>RAISE NOW</t>
  </si>
  <si>
    <t>Start fundraise immediately</t>
  </si>
  <si>
    <t>CEO/CFO</t>
  </si>
  <si>
    <t>P&amp;L / Cash</t>
  </si>
  <si>
    <t>Highest priority; overrides hiring acceleration</t>
  </si>
  <si>
    <t>Fundraising Readiness</t>
  </si>
  <si>
    <t>ARR &gt; $1M and runway &lt; 12</t>
  </si>
  <si>
    <t>Prepare materials and outreach</t>
  </si>
  <si>
    <t>Revenue / Cash</t>
  </si>
  <si>
    <t>Balances traction and cash runway</t>
  </si>
  <si>
    <t>GTM Inefficiency</t>
  </si>
  <si>
    <t>CAC payback &gt; 12 for 3 months</t>
  </si>
  <si>
    <t>DELAY AE HIRE</t>
  </si>
  <si>
    <t>Block incremental sales hiring</t>
  </si>
  <si>
    <t>CEO/Growth</t>
  </si>
  <si>
    <t>Prevents buying inefficient growth</t>
  </si>
  <si>
    <t>Growth Acceleration</t>
  </si>
  <si>
    <t>ACCELERATE GTM</t>
  </si>
  <si>
    <t>Increase hiring/spend selectively</t>
  </si>
  <si>
    <t>Only after efficiency is proven</t>
  </si>
  <si>
    <t>Default</t>
  </si>
  <si>
    <t>No critical trigger active</t>
  </si>
  <si>
    <t>STAY COURSE</t>
  </si>
  <si>
    <t>Continue current plan</t>
  </si>
  <si>
    <t>Leadership</t>
  </si>
  <si>
    <t>Normal operating cadence</t>
  </si>
  <si>
    <t>7. Hiring Gate &amp; Cost of Delay</t>
  </si>
  <si>
    <t>Hire</t>
  </si>
  <si>
    <t>Gate Type</t>
  </si>
  <si>
    <t>Planned Start</t>
  </si>
  <si>
    <t>Hard Gate</t>
  </si>
  <si>
    <t>Soft Gate</t>
  </si>
  <si>
    <t>Cost of Delay Logic</t>
  </si>
  <si>
    <t>Final Decision</t>
  </si>
  <si>
    <t>AE #2</t>
  </si>
  <si>
    <t>Soft gate</t>
  </si>
  <si>
    <t>Scenario &gt;= Base</t>
  </si>
  <si>
    <t>Runway &gt; 12 months</t>
  </si>
  <si>
    <t>AE monthly quota ARR × ramp productivity × delay months</t>
  </si>
  <si>
    <t>Avoids un-gated sales expansion</t>
  </si>
  <si>
    <t>AE #3</t>
  </si>
  <si>
    <t>Hard gate</t>
  </si>
  <si>
    <t>CAC payback &lt; 12 for 3 consecutive months</t>
  </si>
  <si>
    <t>Core discipline gate</t>
  </si>
  <si>
    <t>CS #1</t>
  </si>
  <si>
    <t>Operational gate</t>
  </si>
  <si>
    <t>Customer count exceeds CS capacity</t>
  </si>
  <si>
    <t>Potential churn impact × ARR at risk</t>
  </si>
  <si>
    <t>COO/CS</t>
  </si>
  <si>
    <t>Hire to protect retention</t>
  </si>
  <si>
    <t>CS #2</t>
  </si>
  <si>
    <t>Customer count exceeds 2× CS capacity</t>
  </si>
  <si>
    <t>Support load rising</t>
  </si>
  <si>
    <t>Scale support with customer base</t>
  </si>
  <si>
    <t>CFO / Finance Hire</t>
  </si>
  <si>
    <t>Fundraise gate</t>
  </si>
  <si>
    <t>ARR &gt; $1M or Series A process active</t>
  </si>
  <si>
    <t>Board reporting burden</t>
  </si>
  <si>
    <t>Fundraise readiness delay cost</t>
  </si>
  <si>
    <t>CEO</t>
  </si>
  <si>
    <t>Important for diligence and investor reporting</t>
  </si>
  <si>
    <t>8. Final Recommendation Memo Blocks</t>
  </si>
  <si>
    <t>Bear Case Recommendation</t>
  </si>
  <si>
    <t>Base Case Recommendation</t>
  </si>
  <si>
    <t>Bull Case Recommendation</t>
  </si>
  <si>
    <t>Bull-Bear</t>
  </si>
  <si>
    <t>Final Decisions</t>
  </si>
  <si>
    <t>Not Ready</t>
  </si>
  <si>
    <t>Logo Churn rate %</t>
  </si>
  <si>
    <t>Growth Efficiency</t>
  </si>
  <si>
    <t>MRR growing, CAC &lt; 12, Runway &gt; 12</t>
  </si>
  <si>
    <t>Not Triggered</t>
  </si>
  <si>
    <t>Impacts ARR, and LTV</t>
  </si>
  <si>
    <t>MRR growing, CAC payback &lt; 12, runway &gt; 12</t>
  </si>
  <si>
    <t>START SERIES A PREP.</t>
  </si>
  <si>
    <t>Retention / support risk</t>
  </si>
  <si>
    <t>1. Budget vs Actual Control Panel</t>
  </si>
  <si>
    <t>Field</t>
  </si>
  <si>
    <t>Instructions: Paste locked budget values from the approved scenario into the Budget rows. Enter actual results manually in yellow cells each month. Use the variance rows later for formulas when you are ready to calculate BvA. Keep this sheet as the operating review bridge between the model and real results.</t>
  </si>
  <si>
    <t>Budget Scenario</t>
  </si>
  <si>
    <t>Original approved plan / locked budget version</t>
  </si>
  <si>
    <t>Budget Lock Date</t>
  </si>
  <si>
    <t>Date budget was finalized</t>
  </si>
  <si>
    <t>Actuals Through</t>
  </si>
  <si>
    <t>Latest completed month with actual results</t>
  </si>
  <si>
    <t>Reporting Month</t>
  </si>
  <si>
    <t>Month being reviewed</t>
  </si>
  <si>
    <t>Variance Threshold</t>
  </si>
  <si>
    <t>Used for review flags</t>
  </si>
  <si>
    <t>Current Forecast Scenario</t>
  </si>
  <si>
    <t>Optional: current operating scenario</t>
  </si>
  <si>
    <t>2. Executive Budget vs Actual Summary</t>
  </si>
  <si>
    <t>Budget</t>
  </si>
  <si>
    <t>Actual</t>
  </si>
  <si>
    <t>Variance $</t>
  </si>
  <si>
    <t>Variance %</t>
  </si>
  <si>
    <t>Status</t>
  </si>
  <si>
    <t>Primary Driver</t>
  </si>
  <si>
    <t>Management Action</t>
  </si>
  <si>
    <t>Logo Churn Rate %</t>
  </si>
  <si>
    <t>3. Actual Input Section — Manual Entry Only</t>
  </si>
  <si>
    <t>4. Monthly Budget vs Actual Engine</t>
  </si>
  <si>
    <t>Line Type</t>
  </si>
  <si>
    <t>5. Variance Commentary / Root Cause Analysis</t>
  </si>
  <si>
    <t>Variance Type</t>
  </si>
  <si>
    <t>Direction</t>
  </si>
  <si>
    <t>Root Cause</t>
  </si>
  <si>
    <t>6. Reforecast Decision Log</t>
  </si>
  <si>
    <t>Decision Date</t>
  </si>
  <si>
    <t>Metric Impacted</t>
  </si>
  <si>
    <t>Budget View</t>
  </si>
  <si>
    <t>Actual View</t>
  </si>
  <si>
    <t>Decision</t>
  </si>
  <si>
    <t>Next Review</t>
  </si>
  <si>
    <t>Variance &gt; Threshold</t>
  </si>
  <si>
    <t>Cash Runway Change</t>
  </si>
  <si>
    <t>Hiring Gate Breach</t>
  </si>
  <si>
    <t>Forecast Scenario Change</t>
  </si>
  <si>
    <t>Management Override</t>
  </si>
  <si>
    <t>No Reforecast</t>
  </si>
  <si>
    <t>Reforecast Required</t>
  </si>
  <si>
    <t>Delay Hiring</t>
  </si>
  <si>
    <t>Cut Spend</t>
  </si>
  <si>
    <t>Pull Forward Raise</t>
  </si>
  <si>
    <t>Switch Scenario</t>
  </si>
  <si>
    <t>Monitor</t>
  </si>
  <si>
    <t>Current ARR and MoM movement</t>
  </si>
  <si>
    <t>MRR Growth</t>
  </si>
  <si>
    <t>Net new MRR movement</t>
  </si>
  <si>
    <t>Monthly Burn</t>
  </si>
  <si>
    <t>Net cash outflow per month</t>
  </si>
  <si>
    <t>Cash balance and runway months</t>
  </si>
  <si>
    <t>Revenue less COGS efficiency</t>
  </si>
  <si>
    <t>Blended payback in months</t>
  </si>
  <si>
    <t>Headcount by Dept</t>
  </si>
  <si>
    <t>Team composition by function</t>
  </si>
  <si>
    <t>Traffic-light financing signal</t>
  </si>
  <si>
    <t>Cash balance by scenario with financing threshold overlay</t>
  </si>
  <si>
    <t>Monthly bridge: new logo MRR + expansion MRR less churn</t>
  </si>
  <si>
    <t>CAC Payback Trend</t>
  </si>
  <si>
    <t>Blended CAC payback improving against hiring-gate threshold</t>
  </si>
  <si>
    <t>Gross Margin Expansion</t>
  </si>
  <si>
    <t>Gross margin path showing AI cost leverage and optimization</t>
  </si>
  <si>
    <t>Churn</t>
  </si>
  <si>
    <t>Contraction</t>
  </si>
  <si>
    <t>Net MRR Movement</t>
  </si>
  <si>
    <t>6-Month Cash Threshold</t>
  </si>
  <si>
    <t>Target</t>
  </si>
  <si>
    <t>M24 Target</t>
  </si>
  <si>
    <t>ARR Movement Bridge</t>
  </si>
  <si>
    <t>Financing assumed in Month 23</t>
  </si>
  <si>
    <t>LaunchPlan AI: Revenue Model</t>
  </si>
  <si>
    <t>Content</t>
  </si>
  <si>
    <t>Model Name</t>
  </si>
  <si>
    <t>Purpose</t>
  </si>
  <si>
    <t>This model helps founders evaluate ARR growth, burn, runway, hiring capacity, unit economics, and fundraising timing.</t>
  </si>
  <si>
    <t>Business Type</t>
  </si>
  <si>
    <t>AI SaaS startup</t>
  </si>
  <si>
    <t>Forecast Period</t>
  </si>
  <si>
    <t>24 months</t>
  </si>
  <si>
    <t>Bear, Base, and Bull cases are driven from the Assumptions tab.</t>
  </si>
  <si>
    <t>Key Outputs</t>
  </si>
  <si>
    <t>ARR, MRR growth, Gross Margin, CAC Payback, Monthly Burn, Runway, Headcount, and Fundraising Trigger</t>
  </si>
  <si>
    <t>Main Decision Questions</t>
  </si>
  <si>
    <t>When should the company hire? When should it preserve cash? When should it begin fundraising?</t>
  </si>
  <si>
    <t>How to Use</t>
  </si>
  <si>
    <t>Change assumptions only in the Assumptions tab. Review outputs in Scenarios, Budget vs Actual, and Dashboard.</t>
  </si>
  <si>
    <t>Dashboard Purpose</t>
  </si>
  <si>
    <t>The dashboard summarizes the full operating story in one screen for founder-level decision-making.</t>
  </si>
  <si>
    <t>LaunchPlan AI: 24-Month SaaS Operating Model</t>
  </si>
  <si>
    <t>LaunchPlan AI: 24-Month SaaS Operating Model
This workbook is a founder-facing startup finance model built for an early-stage AI SaaS company. The model connects assumptions, revenue growth, churn, headcount planning, COGS, gross margin, unit economics, P&amp;L, cash runway, scenario analysis, budget vs actual tracking, and an executive dashboard.
The purpose of the model is not only to forecast financial performance, but to support operating decisions. It helps answer whether the company can afford its hiring plan, whether CAC payback supports GTM expansion, whether gross margin improves toward target, and when fundraising should begin based on runway and burn.
The model is structured around a 24-month forecast period with Bear, Base, and Bull case logic. Inputs are managed in the Assumptions tab, while outputs are summarized through Scenarios, Budget vs Actual, and the Dashboard.
Key dashboard outputs include ARR, MRR growth, monthly burn, cash runway, gross margin, CAC payback, headcount, and fundraising trigger status.</t>
  </si>
  <si>
    <t>LaunchPlan AI: Headcount Plan</t>
  </si>
  <si>
    <t>Note: Actual results are not yet available; this section is prepared as a budget vs actual framework for future monthly variance tracking.</t>
  </si>
  <si>
    <t>LaunchPlan AI: COGS &amp; Gross Margin</t>
  </si>
  <si>
    <t>LaunchPlan AI: Unit Economics</t>
  </si>
  <si>
    <t>LaunchPlan AI: P&amp;L + Cash</t>
  </si>
  <si>
    <t>LaunchPlan AI: Scenarios Decision Sheet Template</t>
  </si>
  <si>
    <t>LaunchPlan AI: Budget vs Actual Template</t>
  </si>
  <si>
    <t>Runway Burn-down</t>
  </si>
  <si>
    <r>
      <rPr>
        <b/>
        <sz val="12"/>
        <color rgb="FF002060"/>
        <rFont val="Arial"/>
        <family val="2"/>
      </rPr>
      <t>Founder Recommendation:</t>
    </r>
    <r>
      <rPr>
        <sz val="12"/>
        <color theme="1"/>
        <rFont val="Arial"/>
        <family val="2"/>
      </rPr>
      <t xml:space="preserve">
Base case supports disciplined GTM and product investment. CAC payback remains inside the hiring gate, gross margin trends toward the target, and runway remains manageable after planned financing. Management should continue hiring selectively, monitor burn and churn closely, and begin fundraising preparation before runway falls below the threshold.</t>
    </r>
  </si>
  <si>
    <t>COGS / Customer Success</t>
  </si>
  <si>
    <t>LaunchPlanAI Operating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</si>
</sst>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409]mmm\-yy;@"/>
    <numFmt numFmtId="165" formatCode="_(* #,##0_);_(* \(#,##0\);_(* &quot;-&quot;??_);_(@_)"/>
    <numFmt numFmtId="166" formatCode="0.0%"/>
    <numFmt numFmtId="167" formatCode="0.0&quot;x&quot;"/>
    <numFmt numFmtId="168" formatCode="&quot;+&quot;0.0%"/>
    <numFmt numFmtId="169" formatCode="#,##0;\(#,##0\);\-"/>
    <numFmt numFmtId="170" formatCode="0.0%;\(0.0%\);\-"/>
    <numFmt numFmtId="171" formatCode="\$#,##0;&quot;($&quot;#,##0\);\-"/>
    <numFmt numFmtId="172" formatCode="#,##0;[Red]\(#,##0\);\-"/>
    <numFmt numFmtId="173" formatCode="\$#,##0;[Red]\(\$#,##0\);\-"/>
    <numFmt numFmtId="174" formatCode="0.0%;[Red]\(0.0%\);\-"/>
    <numFmt numFmtId="175" formatCode="&quot;$&quot;#,##0;\(&quot;$&quot;#,##0\)\:\-"/>
    <numFmt numFmtId="176" formatCode="\$#,##0.0;[Red]\(\$#,##0.0\);\-"/>
    <numFmt numFmtId="177" formatCode="#,##0.0;[Red]\(#,##0.0\);\-"/>
    <numFmt numFmtId="178" formatCode="0.0\x;[Red]\(0.0\x\);\-"/>
    <numFmt numFmtId="179" formatCode="0.000%;[Red]\(0.000%\);\-"/>
    <numFmt numFmtId="180" formatCode="0.0000%;[Red]\(0.0000%\);\-"/>
    <numFmt numFmtId="181" formatCode="0&quot;x&quot;"/>
    <numFmt numFmtId="182" formatCode="0;[Red]\(0\);\-"/>
    <numFmt numFmtId="183" formatCode="0.0%\ &quot;MoM&quot;"/>
    <numFmt numFmtId="184" formatCode="&quot;$&quot;0.00&quot;M&quot;"/>
    <numFmt numFmtId="185" formatCode="\+&quot;$&quot;0.0,&quot;K&quot;;\-&quot;$&quot;0.0,&quot;K&quot;;&quot;$&quot;0.0,&quot;K&quot;"/>
    <numFmt numFmtId="186" formatCode="&quot;$&quot;0.0,&quot;K&quot;;\-&quot;$&quot;0.0,&quot;K&quot;"/>
    <numFmt numFmtId="187" formatCode="&quot;$&quot;0.0,,&quot;M&quot;"/>
    <numFmt numFmtId="188" formatCode="0.0\ &quot;mo runway&quot;"/>
    <numFmt numFmtId="189" formatCode="0.0\ &quot;mo&quot;"/>
    <numFmt numFmtId="190" formatCode="0.0\ &quot;FTE&quot;"/>
  </numFmts>
  <fonts count="64">
    <font>
      <sz val="11"/>
      <color theme="1"/>
      <name val="Calibri"/>
      <family val="2"/>
      <scheme val="minor"/>
    </font>
    <font>
      <sz val="11"/>
      <color theme="1"/>
      <name val="Calibri"/>
      <family val="2"/>
      <scheme val="minor"/>
    </font>
    <font>
      <b/>
      <sz val="14"/>
      <color rgb="FFFFD700"/>
      <name val="Arial"/>
      <family val="2"/>
    </font>
    <font>
      <sz val="11"/>
      <color theme="1"/>
      <name val="Arial"/>
      <family val="2"/>
    </font>
    <font>
      <b/>
      <sz val="10"/>
      <color rgb="FFFFFFFF"/>
      <name val="Arial"/>
      <family val="2"/>
    </font>
    <font>
      <b/>
      <sz val="10"/>
      <color rgb="FF1A1A2E"/>
      <name val="Arial"/>
      <family val="2"/>
    </font>
    <font>
      <sz val="10"/>
      <color theme="1"/>
      <name val="Arial"/>
      <family val="2"/>
    </font>
    <font>
      <b/>
      <sz val="10"/>
      <color rgb="FF1B3A5C"/>
      <name val="Arial"/>
      <family val="2"/>
    </font>
    <font>
      <sz val="10"/>
      <color rgb="FF1A1A2E"/>
      <name val="Arial"/>
      <family val="2"/>
    </font>
    <font>
      <sz val="10"/>
      <color rgb="FF7B3F00"/>
      <name val="Arial"/>
      <family val="2"/>
    </font>
    <font>
      <i/>
      <sz val="10"/>
      <color rgb="FF1A1A2E"/>
      <name val="Arial"/>
      <family val="2"/>
    </font>
    <font>
      <b/>
      <sz val="10"/>
      <color rgb="FF1A5C1A"/>
      <name val="Arial"/>
      <family val="2"/>
    </font>
    <font>
      <b/>
      <sz val="10"/>
      <color rgb="FFFFD700"/>
      <name val="Arial"/>
      <family val="2"/>
    </font>
    <font>
      <b/>
      <sz val="10"/>
      <color theme="0"/>
      <name val="Arial"/>
      <family val="2"/>
    </font>
    <font>
      <sz val="10"/>
      <color theme="0"/>
      <name val="Arial"/>
      <family val="2"/>
    </font>
    <font>
      <i/>
      <sz val="10"/>
      <color theme="0"/>
      <name val="Arial"/>
      <family val="2"/>
    </font>
    <font>
      <b/>
      <sz val="14"/>
      <color rgb="FF1F3864"/>
      <name val="Arial"/>
      <family val="2"/>
    </font>
    <font>
      <b/>
      <sz val="9"/>
      <name val="Arial"/>
      <family val="2"/>
    </font>
    <font>
      <b/>
      <sz val="9"/>
      <color rgb="FF00703C"/>
      <name val="Arial"/>
      <family val="2"/>
    </font>
    <font>
      <b/>
      <sz val="9"/>
      <color theme="0"/>
      <name val="Arial"/>
      <family val="2"/>
    </font>
    <font>
      <b/>
      <sz val="14"/>
      <color rgb="FFFFFFFF"/>
      <name val="Carlito"/>
    </font>
    <font>
      <b/>
      <sz val="9"/>
      <color rgb="FFFFFFFF"/>
      <name val="Carlito"/>
    </font>
    <font>
      <sz val="9"/>
      <name val="Carlito"/>
    </font>
    <font>
      <sz val="9"/>
      <color theme="1"/>
      <name val="Arial"/>
      <family val="2"/>
    </font>
    <font>
      <sz val="9"/>
      <color rgb="FF000000"/>
      <name val="Carlito"/>
    </font>
    <font>
      <sz val="11"/>
      <color rgb="FF000000"/>
      <name val="Carlito"/>
    </font>
    <font>
      <b/>
      <sz val="11"/>
      <color rgb="FFFFFFFF"/>
      <name val="Carlito"/>
    </font>
    <font>
      <i/>
      <sz val="11"/>
      <color theme="1"/>
      <name val="Calibri"/>
      <family val="2"/>
      <scheme val="minor"/>
    </font>
    <font>
      <sz val="10"/>
      <color rgb="FF4F4F4F"/>
      <name val="Carlito"/>
    </font>
    <font>
      <sz val="11"/>
      <color theme="0"/>
      <name val="Calibri"/>
      <family val="2"/>
      <scheme val="minor"/>
    </font>
    <font>
      <b/>
      <sz val="11"/>
      <color theme="1"/>
      <name val="Calibri"/>
      <family val="2"/>
      <scheme val="minor"/>
    </font>
    <font>
      <b/>
      <sz val="18"/>
      <color theme="0"/>
      <name val="Calibri"/>
      <family val="2"/>
      <scheme val="minor"/>
    </font>
    <font>
      <b/>
      <sz val="18"/>
      <color theme="1"/>
      <name val="Calibri"/>
      <family val="2"/>
      <scheme val="minor"/>
    </font>
    <font>
      <sz val="10"/>
      <name val="Arial"/>
      <family val="2"/>
    </font>
    <font>
      <b/>
      <sz val="10"/>
      <color rgb="FF7B3F00"/>
      <name val="Arial"/>
      <family val="2"/>
    </font>
    <font>
      <b/>
      <sz val="10"/>
      <color rgb="FF00B050"/>
      <name val="Arial"/>
      <family val="2"/>
    </font>
    <font>
      <b/>
      <sz val="10"/>
      <name val="Arial"/>
      <family val="2"/>
    </font>
    <font>
      <b/>
      <sz val="10"/>
      <color rgb="FF00703C"/>
      <name val="Arial"/>
      <family val="2"/>
    </font>
    <font>
      <sz val="10"/>
      <color rgb="FF00703C"/>
      <name val="Arial"/>
      <family val="2"/>
    </font>
    <font>
      <b/>
      <sz val="10"/>
      <color rgb="FFFF0000"/>
      <name val="Arial"/>
      <family val="2"/>
    </font>
    <font>
      <sz val="10"/>
      <color rgb="FFFF0000"/>
      <name val="Arial"/>
      <family val="2"/>
    </font>
    <font>
      <sz val="10"/>
      <color rgb="FF0000FF"/>
      <name val="Arial"/>
      <family val="2"/>
    </font>
    <font>
      <sz val="10"/>
      <color rgb="FF000000"/>
      <name val="Arial"/>
      <family val="2"/>
    </font>
    <font>
      <sz val="11"/>
      <color rgb="FF000000"/>
      <name val="Arial"/>
      <family val="2"/>
    </font>
    <font>
      <b/>
      <sz val="10"/>
      <color rgb="FF000000"/>
      <name val="Arial"/>
      <family val="2"/>
    </font>
    <font>
      <i/>
      <sz val="10"/>
      <color rgb="FF00703C"/>
      <name val="Arial"/>
      <family val="2"/>
    </font>
    <font>
      <sz val="10"/>
      <color rgb="FF008000"/>
      <name val="Arial"/>
      <family val="2"/>
    </font>
    <font>
      <i/>
      <sz val="10"/>
      <color theme="1"/>
      <name val="Arial"/>
      <family val="2"/>
    </font>
    <font>
      <sz val="10"/>
      <color rgb="FF4F4F4F"/>
      <name val="Arial"/>
      <family val="2"/>
    </font>
    <font>
      <b/>
      <sz val="10"/>
      <color rgb="FF4F4F4F"/>
      <name val="Arial"/>
      <family val="2"/>
    </font>
    <font>
      <b/>
      <sz val="10"/>
      <color rgb="FFC00000"/>
      <name val="Arial"/>
      <family val="2"/>
    </font>
    <font>
      <sz val="10"/>
      <color rgb="FF404040"/>
      <name val="Arial"/>
      <family val="2"/>
    </font>
    <font>
      <i/>
      <sz val="10"/>
      <name val="Arial"/>
      <family val="2"/>
    </font>
    <font>
      <b/>
      <sz val="30"/>
      <color theme="0"/>
      <name val="Arial"/>
      <family val="2"/>
    </font>
    <font>
      <b/>
      <sz val="18"/>
      <color theme="0"/>
      <name val="Arial"/>
      <family val="2"/>
    </font>
    <font>
      <b/>
      <sz val="18"/>
      <color theme="1"/>
      <name val="Arial"/>
      <family val="2"/>
    </font>
    <font>
      <b/>
      <sz val="20"/>
      <color theme="1"/>
      <name val="Arial"/>
      <family val="2"/>
    </font>
    <font>
      <b/>
      <sz val="20"/>
      <color theme="0"/>
      <name val="Arial"/>
      <family val="2"/>
    </font>
    <font>
      <sz val="14"/>
      <color theme="1"/>
      <name val="Arial"/>
      <family val="2"/>
    </font>
    <font>
      <b/>
      <sz val="16"/>
      <color theme="1"/>
      <name val="Arial"/>
      <family val="2"/>
    </font>
    <font>
      <sz val="12"/>
      <color theme="1"/>
      <name val="Arial"/>
      <family val="2"/>
    </font>
    <font>
      <i/>
      <sz val="12"/>
      <color theme="1"/>
      <name val="Arial"/>
      <family val="2"/>
    </font>
    <font>
      <b/>
      <sz val="12"/>
      <color rgb="FF002060"/>
      <name val="Arial"/>
      <family val="2"/>
    </font>
    <font>
      <sz val="12"/>
      <color rgb="FF00703C"/>
      <name val="Arial"/>
      <family val="2"/>
    </font>
  </fonts>
  <fills count="42">
    <fill>
      <patternFill patternType="none"/>
    </fill>
    <fill>
      <patternFill patternType="gray125"/>
    </fill>
    <fill>
      <patternFill patternType="solid">
        <fgColor rgb="FF0D1B2A"/>
      </patternFill>
    </fill>
    <fill>
      <patternFill patternType="solid">
        <fgColor rgb="FF1B3A5C"/>
      </patternFill>
    </fill>
    <fill>
      <patternFill patternType="solid">
        <fgColor rgb="FFFFFFFF"/>
      </patternFill>
    </fill>
    <fill>
      <patternFill patternType="solid">
        <fgColor rgb="FF92D050"/>
        <bgColor indexed="64"/>
      </patternFill>
    </fill>
    <fill>
      <patternFill patternType="solid">
        <fgColor rgb="FF003399"/>
        <bgColor indexed="64"/>
      </patternFill>
    </fill>
    <fill>
      <patternFill patternType="solid">
        <fgColor theme="7" tint="0.39997558519241921"/>
        <bgColor indexed="64"/>
      </patternFill>
    </fill>
    <fill>
      <patternFill patternType="solid">
        <fgColor rgb="FF993300"/>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C6EFCE"/>
        <bgColor rgb="FFDDEEFF"/>
      </patternFill>
    </fill>
    <fill>
      <patternFill patternType="solid">
        <fgColor rgb="FFFFC7CE"/>
        <bgColor rgb="FFCCCCFF"/>
      </patternFill>
    </fill>
    <fill>
      <patternFill patternType="solid">
        <fgColor rgb="FF1F3864"/>
        <bgColor rgb="FF333333"/>
      </patternFill>
    </fill>
    <fill>
      <patternFill patternType="solid">
        <fgColor rgb="FF843C0C"/>
        <bgColor rgb="FF993366"/>
      </patternFill>
    </fill>
    <fill>
      <patternFill patternType="solid">
        <fgColor theme="7" tint="0.39997558519241921"/>
        <bgColor rgb="FFFFFF00"/>
      </patternFill>
    </fill>
    <fill>
      <patternFill patternType="solid">
        <fgColor rgb="FF003399"/>
        <bgColor rgb="FFCCFFFF"/>
      </patternFill>
    </fill>
    <fill>
      <patternFill patternType="solid">
        <fgColor rgb="FF92D050"/>
        <bgColor rgb="FFDDEEFF"/>
      </patternFill>
    </fill>
    <fill>
      <patternFill patternType="solid">
        <fgColor rgb="FF993300"/>
        <bgColor rgb="FFCCCCFF"/>
      </patternFill>
    </fill>
    <fill>
      <patternFill patternType="solid">
        <fgColor theme="5" tint="0.79998168889431442"/>
        <bgColor indexed="64"/>
      </patternFill>
    </fill>
    <fill>
      <patternFill patternType="solid">
        <fgColor theme="5" tint="0.79998168889431442"/>
        <bgColor rgb="FFCCFFFF"/>
      </patternFill>
    </fill>
    <fill>
      <patternFill patternType="solid">
        <fgColor theme="2"/>
        <bgColor rgb="FFCCFFFF"/>
      </patternFill>
    </fill>
    <fill>
      <patternFill patternType="solid">
        <fgColor rgb="FF17365D"/>
      </patternFill>
    </fill>
    <fill>
      <patternFill patternType="solid">
        <fgColor rgb="FF1F4E78"/>
      </patternFill>
    </fill>
    <fill>
      <patternFill patternType="solid">
        <fgColor rgb="FFE2F0D9"/>
      </patternFill>
    </fill>
    <fill>
      <patternFill patternType="solid">
        <fgColor theme="2"/>
        <bgColor indexed="64"/>
      </patternFill>
    </fill>
    <fill>
      <patternFill patternType="solid">
        <fgColor rgb="FFF9FAFB"/>
      </patternFill>
    </fill>
    <fill>
      <patternFill patternType="solid">
        <fgColor rgb="FF1F4E79"/>
      </patternFill>
    </fill>
    <fill>
      <patternFill patternType="solid">
        <fgColor rgb="FF0B1F3A"/>
      </patternFill>
    </fill>
    <fill>
      <patternFill patternType="solid">
        <fgColor rgb="FFEAF3F8"/>
      </patternFill>
    </fill>
    <fill>
      <patternFill patternType="solid">
        <fgColor rgb="FFFFF2CC"/>
      </patternFill>
    </fill>
    <fill>
      <patternFill patternType="solid">
        <fgColor rgb="FFF3F6FA"/>
      </patternFill>
    </fill>
    <fill>
      <patternFill patternType="solid">
        <fgColor rgb="FFC00000"/>
      </patternFill>
    </fill>
    <fill>
      <patternFill patternType="solid">
        <fgColor rgb="FF008000"/>
      </patternFill>
    </fill>
    <fill>
      <patternFill patternType="solid">
        <fgColor rgb="FFFCE4D6"/>
      </patternFill>
    </fill>
    <fill>
      <patternFill patternType="solid">
        <fgColor rgb="FFF2F5F9"/>
      </patternFill>
    </fill>
    <fill>
      <patternFill patternType="solid">
        <fgColor rgb="FFDDEBF7"/>
      </patternFill>
    </fill>
    <fill>
      <patternFill patternType="solid">
        <fgColor theme="1"/>
        <bgColor indexed="64"/>
      </patternFill>
    </fill>
    <fill>
      <patternFill patternType="solid">
        <fgColor rgb="FF002060"/>
        <bgColor indexed="64"/>
      </patternFill>
    </fill>
    <fill>
      <patternFill patternType="solid">
        <fgColor theme="8" tint="-0.499984740745262"/>
        <bgColor indexed="64"/>
      </patternFill>
    </fill>
    <fill>
      <patternFill patternType="solid">
        <fgColor rgb="FFC6EFCE"/>
        <bgColor indexed="64"/>
      </patternFill>
    </fill>
    <fill>
      <patternFill patternType="solid">
        <fgColor rgb="FF1F4E78"/>
        <bgColor indexed="64"/>
      </patternFill>
    </fill>
  </fills>
  <borders count="31">
    <border>
      <left/>
      <right/>
      <top/>
      <bottom/>
      <diagonal/>
    </border>
    <border>
      <left style="thin">
        <color rgb="FFB0BEC5"/>
      </left>
      <right style="thin">
        <color rgb="FFB0BEC5"/>
      </right>
      <top style="thin">
        <color rgb="FFB0BEC5"/>
      </top>
      <bottom style="thin">
        <color rgb="FFB0BEC5"/>
      </bottom>
      <diagonal/>
    </border>
    <border>
      <left style="thin">
        <color rgb="FFB0BEC5"/>
      </left>
      <right/>
      <top style="thin">
        <color rgb="FFB0BEC5"/>
      </top>
      <bottom style="thin">
        <color rgb="FFB0BEC5"/>
      </bottom>
      <diagonal/>
    </border>
    <border>
      <left/>
      <right/>
      <top style="thin">
        <color rgb="FFB0BEC5"/>
      </top>
      <bottom style="thin">
        <color rgb="FFB0BEC5"/>
      </bottom>
      <diagonal/>
    </border>
    <border>
      <left/>
      <right/>
      <top style="thin">
        <color rgb="FFB0BEC5"/>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rgb="FFBFBFBF"/>
      </left>
      <right style="thin">
        <color rgb="FFBFBFBF"/>
      </right>
      <top style="thin">
        <color rgb="FFBFBFBF"/>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style="thin">
        <color theme="2" tint="-9.9887081514938816E-2"/>
      </left>
      <right style="thin">
        <color theme="2" tint="-9.9887081514938816E-2"/>
      </right>
      <top style="thin">
        <color theme="2" tint="-9.9887081514938816E-2"/>
      </top>
      <bottom style="thin">
        <color theme="2" tint="-9.9887081514938816E-2"/>
      </bottom>
      <diagonal/>
    </border>
    <border>
      <left/>
      <right style="thin">
        <color theme="2" tint="-9.9948118533890809E-2"/>
      </right>
      <top style="thin">
        <color theme="2" tint="-9.9948118533890809E-2"/>
      </top>
      <bottom style="thin">
        <color theme="2" tint="-9.9948118533890809E-2"/>
      </bottom>
      <diagonal/>
    </border>
    <border>
      <left/>
      <right style="thin">
        <color theme="2" tint="-9.9917600024414813E-2"/>
      </right>
      <top style="thin">
        <color theme="2" tint="-9.9917600024414813E-2"/>
      </top>
      <bottom style="thin">
        <color theme="2" tint="-9.9917600024414813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style="hair">
        <color theme="2" tint="-9.9948118533890809E-2"/>
      </left>
      <right style="hair">
        <color theme="2" tint="-9.9948118533890809E-2"/>
      </right>
      <top style="hair">
        <color theme="2" tint="-9.9948118533890809E-2"/>
      </top>
      <bottom style="hair">
        <color theme="2" tint="-9.9948118533890809E-2"/>
      </bottom>
      <diagonal/>
    </border>
    <border>
      <left style="hair">
        <color indexed="64"/>
      </left>
      <right style="hair">
        <color theme="2" tint="-9.9948118533890809E-2"/>
      </right>
      <top style="hair">
        <color theme="2" tint="-9.9948118533890809E-2"/>
      </top>
      <bottom style="hair">
        <color theme="2" tint="-9.9948118533890809E-2"/>
      </bottom>
      <diagonal/>
    </border>
    <border>
      <left style="hair">
        <color indexed="64"/>
      </left>
      <right style="hair">
        <color theme="2" tint="-9.9948118533890809E-2"/>
      </right>
      <top style="hair">
        <color theme="2" tint="-9.9948118533890809E-2"/>
      </top>
      <bottom style="hair">
        <color indexed="64"/>
      </bottom>
      <diagonal/>
    </border>
    <border>
      <left style="hair">
        <color theme="2" tint="-9.9948118533890809E-2"/>
      </left>
      <right style="hair">
        <color theme="2" tint="-9.9948118533890809E-2"/>
      </right>
      <top style="hair">
        <color theme="2" tint="-9.9948118533890809E-2"/>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69">
    <xf numFmtId="0" fontId="0" fillId="0" borderId="0" xfId="0"/>
    <xf numFmtId="0" fontId="3" fillId="0" borderId="0" xfId="0" applyFont="1"/>
    <xf numFmtId="0" fontId="4" fillId="3" borderId="1" xfId="0" applyFont="1" applyFill="1" applyBorder="1" applyAlignment="1">
      <alignment horizontal="center" vertical="center"/>
    </xf>
    <xf numFmtId="0" fontId="6" fillId="0" borderId="0" xfId="0" applyFont="1"/>
    <xf numFmtId="0" fontId="7"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left" vertical="top" wrapText="1"/>
    </xf>
    <xf numFmtId="0" fontId="9" fillId="7"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10" fillId="9" borderId="1" xfId="0" applyFont="1" applyFill="1" applyBorder="1" applyAlignment="1">
      <alignment horizontal="left" vertical="top" wrapText="1"/>
    </xf>
    <xf numFmtId="164" fontId="9" fillId="7" borderId="1" xfId="0" applyNumberFormat="1" applyFont="1" applyFill="1" applyBorder="1" applyAlignment="1">
      <alignment horizontal="left" vertical="top" wrapText="1"/>
    </xf>
    <xf numFmtId="165" fontId="9" fillId="7" borderId="1" xfId="1" applyNumberFormat="1" applyFont="1" applyFill="1" applyBorder="1" applyAlignment="1">
      <alignment horizontal="left" vertical="top" wrapText="1"/>
    </xf>
    <xf numFmtId="0" fontId="9" fillId="7" borderId="1" xfId="0" applyFont="1" applyFill="1" applyBorder="1" applyAlignment="1">
      <alignment horizontal="center" vertical="top" wrapText="1"/>
    </xf>
    <xf numFmtId="8" fontId="9" fillId="7" borderId="1" xfId="0" applyNumberFormat="1" applyFont="1" applyFill="1" applyBorder="1" applyAlignment="1">
      <alignment horizontal="right" vertical="top" wrapText="1"/>
    </xf>
    <xf numFmtId="0" fontId="9" fillId="7" borderId="1" xfId="0" applyFont="1" applyFill="1" applyBorder="1" applyAlignment="1">
      <alignment horizontal="right" vertical="top" wrapText="1"/>
    </xf>
    <xf numFmtId="6" fontId="9" fillId="7" borderId="1" xfId="0" applyNumberFormat="1" applyFont="1" applyFill="1" applyBorder="1" applyAlignment="1">
      <alignment horizontal="right" vertical="top" wrapText="1"/>
    </xf>
    <xf numFmtId="166" fontId="9" fillId="7" borderId="1" xfId="0" applyNumberFormat="1" applyFont="1" applyFill="1" applyBorder="1" applyAlignment="1">
      <alignment horizontal="right" vertical="top" wrapText="1"/>
    </xf>
    <xf numFmtId="5" fontId="9" fillId="7" borderId="1" xfId="1" applyNumberFormat="1" applyFont="1" applyFill="1" applyBorder="1" applyAlignment="1">
      <alignment horizontal="right" vertical="top" wrapText="1"/>
    </xf>
    <xf numFmtId="1" fontId="9" fillId="7" borderId="1" xfId="1" applyNumberFormat="1" applyFont="1" applyFill="1" applyBorder="1" applyAlignment="1">
      <alignment horizontal="right" vertical="top" wrapText="1"/>
    </xf>
    <xf numFmtId="9" fontId="9" fillId="7" borderId="1" xfId="0" applyNumberFormat="1" applyFont="1" applyFill="1" applyBorder="1" applyAlignment="1">
      <alignment horizontal="right" vertical="top" wrapText="1"/>
    </xf>
    <xf numFmtId="10" fontId="9" fillId="7" borderId="1" xfId="0" applyNumberFormat="1" applyFont="1" applyFill="1" applyBorder="1" applyAlignment="1">
      <alignment horizontal="right" vertical="top" wrapText="1"/>
    </xf>
    <xf numFmtId="6" fontId="15" fillId="6" borderId="1" xfId="0" applyNumberFormat="1" applyFont="1" applyFill="1" applyBorder="1" applyAlignment="1">
      <alignment horizontal="right" vertical="top" wrapText="1"/>
    </xf>
    <xf numFmtId="166" fontId="15" fillId="6" borderId="1" xfId="2" applyNumberFormat="1" applyFont="1" applyFill="1" applyBorder="1" applyAlignment="1">
      <alignment horizontal="right" vertical="top" wrapText="1"/>
    </xf>
    <xf numFmtId="10" fontId="15" fillId="6" borderId="1" xfId="2" applyNumberFormat="1" applyFont="1" applyFill="1" applyBorder="1" applyAlignment="1">
      <alignment horizontal="right" vertical="top" wrapText="1"/>
    </xf>
    <xf numFmtId="167" fontId="9" fillId="7" borderId="1" xfId="0" applyNumberFormat="1" applyFont="1" applyFill="1" applyBorder="1" applyAlignment="1">
      <alignment horizontal="right" vertical="top" wrapText="1"/>
    </xf>
    <xf numFmtId="0" fontId="14" fillId="6" borderId="1" xfId="0" quotePrefix="1" applyFont="1" applyFill="1" applyBorder="1" applyAlignment="1">
      <alignment horizontal="left" vertical="top" wrapText="1"/>
    </xf>
    <xf numFmtId="0" fontId="9" fillId="7" borderId="1" xfId="0" applyFont="1" applyFill="1" applyBorder="1" applyAlignment="1">
      <alignment horizontal="center" vertical="center" wrapText="1"/>
    </xf>
    <xf numFmtId="168" fontId="9" fillId="7" borderId="1" xfId="0" applyNumberFormat="1" applyFont="1" applyFill="1" applyBorder="1" applyAlignment="1">
      <alignment horizontal="right" vertical="top" wrapText="1"/>
    </xf>
    <xf numFmtId="0" fontId="6" fillId="5" borderId="0" xfId="0" applyFont="1" applyFill="1"/>
    <xf numFmtId="0" fontId="17" fillId="15" borderId="0" xfId="0" applyFont="1" applyFill="1" applyAlignment="1">
      <alignment horizontal="center" vertical="center" wrapText="1"/>
    </xf>
    <xf numFmtId="0" fontId="19" fillId="16" borderId="0" xfId="0" applyFont="1" applyFill="1" applyAlignment="1">
      <alignment horizontal="center" vertical="center" wrapText="1"/>
    </xf>
    <xf numFmtId="0" fontId="18" fillId="17" borderId="0" xfId="0" applyFont="1" applyFill="1" applyAlignment="1">
      <alignment horizontal="center" vertical="center" wrapText="1"/>
    </xf>
    <xf numFmtId="0" fontId="19" fillId="18" borderId="0" xfId="0" applyFont="1" applyFill="1" applyAlignment="1">
      <alignment horizontal="center" vertical="center" wrapText="1"/>
    </xf>
    <xf numFmtId="0" fontId="12" fillId="2" borderId="4" xfId="0" applyFont="1" applyFill="1" applyBorder="1" applyAlignment="1">
      <alignment vertical="top"/>
    </xf>
    <xf numFmtId="0" fontId="4" fillId="2" borderId="2" xfId="0" applyFont="1" applyFill="1" applyBorder="1" applyAlignment="1">
      <alignment vertical="top"/>
    </xf>
    <xf numFmtId="0" fontId="4" fillId="2" borderId="3" xfId="0" applyFont="1" applyFill="1" applyBorder="1" applyAlignment="1">
      <alignment vertical="top"/>
    </xf>
    <xf numFmtId="0" fontId="2" fillId="2" borderId="0" xfId="0" applyFont="1" applyFill="1" applyAlignment="1">
      <alignment vertical="center"/>
    </xf>
    <xf numFmtId="0" fontId="5" fillId="7" borderId="0" xfId="0" applyFont="1" applyFill="1" applyAlignment="1">
      <alignment vertical="center"/>
    </xf>
    <xf numFmtId="0" fontId="6" fillId="7" borderId="0" xfId="0" applyFont="1" applyFill="1"/>
    <xf numFmtId="0" fontId="0" fillId="0" borderId="0" xfId="0" applyAlignment="1">
      <alignment wrapText="1"/>
    </xf>
    <xf numFmtId="0" fontId="0" fillId="0" borderId="0" xfId="0" applyAlignment="1">
      <alignment vertical="top" wrapText="1"/>
    </xf>
    <xf numFmtId="0" fontId="22" fillId="0" borderId="0" xfId="0" applyFont="1" applyAlignment="1">
      <alignment vertical="center" wrapText="1"/>
    </xf>
    <xf numFmtId="0" fontId="0" fillId="0" borderId="0" xfId="0" applyAlignment="1">
      <alignment vertical="top"/>
    </xf>
    <xf numFmtId="0" fontId="23" fillId="0" borderId="0" xfId="0" applyFont="1"/>
    <xf numFmtId="1" fontId="9" fillId="7" borderId="1" xfId="0" applyNumberFormat="1" applyFont="1" applyFill="1" applyBorder="1" applyAlignment="1">
      <alignment horizontal="left" vertical="top" wrapText="1"/>
    </xf>
    <xf numFmtId="0" fontId="16" fillId="0" borderId="0" xfId="0" applyFont="1" applyAlignment="1">
      <alignment vertical="center" wrapText="1"/>
    </xf>
    <xf numFmtId="0" fontId="16" fillId="0" borderId="0" xfId="0" applyFont="1" applyAlignment="1">
      <alignment vertical="center"/>
    </xf>
    <xf numFmtId="0" fontId="4" fillId="14" borderId="0" xfId="0" applyFont="1" applyFill="1" applyAlignment="1">
      <alignment vertical="center" wrapText="1"/>
    </xf>
    <xf numFmtId="0" fontId="4" fillId="14" borderId="0" xfId="0" applyFont="1" applyFill="1" applyAlignment="1">
      <alignment vertical="center"/>
    </xf>
    <xf numFmtId="0" fontId="0" fillId="0" borderId="0" xfId="0" applyAlignment="1">
      <alignment vertical="center" wrapText="1"/>
    </xf>
    <xf numFmtId="0" fontId="22" fillId="0" borderId="0" xfId="0" applyFont="1"/>
    <xf numFmtId="49" fontId="24" fillId="0" borderId="0" xfId="0" applyNumberFormat="1" applyFont="1" applyAlignment="1">
      <alignment vertical="center" wrapText="1"/>
    </xf>
    <xf numFmtId="173" fontId="24" fillId="0" borderId="0" xfId="0" applyNumberFormat="1" applyFont="1" applyAlignment="1">
      <alignment vertical="center" wrapText="1"/>
    </xf>
    <xf numFmtId="0" fontId="21" fillId="0" borderId="0" xfId="0" applyFont="1" applyAlignment="1">
      <alignment vertical="center"/>
    </xf>
    <xf numFmtId="0" fontId="20" fillId="22" borderId="0" xfId="0" applyFont="1" applyFill="1" applyAlignment="1">
      <alignment vertical="center"/>
    </xf>
    <xf numFmtId="0" fontId="20" fillId="22" borderId="0" xfId="0" applyFont="1" applyFill="1" applyAlignment="1">
      <alignment vertical="top"/>
    </xf>
    <xf numFmtId="0" fontId="20" fillId="0" borderId="0" xfId="0" applyFont="1" applyAlignment="1">
      <alignment vertical="top"/>
    </xf>
    <xf numFmtId="0" fontId="26" fillId="23" borderId="0" xfId="0" applyFont="1" applyFill="1" applyAlignment="1">
      <alignment vertical="center"/>
    </xf>
    <xf numFmtId="0" fontId="28" fillId="29" borderId="0" xfId="0" applyFont="1" applyFill="1" applyAlignment="1">
      <alignment vertical="center" wrapText="1"/>
    </xf>
    <xf numFmtId="0" fontId="28" fillId="29" borderId="0" xfId="0" applyFont="1" applyFill="1" applyAlignment="1">
      <alignment vertical="center"/>
    </xf>
    <xf numFmtId="0" fontId="25" fillId="0" borderId="0" xfId="0" applyFont="1" applyAlignment="1">
      <alignment vertical="top" wrapText="1"/>
    </xf>
    <xf numFmtId="0" fontId="25" fillId="0" borderId="0" xfId="0" applyFont="1" applyAlignment="1">
      <alignment horizontal="left" vertical="top" wrapText="1"/>
    </xf>
    <xf numFmtId="0" fontId="0" fillId="0" borderId="11" xfId="0" applyBorder="1"/>
    <xf numFmtId="0" fontId="27" fillId="0" borderId="0" xfId="0" applyFont="1"/>
    <xf numFmtId="9" fontId="0" fillId="0" borderId="0" xfId="2" applyFont="1" applyBorder="1"/>
    <xf numFmtId="0" fontId="29" fillId="0" borderId="0" xfId="0" applyFont="1"/>
    <xf numFmtId="0" fontId="32" fillId="0" borderId="0" xfId="0" applyFont="1"/>
    <xf numFmtId="0" fontId="31" fillId="38" borderId="9" xfId="0" applyFont="1" applyFill="1" applyBorder="1"/>
    <xf numFmtId="0" fontId="30" fillId="0" borderId="15" xfId="0" applyFont="1" applyBorder="1" applyAlignment="1">
      <alignment horizontal="center" vertical="center"/>
    </xf>
    <xf numFmtId="0" fontId="0" fillId="0" borderId="15" xfId="0" applyBorder="1"/>
    <xf numFmtId="5" fontId="0" fillId="0" borderId="15" xfId="0" applyNumberFormat="1" applyBorder="1"/>
    <xf numFmtId="7" fontId="0" fillId="0" borderId="15" xfId="0" applyNumberFormat="1" applyBorder="1"/>
    <xf numFmtId="43" fontId="0" fillId="0" borderId="15" xfId="1" applyFont="1" applyBorder="1" applyAlignment="1"/>
    <xf numFmtId="165" fontId="0" fillId="0" borderId="15" xfId="1" applyNumberFormat="1" applyFont="1" applyBorder="1" applyAlignment="1"/>
    <xf numFmtId="9" fontId="1" fillId="0" borderId="15" xfId="2" applyFont="1" applyBorder="1"/>
    <xf numFmtId="0" fontId="31" fillId="0" borderId="0" xfId="0" applyFont="1"/>
    <xf numFmtId="0" fontId="13" fillId="6" borderId="0" xfId="0" applyFont="1" applyFill="1" applyAlignment="1">
      <alignment horizontal="center" vertical="center"/>
    </xf>
    <xf numFmtId="0" fontId="14" fillId="6" borderId="0" xfId="0" applyFont="1" applyFill="1"/>
    <xf numFmtId="0" fontId="5" fillId="5" borderId="0" xfId="0" applyFont="1" applyFill="1" applyAlignment="1">
      <alignment horizontal="center" vertical="center"/>
    </xf>
    <xf numFmtId="0" fontId="6" fillId="5" borderId="0" xfId="0" applyFont="1" applyFill="1"/>
    <xf numFmtId="0" fontId="13" fillId="8" borderId="0" xfId="0" applyFont="1" applyFill="1" applyAlignment="1">
      <alignment horizontal="center" vertical="center"/>
    </xf>
    <xf numFmtId="0" fontId="14" fillId="8" borderId="0" xfId="0" applyFont="1" applyFill="1"/>
    <xf numFmtId="0" fontId="31" fillId="38" borderId="0" xfId="0" applyFont="1" applyFill="1" applyAlignment="1">
      <alignment horizontal="center"/>
    </xf>
    <xf numFmtId="0" fontId="31" fillId="38" borderId="12" xfId="0" applyFont="1" applyFill="1" applyBorder="1" applyAlignment="1">
      <alignment horizontal="center"/>
    </xf>
    <xf numFmtId="0" fontId="31" fillId="38" borderId="8" xfId="0" applyFont="1" applyFill="1" applyBorder="1" applyAlignment="1">
      <alignment horizontal="center"/>
    </xf>
    <xf numFmtId="0" fontId="31" fillId="38" borderId="9" xfId="0" applyFont="1" applyFill="1" applyBorder="1" applyAlignment="1">
      <alignment horizontal="center"/>
    </xf>
    <xf numFmtId="0" fontId="27" fillId="0" borderId="11" xfId="0" applyFont="1" applyBorder="1" applyAlignment="1">
      <alignment horizontal="left"/>
    </xf>
    <xf numFmtId="0" fontId="27" fillId="0" borderId="0" xfId="0" applyFont="1" applyAlignment="1">
      <alignment horizontal="left"/>
    </xf>
    <xf numFmtId="0" fontId="8" fillId="25" borderId="20" xfId="0" applyFont="1" applyFill="1" applyBorder="1" applyAlignment="1">
      <alignment horizontal="center" vertical="center" wrapText="1"/>
    </xf>
    <xf numFmtId="0" fontId="8" fillId="25" borderId="20" xfId="0" applyFont="1" applyFill="1" applyBorder="1" applyAlignment="1">
      <alignment horizontal="left" vertical="top" wrapText="1"/>
    </xf>
    <xf numFmtId="0" fontId="8" fillId="0" borderId="18" xfId="0" applyFont="1" applyBorder="1" applyAlignment="1">
      <alignment horizontal="left" vertical="top" wrapText="1"/>
    </xf>
    <xf numFmtId="164" fontId="33" fillId="0" borderId="17" xfId="0" applyNumberFormat="1" applyFont="1" applyFill="1" applyBorder="1" applyAlignment="1">
      <alignment horizontal="center" vertical="center" wrapText="1"/>
    </xf>
    <xf numFmtId="0" fontId="23" fillId="0" borderId="12" xfId="0" applyFont="1" applyBorder="1" applyAlignment="1"/>
    <xf numFmtId="0" fontId="23" fillId="0" borderId="7" xfId="0" applyFont="1" applyBorder="1" applyAlignment="1"/>
    <xf numFmtId="0" fontId="23" fillId="0" borderId="14" xfId="0" applyFont="1" applyBorder="1" applyAlignment="1"/>
    <xf numFmtId="0" fontId="33" fillId="4" borderId="1" xfId="0" applyFont="1" applyFill="1" applyBorder="1" applyAlignment="1">
      <alignment horizontal="left" vertical="top" wrapText="1"/>
    </xf>
    <xf numFmtId="0" fontId="33" fillId="9" borderId="1" xfId="0" applyFont="1" applyFill="1" applyBorder="1" applyAlignment="1">
      <alignment horizontal="left" vertical="top" wrapText="1"/>
    </xf>
    <xf numFmtId="0" fontId="34" fillId="10" borderId="1" xfId="0" applyFont="1" applyFill="1" applyBorder="1" applyAlignment="1">
      <alignment horizontal="center" vertical="top" wrapText="1"/>
    </xf>
    <xf numFmtId="0" fontId="35" fillId="7" borderId="1" xfId="0" applyFont="1" applyFill="1" applyBorder="1" applyAlignment="1">
      <alignment horizontal="center" vertical="top" wrapText="1"/>
    </xf>
    <xf numFmtId="0" fontId="4" fillId="13" borderId="5" xfId="0" applyFont="1" applyFill="1" applyBorder="1" applyAlignment="1">
      <alignment horizontal="center" vertical="center" wrapText="1"/>
    </xf>
    <xf numFmtId="0" fontId="4" fillId="23" borderId="0" xfId="0" applyFont="1" applyFill="1" applyAlignment="1">
      <alignment vertical="center"/>
    </xf>
    <xf numFmtId="0" fontId="4" fillId="0" borderId="0" xfId="0" applyFont="1" applyFill="1" applyAlignment="1">
      <alignment vertical="center"/>
    </xf>
    <xf numFmtId="0" fontId="36" fillId="0" borderId="0" xfId="0" applyFont="1" applyFill="1" applyAlignment="1">
      <alignment horizontal="left" vertical="center" wrapText="1"/>
    </xf>
    <xf numFmtId="0" fontId="33" fillId="0" borderId="0" xfId="0" applyFont="1" applyFill="1" applyAlignment="1">
      <alignment horizontal="left" vertical="center" wrapText="1"/>
    </xf>
    <xf numFmtId="0" fontId="37" fillId="11" borderId="17" xfId="0" applyFont="1" applyFill="1" applyBorder="1" applyAlignment="1">
      <alignment horizontal="center" vertical="center" wrapText="1"/>
    </xf>
    <xf numFmtId="0" fontId="33" fillId="0" borderId="0" xfId="0" applyFont="1" applyAlignment="1">
      <alignment horizontal="left" vertical="center" wrapText="1"/>
    </xf>
    <xf numFmtId="0" fontId="36" fillId="0" borderId="0" xfId="0" applyFont="1" applyAlignment="1">
      <alignment horizontal="left" vertical="center" wrapText="1"/>
    </xf>
    <xf numFmtId="0" fontId="33" fillId="21" borderId="17" xfId="0" applyFont="1" applyFill="1" applyBorder="1"/>
    <xf numFmtId="0" fontId="33" fillId="21" borderId="17" xfId="0" applyFont="1" applyFill="1" applyBorder="1" applyAlignment="1">
      <alignment horizontal="center" vertical="center" wrapText="1"/>
    </xf>
    <xf numFmtId="17" fontId="33" fillId="21" borderId="17" xfId="0" applyNumberFormat="1" applyFont="1" applyFill="1" applyBorder="1" applyAlignment="1">
      <alignment horizontal="center" vertical="center" wrapText="1"/>
    </xf>
    <xf numFmtId="0" fontId="6" fillId="0" borderId="0" xfId="0" applyFont="1" applyAlignment="1">
      <alignment horizontal="left" vertical="center" wrapText="1"/>
    </xf>
    <xf numFmtId="169" fontId="33" fillId="21" borderId="5" xfId="0" applyNumberFormat="1" applyFont="1" applyFill="1" applyBorder="1" applyAlignment="1">
      <alignment horizontal="center" vertical="center" wrapText="1"/>
    </xf>
    <xf numFmtId="169" fontId="36" fillId="20" borderId="5" xfId="0" applyNumberFormat="1" applyFont="1" applyFill="1" applyBorder="1" applyAlignment="1">
      <alignment horizontal="center" vertical="center" wrapText="1"/>
    </xf>
    <xf numFmtId="169" fontId="37" fillId="11" borderId="5" xfId="0" applyNumberFormat="1" applyFont="1" applyFill="1" applyBorder="1" applyAlignment="1">
      <alignment horizontal="center" vertical="center" wrapText="1"/>
    </xf>
    <xf numFmtId="169" fontId="33" fillId="25" borderId="5" xfId="0" applyNumberFormat="1" applyFont="1" applyFill="1" applyBorder="1" applyAlignment="1">
      <alignment horizontal="center" vertical="center" wrapText="1"/>
    </xf>
    <xf numFmtId="169" fontId="36" fillId="19" borderId="5" xfId="0" applyNumberFormat="1" applyFont="1" applyFill="1" applyBorder="1" applyAlignment="1">
      <alignment horizontal="center" vertical="center" wrapText="1"/>
    </xf>
    <xf numFmtId="169" fontId="38" fillId="11" borderId="5" xfId="0" applyNumberFormat="1" applyFont="1" applyFill="1" applyBorder="1" applyAlignment="1">
      <alignment horizontal="center" vertical="center" wrapText="1"/>
    </xf>
    <xf numFmtId="170" fontId="38" fillId="11" borderId="5" xfId="0" applyNumberFormat="1" applyFont="1" applyFill="1" applyBorder="1" applyAlignment="1">
      <alignment horizontal="center" vertical="center" wrapText="1"/>
    </xf>
    <xf numFmtId="166" fontId="38" fillId="11" borderId="5" xfId="2" applyNumberFormat="1" applyFont="1" applyFill="1" applyBorder="1" applyAlignment="1">
      <alignment horizontal="center" vertical="center" wrapText="1"/>
    </xf>
    <xf numFmtId="171" fontId="33" fillId="21" borderId="5" xfId="0" applyNumberFormat="1" applyFont="1" applyFill="1" applyBorder="1" applyAlignment="1">
      <alignment horizontal="center" vertical="center" wrapText="1"/>
    </xf>
    <xf numFmtId="171" fontId="37" fillId="11" borderId="5" xfId="0" applyNumberFormat="1" applyFont="1" applyFill="1" applyBorder="1" applyAlignment="1">
      <alignment horizontal="center" vertical="center" wrapText="1"/>
    </xf>
    <xf numFmtId="171" fontId="37" fillId="11" borderId="16" xfId="0" applyNumberFormat="1" applyFont="1" applyFill="1" applyBorder="1" applyAlignment="1">
      <alignment horizontal="center" vertical="center" wrapText="1"/>
    </xf>
    <xf numFmtId="0" fontId="33" fillId="0" borderId="0" xfId="0" applyFont="1" applyBorder="1" applyAlignment="1">
      <alignment horizontal="left" vertical="center" wrapText="1"/>
    </xf>
    <xf numFmtId="171" fontId="33" fillId="12" borderId="5" xfId="0" applyNumberFormat="1" applyFont="1" applyFill="1" applyBorder="1" applyAlignment="1">
      <alignment horizontal="center" vertical="center" wrapText="1"/>
    </xf>
    <xf numFmtId="0" fontId="39" fillId="0" borderId="0" xfId="0" applyFont="1" applyAlignment="1">
      <alignment horizontal="left" vertical="center" wrapText="1"/>
    </xf>
    <xf numFmtId="0" fontId="40" fillId="0" borderId="0" xfId="0" applyFont="1" applyAlignment="1">
      <alignment horizontal="left" vertical="center" wrapText="1"/>
    </xf>
    <xf numFmtId="49" fontId="41" fillId="0" borderId="0" xfId="0" applyNumberFormat="1" applyFont="1" applyBorder="1" applyAlignment="1">
      <alignment horizontal="center" vertical="center" wrapText="1"/>
    </xf>
    <xf numFmtId="171" fontId="6" fillId="0" borderId="0" xfId="0" applyNumberFormat="1" applyFont="1"/>
    <xf numFmtId="170" fontId="33" fillId="21" borderId="5" xfId="0" applyNumberFormat="1" applyFont="1" applyFill="1" applyBorder="1" applyAlignment="1">
      <alignment horizontal="center" vertical="center" wrapText="1"/>
    </xf>
    <xf numFmtId="170" fontId="37" fillId="11" borderId="5" xfId="0" applyNumberFormat="1" applyFont="1" applyFill="1" applyBorder="1" applyAlignment="1">
      <alignment horizontal="center" vertical="center" wrapText="1"/>
    </xf>
    <xf numFmtId="171" fontId="38" fillId="11" borderId="5" xfId="0" applyNumberFormat="1" applyFont="1" applyFill="1" applyBorder="1" applyAlignment="1">
      <alignment horizontal="center" vertical="center" wrapText="1"/>
    </xf>
    <xf numFmtId="0" fontId="38" fillId="0" borderId="0" xfId="0" applyFont="1" applyAlignment="1">
      <alignment horizontal="left" vertical="center" wrapText="1"/>
    </xf>
    <xf numFmtId="169" fontId="33" fillId="40" borderId="5" xfId="0" applyNumberFormat="1" applyFont="1" applyFill="1" applyBorder="1" applyAlignment="1">
      <alignment horizontal="center" vertical="center" wrapText="1"/>
    </xf>
    <xf numFmtId="171" fontId="33" fillId="40" borderId="5" xfId="0" applyNumberFormat="1" applyFont="1" applyFill="1" applyBorder="1" applyAlignment="1">
      <alignment horizontal="center" vertical="center" wrapText="1"/>
    </xf>
    <xf numFmtId="49" fontId="33" fillId="40" borderId="5" xfId="0" applyNumberFormat="1" applyFont="1" applyFill="1" applyBorder="1" applyAlignment="1">
      <alignment horizontal="center" vertical="center" wrapText="1"/>
    </xf>
    <xf numFmtId="0" fontId="37" fillId="0" borderId="0" xfId="0" applyFont="1" applyAlignment="1">
      <alignment horizontal="center" vertical="center" wrapText="1"/>
    </xf>
    <xf numFmtId="0" fontId="33" fillId="0" borderId="0" xfId="0" applyFont="1" applyAlignment="1">
      <alignment vertical="center" wrapText="1"/>
    </xf>
    <xf numFmtId="0" fontId="33" fillId="0" borderId="0" xfId="0" applyFont="1"/>
    <xf numFmtId="17" fontId="33" fillId="0" borderId="0" xfId="0" applyNumberFormat="1" applyFont="1" applyAlignment="1">
      <alignment horizontal="center" vertical="center" wrapText="1"/>
    </xf>
    <xf numFmtId="165" fontId="6" fillId="25" borderId="17" xfId="1" applyNumberFormat="1" applyFont="1" applyFill="1" applyBorder="1"/>
    <xf numFmtId="5" fontId="6" fillId="25" borderId="17" xfId="0" applyNumberFormat="1" applyFont="1" applyFill="1" applyBorder="1"/>
    <xf numFmtId="165" fontId="6" fillId="25" borderId="17" xfId="1" applyNumberFormat="1" applyFont="1" applyFill="1" applyBorder="1" applyAlignment="1">
      <alignment vertical="top"/>
    </xf>
    <xf numFmtId="0" fontId="6" fillId="0" borderId="0" xfId="0" applyFont="1" applyAlignment="1">
      <alignment vertical="center" wrapText="1"/>
    </xf>
    <xf numFmtId="0" fontId="6" fillId="25" borderId="17" xfId="0" applyFont="1" applyFill="1" applyBorder="1"/>
    <xf numFmtId="0" fontId="6" fillId="25" borderId="19" xfId="0" applyFont="1" applyFill="1" applyBorder="1"/>
    <xf numFmtId="0" fontId="37" fillId="40" borderId="17" xfId="0" applyFont="1" applyFill="1" applyBorder="1"/>
    <xf numFmtId="175" fontId="6" fillId="25" borderId="17" xfId="1" applyNumberFormat="1" applyFont="1" applyFill="1" applyBorder="1" applyAlignment="1">
      <alignment vertical="top"/>
    </xf>
    <xf numFmtId="43" fontId="6" fillId="25" borderId="17" xfId="1" applyFont="1" applyFill="1" applyBorder="1" applyAlignment="1">
      <alignment vertical="top"/>
    </xf>
    <xf numFmtId="175" fontId="37" fillId="40" borderId="17" xfId="1" applyNumberFormat="1" applyFont="1" applyFill="1" applyBorder="1" applyAlignment="1">
      <alignment vertical="top"/>
    </xf>
    <xf numFmtId="5" fontId="38" fillId="40" borderId="17" xfId="0" applyNumberFormat="1" applyFont="1" applyFill="1" applyBorder="1" applyAlignment="1">
      <alignment vertical="top"/>
    </xf>
    <xf numFmtId="43" fontId="38" fillId="40" borderId="17" xfId="1" applyFont="1" applyFill="1" applyBorder="1" applyAlignment="1">
      <alignment vertical="top"/>
    </xf>
    <xf numFmtId="5" fontId="38" fillId="40" borderId="17" xfId="1" applyNumberFormat="1" applyFont="1" applyFill="1" applyBorder="1" applyAlignment="1">
      <alignment vertical="top"/>
    </xf>
    <xf numFmtId="43" fontId="6" fillId="25" borderId="17" xfId="1" applyFont="1" applyFill="1" applyBorder="1"/>
    <xf numFmtId="9" fontId="6" fillId="25" borderId="17" xfId="2" applyFont="1" applyFill="1" applyBorder="1"/>
    <xf numFmtId="173" fontId="6" fillId="25" borderId="17" xfId="1" applyNumberFormat="1" applyFont="1" applyFill="1" applyBorder="1"/>
    <xf numFmtId="0" fontId="4" fillId="22" borderId="0" xfId="0" applyFont="1" applyFill="1" applyAlignment="1">
      <alignment horizontal="center" vertical="center" wrapText="1"/>
    </xf>
    <xf numFmtId="0" fontId="37" fillId="11" borderId="0" xfId="0" applyFont="1" applyFill="1" applyAlignment="1">
      <alignment horizontal="center" vertical="center" wrapText="1"/>
    </xf>
    <xf numFmtId="17" fontId="33" fillId="25" borderId="17" xfId="0" applyNumberFormat="1" applyFont="1" applyFill="1" applyBorder="1" applyAlignment="1">
      <alignment vertical="center" wrapText="1"/>
    </xf>
    <xf numFmtId="173" fontId="33" fillId="25" borderId="17" xfId="0" applyNumberFormat="1" applyFont="1" applyFill="1" applyBorder="1" applyAlignment="1">
      <alignment vertical="center" wrapText="1"/>
    </xf>
    <xf numFmtId="165" fontId="33" fillId="25" borderId="17" xfId="1" applyNumberFormat="1" applyFont="1" applyFill="1" applyBorder="1" applyAlignment="1">
      <alignment vertical="center" wrapText="1"/>
    </xf>
    <xf numFmtId="174" fontId="42" fillId="25" borderId="17" xfId="0" applyNumberFormat="1" applyFont="1" applyFill="1" applyBorder="1" applyAlignment="1">
      <alignment vertical="center" wrapText="1"/>
    </xf>
    <xf numFmtId="5" fontId="42" fillId="25" borderId="17" xfId="1" applyNumberFormat="1" applyFont="1" applyFill="1" applyBorder="1" applyAlignment="1">
      <alignment vertical="center" wrapText="1"/>
    </xf>
    <xf numFmtId="173" fontId="38" fillId="40" borderId="17" xfId="0" applyNumberFormat="1" applyFont="1" applyFill="1" applyBorder="1" applyAlignment="1">
      <alignment vertical="center" wrapText="1"/>
    </xf>
    <xf numFmtId="173" fontId="42" fillId="25" borderId="17" xfId="0" applyNumberFormat="1" applyFont="1" applyFill="1" applyBorder="1" applyAlignment="1">
      <alignment vertical="top" wrapText="1"/>
    </xf>
    <xf numFmtId="165" fontId="42" fillId="25" borderId="17" xfId="1" applyNumberFormat="1" applyFont="1" applyFill="1" applyBorder="1" applyAlignment="1">
      <alignment vertical="top" wrapText="1"/>
    </xf>
    <xf numFmtId="173" fontId="38" fillId="40" borderId="17" xfId="0" applyNumberFormat="1" applyFont="1" applyFill="1" applyBorder="1" applyAlignment="1">
      <alignment vertical="top" wrapText="1"/>
    </xf>
    <xf numFmtId="173" fontId="33" fillId="25" borderId="17" xfId="0" applyNumberFormat="1" applyFont="1" applyFill="1" applyBorder="1" applyAlignment="1">
      <alignment vertical="top"/>
    </xf>
    <xf numFmtId="0" fontId="4" fillId="0" borderId="0" xfId="0" applyFont="1" applyAlignment="1">
      <alignment vertical="center"/>
    </xf>
    <xf numFmtId="173" fontId="33" fillId="25" borderId="17" xfId="0" applyNumberFormat="1" applyFont="1" applyFill="1" applyBorder="1" applyAlignment="1">
      <alignment vertical="top" wrapText="1"/>
    </xf>
    <xf numFmtId="174" fontId="42" fillId="25" borderId="17" xfId="0" applyNumberFormat="1" applyFont="1" applyFill="1" applyBorder="1" applyAlignment="1">
      <alignment vertical="top" wrapText="1"/>
    </xf>
    <xf numFmtId="173" fontId="38" fillId="40" borderId="0" xfId="0" applyNumberFormat="1" applyFont="1" applyFill="1" applyAlignment="1">
      <alignment vertical="top" wrapText="1"/>
    </xf>
    <xf numFmtId="0" fontId="33" fillId="0" borderId="0" xfId="0" applyFont="1" applyAlignment="1">
      <alignment vertical="center"/>
    </xf>
    <xf numFmtId="165" fontId="33" fillId="25" borderId="17" xfId="0" applyNumberFormat="1" applyFont="1" applyFill="1" applyBorder="1" applyAlignment="1">
      <alignment vertical="top"/>
    </xf>
    <xf numFmtId="172" fontId="33" fillId="25" borderId="17" xfId="0" applyNumberFormat="1" applyFont="1" applyFill="1" applyBorder="1" applyAlignment="1">
      <alignment vertical="center" wrapText="1"/>
    </xf>
    <xf numFmtId="165" fontId="6" fillId="25" borderId="17" xfId="0" applyNumberFormat="1" applyFont="1" applyFill="1" applyBorder="1"/>
    <xf numFmtId="173" fontId="42" fillId="25" borderId="17" xfId="0" applyNumberFormat="1" applyFont="1" applyFill="1" applyBorder="1" applyAlignment="1">
      <alignment vertical="center" wrapText="1"/>
    </xf>
    <xf numFmtId="173" fontId="38" fillId="40" borderId="0" xfId="0" applyNumberFormat="1" applyFont="1" applyFill="1" applyAlignment="1">
      <alignment vertical="center" wrapText="1"/>
    </xf>
    <xf numFmtId="9" fontId="38" fillId="40" borderId="0" xfId="2" applyFont="1" applyFill="1" applyAlignment="1">
      <alignment horizontal="right" vertical="center" wrapText="1"/>
    </xf>
    <xf numFmtId="173" fontId="6" fillId="25" borderId="17" xfId="0" applyNumberFormat="1" applyFont="1" applyFill="1" applyBorder="1" applyAlignment="1">
      <alignment vertical="top"/>
    </xf>
    <xf numFmtId="180" fontId="38" fillId="40" borderId="17" xfId="0" applyNumberFormat="1" applyFont="1" applyFill="1" applyBorder="1" applyAlignment="1">
      <alignment vertical="center" wrapText="1"/>
    </xf>
    <xf numFmtId="179" fontId="38" fillId="40" borderId="17" xfId="0" applyNumberFormat="1" applyFont="1" applyFill="1" applyBorder="1" applyAlignment="1">
      <alignment vertical="center" wrapText="1"/>
    </xf>
    <xf numFmtId="174" fontId="38" fillId="40" borderId="17" xfId="0" applyNumberFormat="1" applyFont="1" applyFill="1" applyBorder="1" applyAlignment="1">
      <alignment vertical="center" wrapText="1"/>
    </xf>
    <xf numFmtId="173" fontId="42" fillId="24" borderId="0" xfId="0" applyNumberFormat="1" applyFont="1" applyFill="1" applyAlignment="1">
      <alignment vertical="center" wrapText="1"/>
    </xf>
    <xf numFmtId="0" fontId="4" fillId="22" borderId="0" xfId="0" applyFont="1" applyFill="1" applyAlignment="1">
      <alignment horizontal="center" vertical="center"/>
    </xf>
    <xf numFmtId="0" fontId="4" fillId="22" borderId="0" xfId="0" applyFont="1" applyFill="1" applyAlignment="1">
      <alignment horizontal="left" vertical="center"/>
    </xf>
    <xf numFmtId="0" fontId="4" fillId="23" borderId="0" xfId="0" applyFont="1" applyFill="1" applyAlignment="1">
      <alignment horizontal="center" vertical="center"/>
    </xf>
    <xf numFmtId="0" fontId="44" fillId="0" borderId="18" xfId="0" applyFont="1" applyBorder="1" applyAlignment="1">
      <alignment horizontal="left" vertical="center" wrapText="1"/>
    </xf>
    <xf numFmtId="0" fontId="35" fillId="25" borderId="20" xfId="0" applyFont="1" applyFill="1" applyBorder="1" applyAlignment="1">
      <alignment horizontal="center" vertical="center" wrapText="1"/>
    </xf>
    <xf numFmtId="0" fontId="42" fillId="25" borderId="17" xfId="0" applyFont="1" applyFill="1" applyBorder="1" applyAlignment="1">
      <alignment horizontal="left" vertical="center" wrapText="1"/>
    </xf>
    <xf numFmtId="0" fontId="33" fillId="25" borderId="20" xfId="0" applyFont="1" applyFill="1" applyBorder="1" applyAlignment="1">
      <alignment horizontal="center" vertical="center" wrapText="1"/>
    </xf>
    <xf numFmtId="0" fontId="44" fillId="0" borderId="0" xfId="0" applyFont="1" applyAlignment="1">
      <alignment horizontal="left" vertical="center" wrapText="1"/>
    </xf>
    <xf numFmtId="0" fontId="42" fillId="0" borderId="0" xfId="0" applyFont="1" applyAlignment="1">
      <alignment horizontal="left" vertical="center" wrapText="1"/>
    </xf>
    <xf numFmtId="0" fontId="4" fillId="23" borderId="0" xfId="0" applyFont="1" applyFill="1" applyAlignment="1">
      <alignment horizontal="center" vertical="center"/>
    </xf>
    <xf numFmtId="0" fontId="45" fillId="40" borderId="0" xfId="0" applyFont="1" applyFill="1" applyAlignment="1">
      <alignment vertical="top"/>
    </xf>
    <xf numFmtId="0" fontId="38" fillId="40" borderId="0" xfId="0" applyFont="1" applyFill="1" applyAlignment="1">
      <alignment vertical="top"/>
    </xf>
    <xf numFmtId="0" fontId="4" fillId="41" borderId="0" xfId="0" applyFont="1" applyFill="1" applyAlignment="1">
      <alignment horizontal="center" vertical="top" wrapText="1"/>
    </xf>
    <xf numFmtId="0" fontId="4" fillId="0" borderId="0" xfId="0" applyFont="1" applyAlignment="1">
      <alignment horizontal="center" vertical="top" wrapText="1"/>
    </xf>
    <xf numFmtId="0" fontId="33" fillId="0" borderId="19" xfId="0" applyFont="1" applyFill="1" applyBorder="1" applyAlignment="1">
      <alignment vertical="top" wrapText="1"/>
    </xf>
    <xf numFmtId="173" fontId="33" fillId="25" borderId="21" xfId="0" applyNumberFormat="1" applyFont="1" applyFill="1" applyBorder="1" applyAlignment="1">
      <alignment vertical="top" wrapText="1"/>
    </xf>
    <xf numFmtId="173" fontId="46" fillId="0" borderId="0" xfId="0" applyNumberFormat="1" applyFont="1" applyAlignment="1">
      <alignment vertical="top" wrapText="1"/>
    </xf>
    <xf numFmtId="0" fontId="33" fillId="26" borderId="0" xfId="0" applyFont="1" applyFill="1" applyAlignment="1">
      <alignment vertical="top" wrapText="1"/>
    </xf>
    <xf numFmtId="0" fontId="4" fillId="41" borderId="0" xfId="0" applyFont="1" applyFill="1" applyAlignment="1">
      <alignment horizontal="left" vertical="top" wrapText="1"/>
    </xf>
    <xf numFmtId="0" fontId="6" fillId="0" borderId="0" xfId="0" applyFont="1" applyAlignment="1">
      <alignment vertical="top"/>
    </xf>
    <xf numFmtId="0" fontId="4" fillId="23" borderId="0" xfId="0" applyFont="1" applyFill="1" applyAlignment="1">
      <alignment vertical="center" wrapText="1"/>
    </xf>
    <xf numFmtId="0" fontId="4" fillId="0" borderId="0" xfId="0" applyFont="1" applyAlignment="1">
      <alignment vertical="center" wrapText="1"/>
    </xf>
    <xf numFmtId="0" fontId="44" fillId="0" borderId="0" xfId="0" applyFont="1" applyAlignment="1">
      <alignment horizontal="center" vertical="center" wrapText="1"/>
    </xf>
    <xf numFmtId="0" fontId="6" fillId="0" borderId="19" xfId="0" applyFont="1" applyFill="1" applyBorder="1" applyAlignment="1">
      <alignment vertical="center" wrapText="1"/>
    </xf>
    <xf numFmtId="177" fontId="33" fillId="25" borderId="21" xfId="0" applyNumberFormat="1" applyFont="1" applyFill="1" applyBorder="1" applyAlignment="1">
      <alignment horizontal="right" vertical="center" wrapText="1"/>
    </xf>
    <xf numFmtId="173" fontId="33" fillId="25" borderId="20" xfId="0" applyNumberFormat="1" applyFont="1" applyFill="1" applyBorder="1" applyAlignment="1">
      <alignment vertical="top" wrapText="1"/>
    </xf>
    <xf numFmtId="177" fontId="46" fillId="0" borderId="0" xfId="0" applyNumberFormat="1" applyFont="1" applyAlignment="1">
      <alignment horizontal="right" vertical="center" wrapText="1"/>
    </xf>
    <xf numFmtId="0" fontId="33" fillId="0" borderId="19" xfId="0" applyFont="1" applyFill="1" applyBorder="1" applyAlignment="1">
      <alignment vertical="center" wrapText="1"/>
    </xf>
    <xf numFmtId="9" fontId="33" fillId="25" borderId="20" xfId="2" applyFont="1" applyFill="1" applyBorder="1" applyAlignment="1">
      <alignment horizontal="right" vertical="center" wrapText="1"/>
    </xf>
    <xf numFmtId="176" fontId="33" fillId="25" borderId="20" xfId="0" applyNumberFormat="1" applyFont="1" applyFill="1" applyBorder="1" applyAlignment="1">
      <alignment vertical="top" wrapText="1"/>
    </xf>
    <xf numFmtId="177" fontId="42" fillId="0" borderId="0" xfId="0" applyNumberFormat="1" applyFont="1" applyAlignment="1">
      <alignment horizontal="right" vertical="center" wrapText="1"/>
    </xf>
    <xf numFmtId="0" fontId="6" fillId="0" borderId="18" xfId="0" applyFont="1" applyBorder="1" applyAlignment="1">
      <alignment vertical="center" wrapText="1"/>
    </xf>
    <xf numFmtId="0" fontId="33" fillId="0" borderId="18" xfId="0" applyFont="1" applyBorder="1" applyAlignment="1">
      <alignment vertical="top" wrapText="1"/>
    </xf>
    <xf numFmtId="173" fontId="6" fillId="25" borderId="17" xfId="0" applyNumberFormat="1" applyFont="1" applyFill="1" applyBorder="1" applyAlignment="1">
      <alignment vertical="top" wrapText="1"/>
    </xf>
    <xf numFmtId="173" fontId="6" fillId="0" borderId="0" xfId="0" applyNumberFormat="1" applyFont="1" applyAlignment="1">
      <alignment vertical="top" wrapText="1"/>
    </xf>
    <xf numFmtId="165" fontId="6" fillId="25" borderId="17" xfId="1" applyNumberFormat="1" applyFont="1" applyFill="1" applyBorder="1" applyAlignment="1">
      <alignment vertical="top" wrapText="1"/>
    </xf>
    <xf numFmtId="178" fontId="6" fillId="0" borderId="0" xfId="0" applyNumberFormat="1" applyFont="1" applyAlignment="1">
      <alignment vertical="top" wrapText="1"/>
    </xf>
    <xf numFmtId="0" fontId="6" fillId="25" borderId="20" xfId="0" applyFont="1" applyFill="1" applyBorder="1"/>
    <xf numFmtId="173" fontId="6" fillId="25" borderId="17" xfId="0" applyNumberFormat="1" applyFont="1" applyFill="1" applyBorder="1" applyAlignment="1">
      <alignment horizontal="right" vertical="top" wrapText="1"/>
    </xf>
    <xf numFmtId="0" fontId="6" fillId="0" borderId="0" xfId="0" applyFont="1" applyAlignment="1">
      <alignment vertical="top" wrapText="1"/>
    </xf>
    <xf numFmtId="0" fontId="36" fillId="26" borderId="0" xfId="0" applyFont="1" applyFill="1" applyAlignment="1">
      <alignment vertical="top" wrapText="1"/>
    </xf>
    <xf numFmtId="0" fontId="6" fillId="0" borderId="5" xfId="0" applyFont="1" applyBorder="1" applyAlignment="1">
      <alignment vertical="center" wrapText="1"/>
    </xf>
    <xf numFmtId="172" fontId="42" fillId="25" borderId="5" xfId="0" applyNumberFormat="1" applyFont="1" applyFill="1" applyBorder="1" applyAlignment="1">
      <alignment horizontal="right" vertical="center" wrapText="1"/>
    </xf>
    <xf numFmtId="175" fontId="42" fillId="25" borderId="5" xfId="0" applyNumberFormat="1" applyFont="1" applyFill="1" applyBorder="1" applyAlignment="1">
      <alignment horizontal="right" vertical="center" wrapText="1"/>
    </xf>
    <xf numFmtId="10" fontId="6" fillId="25" borderId="5" xfId="2" applyNumberFormat="1" applyFont="1" applyFill="1" applyBorder="1"/>
    <xf numFmtId="165" fontId="42" fillId="25" borderId="5" xfId="1" applyNumberFormat="1" applyFont="1" applyFill="1" applyBorder="1" applyAlignment="1">
      <alignment horizontal="right" vertical="center" wrapText="1"/>
    </xf>
    <xf numFmtId="0" fontId="6" fillId="25" borderId="5" xfId="0" applyFont="1" applyFill="1" applyBorder="1" applyAlignment="1">
      <alignment horizontal="right"/>
    </xf>
    <xf numFmtId="177" fontId="42" fillId="25" borderId="5" xfId="0" applyNumberFormat="1" applyFont="1" applyFill="1" applyBorder="1" applyAlignment="1">
      <alignment horizontal="right" vertical="center" wrapText="1"/>
    </xf>
    <xf numFmtId="181" fontId="33" fillId="25" borderId="5" xfId="0" applyNumberFormat="1" applyFont="1" applyFill="1" applyBorder="1" applyAlignment="1">
      <alignment horizontal="right" vertical="center" wrapText="1"/>
    </xf>
    <xf numFmtId="174" fontId="42" fillId="25" borderId="5" xfId="0" applyNumberFormat="1" applyFont="1" applyFill="1" applyBorder="1" applyAlignment="1">
      <alignment horizontal="right" vertical="center" wrapText="1"/>
    </xf>
    <xf numFmtId="0" fontId="42" fillId="25" borderId="5" xfId="0" applyFont="1" applyFill="1" applyBorder="1" applyAlignment="1">
      <alignment horizontal="right" vertical="center" wrapText="1"/>
    </xf>
    <xf numFmtId="0" fontId="38" fillId="40" borderId="5" xfId="0" applyFont="1" applyFill="1" applyBorder="1" applyAlignment="1">
      <alignment horizontal="center" vertical="center" wrapText="1"/>
    </xf>
    <xf numFmtId="0" fontId="4" fillId="13" borderId="6" xfId="0" applyFont="1" applyFill="1" applyBorder="1" applyAlignment="1">
      <alignment horizontal="center" vertical="center" wrapText="1"/>
    </xf>
    <xf numFmtId="0" fontId="4" fillId="0" borderId="0" xfId="0" applyFont="1" applyAlignment="1">
      <alignment horizontal="center" vertical="center" wrapText="1"/>
    </xf>
    <xf numFmtId="0" fontId="4" fillId="27" borderId="0" xfId="0" applyFont="1" applyFill="1" applyAlignment="1">
      <alignment horizontal="left" vertical="top"/>
    </xf>
    <xf numFmtId="0" fontId="4" fillId="27" borderId="0" xfId="0" applyFont="1" applyFill="1" applyAlignment="1">
      <alignment horizontal="left" vertical="top" wrapText="1"/>
    </xf>
    <xf numFmtId="0" fontId="6" fillId="0" borderId="0" xfId="0" applyFont="1" applyFill="1" applyAlignment="1">
      <alignment horizontal="left" vertical="top" wrapText="1"/>
    </xf>
    <xf numFmtId="0" fontId="6" fillId="25" borderId="17" xfId="0" applyFont="1" applyFill="1" applyBorder="1" applyAlignment="1">
      <alignment vertical="top"/>
    </xf>
    <xf numFmtId="17" fontId="6" fillId="25" borderId="17" xfId="0" applyNumberFormat="1" applyFont="1" applyFill="1" applyBorder="1" applyAlignment="1">
      <alignment vertical="top"/>
    </xf>
    <xf numFmtId="17" fontId="6" fillId="0" borderId="0" xfId="0" applyNumberFormat="1" applyFont="1" applyAlignment="1">
      <alignment vertical="top"/>
    </xf>
    <xf numFmtId="5" fontId="6" fillId="25" borderId="17" xfId="0" applyNumberFormat="1" applyFont="1" applyFill="1" applyBorder="1" applyAlignment="1">
      <alignment vertical="top"/>
    </xf>
    <xf numFmtId="9" fontId="6" fillId="25" borderId="17" xfId="2" applyFont="1" applyFill="1" applyBorder="1" applyAlignment="1">
      <alignment vertical="top"/>
    </xf>
    <xf numFmtId="166" fontId="6" fillId="25" borderId="17" xfId="2" applyNumberFormat="1" applyFont="1" applyFill="1" applyBorder="1" applyAlignment="1">
      <alignment vertical="top"/>
    </xf>
    <xf numFmtId="9" fontId="6" fillId="0" borderId="0" xfId="2" applyFont="1" applyAlignment="1">
      <alignment vertical="top"/>
    </xf>
    <xf numFmtId="166" fontId="6" fillId="0" borderId="0" xfId="2" applyNumberFormat="1" applyFont="1" applyAlignment="1">
      <alignment vertical="top"/>
    </xf>
    <xf numFmtId="166" fontId="38" fillId="40" borderId="17" xfId="2" applyNumberFormat="1" applyFont="1" applyFill="1" applyBorder="1" applyAlignment="1">
      <alignment vertical="top"/>
    </xf>
    <xf numFmtId="0" fontId="38" fillId="40" borderId="17" xfId="0" applyFont="1" applyFill="1" applyBorder="1" applyAlignment="1">
      <alignment vertical="top"/>
    </xf>
    <xf numFmtId="5" fontId="6" fillId="0" borderId="0" xfId="0" applyNumberFormat="1" applyFont="1" applyAlignment="1">
      <alignment vertical="top"/>
    </xf>
    <xf numFmtId="170" fontId="38" fillId="40" borderId="17" xfId="2" applyNumberFormat="1" applyFont="1" applyFill="1" applyBorder="1" applyAlignment="1">
      <alignment vertical="top"/>
    </xf>
    <xf numFmtId="1" fontId="38" fillId="40" borderId="17" xfId="0" applyNumberFormat="1" applyFont="1" applyFill="1" applyBorder="1" applyAlignment="1">
      <alignment vertical="top"/>
    </xf>
    <xf numFmtId="1" fontId="6" fillId="0" borderId="0" xfId="0" applyNumberFormat="1" applyFont="1" applyAlignment="1">
      <alignment vertical="top"/>
    </xf>
    <xf numFmtId="0" fontId="47" fillId="0" borderId="0" xfId="0" applyFont="1" applyAlignment="1">
      <alignment vertical="top"/>
    </xf>
    <xf numFmtId="0" fontId="4" fillId="0" borderId="0" xfId="0" applyFont="1" applyAlignment="1">
      <alignment horizontal="center" vertical="center" wrapText="1"/>
    </xf>
    <xf numFmtId="0" fontId="33" fillId="0" borderId="17" xfId="0" applyFont="1" applyFill="1" applyBorder="1"/>
    <xf numFmtId="0" fontId="48" fillId="0" borderId="0" xfId="0" applyFont="1" applyAlignment="1">
      <alignment wrapText="1"/>
    </xf>
    <xf numFmtId="0" fontId="49" fillId="0" borderId="0" xfId="0" applyFont="1" applyAlignment="1">
      <alignment vertical="center"/>
    </xf>
    <xf numFmtId="0" fontId="49" fillId="0" borderId="0" xfId="0" applyFont="1" applyAlignment="1">
      <alignment vertical="center" wrapText="1"/>
    </xf>
    <xf numFmtId="1" fontId="33" fillId="0" borderId="17" xfId="0" applyNumberFormat="1" applyFont="1" applyFill="1" applyBorder="1" applyAlignment="1">
      <alignment horizontal="center" vertical="center"/>
    </xf>
    <xf numFmtId="0" fontId="4" fillId="0" borderId="0" xfId="0" applyFont="1" applyFill="1" applyAlignment="1">
      <alignment horizontal="center"/>
    </xf>
    <xf numFmtId="0" fontId="33" fillId="0" borderId="5" xfId="0" applyFont="1" applyBorder="1"/>
    <xf numFmtId="0" fontId="6" fillId="25" borderId="20" xfId="0" applyFont="1" applyFill="1" applyBorder="1" applyAlignment="1">
      <alignment horizontal="center" vertical="center"/>
    </xf>
    <xf numFmtId="173" fontId="46" fillId="25" borderId="17" xfId="0" applyNumberFormat="1" applyFont="1" applyFill="1" applyBorder="1" applyAlignment="1">
      <alignment horizontal="right"/>
    </xf>
    <xf numFmtId="173" fontId="6" fillId="25" borderId="17" xfId="0" applyNumberFormat="1" applyFont="1" applyFill="1" applyBorder="1" applyAlignment="1">
      <alignment horizontal="right"/>
    </xf>
    <xf numFmtId="0" fontId="6" fillId="0" borderId="0" xfId="0" applyFont="1" applyFill="1" applyAlignment="1">
      <alignment wrapText="1"/>
    </xf>
    <xf numFmtId="165" fontId="46" fillId="25" borderId="17" xfId="1" applyNumberFormat="1" applyFont="1" applyFill="1" applyBorder="1" applyAlignment="1">
      <alignment horizontal="right"/>
    </xf>
    <xf numFmtId="165" fontId="6" fillId="25" borderId="17" xfId="1" applyNumberFormat="1" applyFont="1" applyFill="1" applyBorder="1" applyAlignment="1">
      <alignment horizontal="right"/>
    </xf>
    <xf numFmtId="165" fontId="6" fillId="25" borderId="17" xfId="1" applyNumberFormat="1" applyFont="1" applyFill="1" applyBorder="1" applyAlignment="1">
      <alignment horizontal="right" vertical="center"/>
    </xf>
    <xf numFmtId="9" fontId="46" fillId="25" borderId="17" xfId="2" applyFont="1" applyFill="1" applyBorder="1" applyAlignment="1">
      <alignment horizontal="right"/>
    </xf>
    <xf numFmtId="9" fontId="6" fillId="25" borderId="17" xfId="2" applyFont="1" applyFill="1" applyBorder="1" applyAlignment="1">
      <alignment horizontal="right" vertical="center"/>
    </xf>
    <xf numFmtId="0" fontId="33" fillId="0" borderId="5" xfId="0" applyFont="1" applyBorder="1" applyAlignment="1">
      <alignment vertical="top"/>
    </xf>
    <xf numFmtId="173" fontId="6" fillId="37" borderId="17" xfId="0" applyNumberFormat="1" applyFont="1" applyFill="1" applyBorder="1" applyAlignment="1">
      <alignment horizontal="right"/>
    </xf>
    <xf numFmtId="0" fontId="33" fillId="0" borderId="5" xfId="0" applyFont="1" applyFill="1" applyBorder="1" applyAlignment="1">
      <alignment wrapText="1"/>
    </xf>
    <xf numFmtId="173" fontId="33" fillId="25" borderId="5" xfId="0" applyNumberFormat="1" applyFont="1" applyFill="1" applyBorder="1" applyAlignment="1">
      <alignment horizontal="center" vertical="top"/>
    </xf>
    <xf numFmtId="174" fontId="33" fillId="25" borderId="5" xfId="0" applyNumberFormat="1" applyFont="1" applyFill="1" applyBorder="1" applyAlignment="1">
      <alignment horizontal="center" vertical="top"/>
    </xf>
    <xf numFmtId="165" fontId="33" fillId="25" borderId="5" xfId="1" applyNumberFormat="1" applyFont="1" applyFill="1" applyBorder="1" applyAlignment="1">
      <alignment horizontal="center" vertical="top"/>
    </xf>
    <xf numFmtId="182" fontId="33" fillId="25" borderId="5" xfId="0" applyNumberFormat="1" applyFont="1" applyFill="1" applyBorder="1" applyAlignment="1">
      <alignment horizontal="center" vertical="top"/>
    </xf>
    <xf numFmtId="0" fontId="42" fillId="25" borderId="5" xfId="0" applyFont="1" applyFill="1" applyBorder="1" applyAlignment="1">
      <alignment horizontal="center" vertical="top" wrapText="1"/>
    </xf>
    <xf numFmtId="0" fontId="4" fillId="0" borderId="0" xfId="0" applyFont="1" applyFill="1" applyAlignment="1">
      <alignment vertical="center" wrapText="1"/>
    </xf>
    <xf numFmtId="0" fontId="4" fillId="23" borderId="0" xfId="0" applyFont="1" applyFill="1" applyAlignment="1">
      <alignment horizontal="left" vertical="center" wrapText="1"/>
    </xf>
    <xf numFmtId="0" fontId="33" fillId="0" borderId="17" xfId="0" applyFont="1" applyBorder="1" applyAlignment="1">
      <alignment vertical="top"/>
    </xf>
    <xf numFmtId="0" fontId="6" fillId="0" borderId="17" xfId="0" applyFont="1" applyBorder="1" applyAlignment="1">
      <alignment vertical="top"/>
    </xf>
    <xf numFmtId="0" fontId="46" fillId="29" borderId="17" xfId="0" applyFont="1" applyFill="1" applyBorder="1" applyAlignment="1">
      <alignment horizontal="left" vertical="top"/>
    </xf>
    <xf numFmtId="0" fontId="6" fillId="25" borderId="17" xfId="0" applyFont="1" applyFill="1" applyBorder="1" applyAlignment="1">
      <alignment horizontal="left" vertical="top"/>
    </xf>
    <xf numFmtId="0" fontId="33" fillId="25" borderId="17" xfId="0" applyFont="1" applyFill="1" applyBorder="1" applyAlignment="1">
      <alignment horizontal="left" vertical="top"/>
    </xf>
    <xf numFmtId="0" fontId="6" fillId="25" borderId="17" xfId="0" applyFont="1" applyFill="1" applyBorder="1" applyAlignment="1">
      <alignment horizontal="left" wrapText="1"/>
    </xf>
    <xf numFmtId="0" fontId="6" fillId="0" borderId="5" xfId="0" applyFont="1" applyBorder="1"/>
    <xf numFmtId="9" fontId="46" fillId="29" borderId="5" xfId="2" applyFont="1" applyFill="1" applyBorder="1" applyAlignment="1">
      <alignment horizontal="center"/>
    </xf>
    <xf numFmtId="0" fontId="36" fillId="25" borderId="5" xfId="0" applyFont="1" applyFill="1" applyBorder="1" applyAlignment="1">
      <alignment horizontal="center"/>
    </xf>
    <xf numFmtId="0" fontId="6" fillId="25" borderId="5" xfId="0" applyFont="1" applyFill="1" applyBorder="1" applyAlignment="1">
      <alignment wrapText="1"/>
    </xf>
    <xf numFmtId="0" fontId="46" fillId="29" borderId="5" xfId="0" applyFont="1" applyFill="1" applyBorder="1" applyAlignment="1">
      <alignment horizontal="center"/>
    </xf>
    <xf numFmtId="0" fontId="36" fillId="25" borderId="5" xfId="0" applyFont="1" applyFill="1" applyBorder="1" applyAlignment="1">
      <alignment horizontal="center" vertical="top"/>
    </xf>
    <xf numFmtId="0" fontId="6" fillId="25" borderId="5" xfId="0" applyFont="1" applyFill="1" applyBorder="1" applyAlignment="1">
      <alignment vertical="top"/>
    </xf>
    <xf numFmtId="0" fontId="33" fillId="25" borderId="5" xfId="0" applyFont="1" applyFill="1" applyBorder="1" applyAlignment="1">
      <alignment horizontal="center" vertical="top"/>
    </xf>
    <xf numFmtId="0" fontId="6" fillId="25" borderId="5" xfId="0" applyFont="1" applyFill="1" applyBorder="1" applyAlignment="1">
      <alignment vertical="top" wrapText="1"/>
    </xf>
    <xf numFmtId="0" fontId="33" fillId="25" borderId="5" xfId="0" applyFont="1" applyFill="1" applyBorder="1" applyAlignment="1">
      <alignment horizontal="center" vertical="top" wrapText="1"/>
    </xf>
    <xf numFmtId="0" fontId="33" fillId="25" borderId="5" xfId="0" applyFont="1" applyFill="1" applyBorder="1" applyAlignment="1">
      <alignment vertical="top"/>
    </xf>
    <xf numFmtId="0" fontId="46" fillId="40" borderId="5" xfId="0" applyFont="1" applyFill="1" applyBorder="1" applyAlignment="1">
      <alignment horizontal="center" vertical="top"/>
    </xf>
    <xf numFmtId="0" fontId="4" fillId="32" borderId="0" xfId="0" applyFont="1" applyFill="1" applyAlignment="1">
      <alignment horizontal="center" vertical="center" wrapText="1"/>
    </xf>
    <xf numFmtId="0" fontId="4" fillId="28" borderId="0" xfId="0" applyFont="1" applyFill="1" applyAlignment="1">
      <alignment horizontal="center" vertical="center" wrapText="1"/>
    </xf>
    <xf numFmtId="0" fontId="4" fillId="33" borderId="0" xfId="0" applyFont="1" applyFill="1" applyAlignment="1">
      <alignment horizontal="center" vertical="center" wrapText="1"/>
    </xf>
    <xf numFmtId="0" fontId="42" fillId="34" borderId="0" xfId="0" applyFont="1" applyFill="1" applyAlignment="1">
      <alignment horizontal="left" vertical="top" wrapText="1"/>
    </xf>
    <xf numFmtId="0" fontId="42" fillId="31" borderId="0" xfId="0" applyFont="1" applyFill="1" applyAlignment="1">
      <alignment horizontal="left" vertical="top" wrapText="1"/>
    </xf>
    <xf numFmtId="0" fontId="42" fillId="24" borderId="0" xfId="0" applyFont="1" applyFill="1" applyAlignment="1">
      <alignment horizontal="left" vertical="top" wrapText="1"/>
    </xf>
    <xf numFmtId="0" fontId="42" fillId="0" borderId="0" xfId="0" applyFont="1" applyAlignment="1">
      <alignment vertical="top" wrapText="1"/>
    </xf>
    <xf numFmtId="0" fontId="42" fillId="0" borderId="0" xfId="0" applyFont="1" applyAlignment="1">
      <alignment horizontal="left" vertical="top" wrapText="1"/>
    </xf>
    <xf numFmtId="0" fontId="4" fillId="27" borderId="0" xfId="0" applyFont="1" applyFill="1"/>
    <xf numFmtId="0" fontId="51" fillId="0" borderId="0" xfId="0" applyFont="1" applyAlignment="1">
      <alignment vertical="top"/>
    </xf>
    <xf numFmtId="0" fontId="51" fillId="0" borderId="0" xfId="0" applyFont="1" applyAlignment="1">
      <alignment vertical="top" wrapText="1"/>
    </xf>
    <xf numFmtId="0" fontId="36" fillId="0" borderId="0" xfId="0" applyFont="1"/>
    <xf numFmtId="173" fontId="46" fillId="0" borderId="0" xfId="0" applyNumberFormat="1" applyFont="1" applyAlignment="1">
      <alignment horizontal="center"/>
    </xf>
    <xf numFmtId="173" fontId="6" fillId="0" borderId="0" xfId="0" applyNumberFormat="1" applyFont="1" applyAlignment="1">
      <alignment horizontal="center"/>
    </xf>
    <xf numFmtId="0" fontId="6" fillId="0" borderId="0" xfId="0" applyFont="1" applyAlignment="1">
      <alignment wrapText="1"/>
    </xf>
    <xf numFmtId="0" fontId="4" fillId="0" borderId="0" xfId="0" applyFont="1" applyAlignment="1">
      <alignment horizontal="center"/>
    </xf>
    <xf numFmtId="0" fontId="36" fillId="0" borderId="0" xfId="0" applyFont="1" applyAlignment="1">
      <alignment wrapText="1"/>
    </xf>
    <xf numFmtId="0" fontId="3" fillId="39" borderId="0" xfId="0" applyFont="1" applyFill="1"/>
    <xf numFmtId="0" fontId="53" fillId="39" borderId="0" xfId="0" applyFont="1" applyFill="1" applyAlignment="1">
      <alignment horizontal="center" vertical="center"/>
    </xf>
    <xf numFmtId="0" fontId="54" fillId="38" borderId="8" xfId="0" applyFont="1" applyFill="1" applyBorder="1" applyAlignment="1">
      <alignment horizontal="center"/>
    </xf>
    <xf numFmtId="0" fontId="54" fillId="38" borderId="9" xfId="0" applyFont="1" applyFill="1" applyBorder="1" applyAlignment="1">
      <alignment horizontal="center"/>
    </xf>
    <xf numFmtId="0" fontId="54" fillId="38" borderId="10" xfId="0" applyFont="1" applyFill="1" applyBorder="1" applyAlignment="1">
      <alignment horizontal="center"/>
    </xf>
    <xf numFmtId="0" fontId="55" fillId="0" borderId="0" xfId="0" applyFont="1"/>
    <xf numFmtId="184" fontId="56" fillId="0" borderId="11" xfId="0" applyNumberFormat="1" applyFont="1" applyBorder="1" applyAlignment="1">
      <alignment horizontal="center" vertical="center"/>
    </xf>
    <xf numFmtId="184" fontId="56" fillId="0" borderId="0" xfId="0" applyNumberFormat="1" applyFont="1" applyAlignment="1">
      <alignment horizontal="center" vertical="center"/>
    </xf>
    <xf numFmtId="184" fontId="56" fillId="0" borderId="12" xfId="0" applyNumberFormat="1" applyFont="1" applyBorder="1" applyAlignment="1">
      <alignment horizontal="center" vertical="center"/>
    </xf>
    <xf numFmtId="183" fontId="56" fillId="0" borderId="11" xfId="2" applyNumberFormat="1" applyFont="1" applyBorder="1" applyAlignment="1">
      <alignment horizontal="center" vertical="center"/>
    </xf>
    <xf numFmtId="183" fontId="56" fillId="0" borderId="0" xfId="2" applyNumberFormat="1" applyFont="1" applyBorder="1" applyAlignment="1">
      <alignment horizontal="center" vertical="center"/>
    </xf>
    <xf numFmtId="185" fontId="56" fillId="0" borderId="0" xfId="1" applyNumberFormat="1" applyFont="1" applyFill="1" applyBorder="1" applyAlignment="1">
      <alignment horizontal="center" vertical="center"/>
    </xf>
    <xf numFmtId="185" fontId="56" fillId="0" borderId="12" xfId="1" applyNumberFormat="1" applyFont="1" applyFill="1" applyBorder="1" applyAlignment="1">
      <alignment horizontal="center" vertical="center"/>
    </xf>
    <xf numFmtId="186" fontId="56" fillId="0" borderId="11" xfId="0" applyNumberFormat="1" applyFont="1" applyBorder="1" applyAlignment="1">
      <alignment horizontal="center" vertical="center"/>
    </xf>
    <xf numFmtId="186" fontId="56" fillId="0" borderId="0" xfId="0" applyNumberFormat="1" applyFont="1" applyAlignment="1">
      <alignment horizontal="center" vertical="center"/>
    </xf>
    <xf numFmtId="186" fontId="56" fillId="0" borderId="12" xfId="0" applyNumberFormat="1" applyFont="1" applyBorder="1" applyAlignment="1">
      <alignment horizontal="center" vertical="center"/>
    </xf>
    <xf numFmtId="187" fontId="56" fillId="0" borderId="11" xfId="0" applyNumberFormat="1" applyFont="1" applyBorder="1" applyAlignment="1">
      <alignment horizontal="center" vertical="center"/>
    </xf>
    <xf numFmtId="187" fontId="56" fillId="0" borderId="0" xfId="0" applyNumberFormat="1" applyFont="1" applyAlignment="1">
      <alignment horizontal="center" vertical="center"/>
    </xf>
    <xf numFmtId="0" fontId="3" fillId="0" borderId="0" xfId="0" applyFont="1" applyAlignment="1">
      <alignment horizontal="center"/>
    </xf>
    <xf numFmtId="0" fontId="3" fillId="0" borderId="12" xfId="0" applyFont="1" applyBorder="1" applyAlignment="1">
      <alignment horizontal="center"/>
    </xf>
    <xf numFmtId="0" fontId="3" fillId="0" borderId="11" xfId="0" applyFont="1" applyBorder="1" applyAlignment="1">
      <alignment horizontal="center"/>
    </xf>
    <xf numFmtId="0" fontId="3" fillId="0" borderId="11" xfId="0" applyFont="1" applyBorder="1" applyAlignment="1">
      <alignment horizontal="center" vertical="top"/>
    </xf>
    <xf numFmtId="0" fontId="3" fillId="0" borderId="0" xfId="0" applyFont="1" applyAlignment="1">
      <alignment horizontal="center" vertical="top"/>
    </xf>
    <xf numFmtId="0" fontId="3" fillId="0" borderId="12" xfId="0" applyFont="1" applyBorder="1" applyAlignment="1">
      <alignment horizontal="center" vertical="top"/>
    </xf>
    <xf numFmtId="0" fontId="3" fillId="0" borderId="7" xfId="0" applyFont="1" applyBorder="1" applyAlignment="1">
      <alignment horizontal="center"/>
    </xf>
    <xf numFmtId="0" fontId="3" fillId="0" borderId="14" xfId="0" applyFont="1" applyBorder="1" applyAlignment="1">
      <alignment horizontal="center"/>
    </xf>
    <xf numFmtId="0" fontId="3" fillId="0" borderId="13" xfId="0" applyFont="1" applyBorder="1" applyAlignment="1">
      <alignment horizontal="center"/>
    </xf>
    <xf numFmtId="0" fontId="3" fillId="0" borderId="13" xfId="0" applyFont="1" applyBorder="1" applyAlignment="1">
      <alignment horizontal="center" vertical="top"/>
    </xf>
    <xf numFmtId="0" fontId="3" fillId="0" borderId="7" xfId="0" applyFont="1" applyBorder="1" applyAlignment="1">
      <alignment horizontal="center" vertical="top"/>
    </xf>
    <xf numFmtId="0" fontId="3" fillId="0" borderId="14" xfId="0" applyFont="1" applyBorder="1" applyAlignment="1">
      <alignment horizontal="center" vertical="top"/>
    </xf>
    <xf numFmtId="0" fontId="3" fillId="0" borderId="0" xfId="0" applyFont="1" applyAlignment="1">
      <alignment horizontal="center"/>
    </xf>
    <xf numFmtId="0" fontId="3" fillId="0" borderId="0" xfId="0" applyFont="1" applyAlignment="1">
      <alignment horizontal="center" vertical="top"/>
    </xf>
    <xf numFmtId="166" fontId="56" fillId="0" borderId="11" xfId="0" applyNumberFormat="1" applyFont="1" applyBorder="1" applyAlignment="1">
      <alignment horizontal="center" vertical="center"/>
    </xf>
    <xf numFmtId="166" fontId="56" fillId="0" borderId="0" xfId="0" applyNumberFormat="1" applyFont="1" applyAlignment="1">
      <alignment horizontal="center" vertical="center"/>
    </xf>
    <xf numFmtId="166" fontId="56" fillId="0" borderId="12" xfId="0" applyNumberFormat="1" applyFont="1" applyBorder="1" applyAlignment="1">
      <alignment horizontal="center" vertical="center"/>
    </xf>
    <xf numFmtId="189" fontId="56" fillId="0" borderId="11" xfId="0" applyNumberFormat="1" applyFont="1" applyBorder="1" applyAlignment="1">
      <alignment horizontal="center" vertical="center"/>
    </xf>
    <xf numFmtId="189" fontId="56" fillId="0" borderId="0" xfId="0" applyNumberFormat="1" applyFont="1" applyAlignment="1">
      <alignment horizontal="center" vertical="center"/>
    </xf>
    <xf numFmtId="190" fontId="56" fillId="0" borderId="11" xfId="0" applyNumberFormat="1" applyFont="1" applyBorder="1" applyAlignment="1">
      <alignment horizontal="center" vertical="center"/>
    </xf>
    <xf numFmtId="190" fontId="56" fillId="0" borderId="12" xfId="0" applyNumberFormat="1" applyFont="1" applyBorder="1" applyAlignment="1">
      <alignment horizontal="center" vertical="center"/>
    </xf>
    <xf numFmtId="0" fontId="57" fillId="0" borderId="11" xfId="0" applyFont="1" applyBorder="1" applyAlignment="1">
      <alignment horizontal="center" vertical="center"/>
    </xf>
    <xf numFmtId="0" fontId="57" fillId="0" borderId="0" xfId="0" applyFont="1" applyAlignment="1">
      <alignment horizontal="center" vertical="center"/>
    </xf>
    <xf numFmtId="0" fontId="43" fillId="0" borderId="11" xfId="0" applyFont="1" applyBorder="1" applyAlignment="1">
      <alignment horizontal="center" vertical="center" wrapText="1"/>
    </xf>
    <xf numFmtId="0" fontId="43" fillId="0" borderId="0" xfId="0" applyFont="1" applyAlignment="1">
      <alignment horizontal="center" vertical="center" wrapText="1"/>
    </xf>
    <xf numFmtId="0" fontId="43" fillId="0" borderId="13" xfId="0" applyFont="1" applyBorder="1" applyAlignment="1">
      <alignment horizontal="center" vertical="center" wrapText="1"/>
    </xf>
    <xf numFmtId="0" fontId="43" fillId="0" borderId="7" xfId="0" applyFont="1" applyBorder="1" applyAlignment="1">
      <alignment horizontal="center" vertical="center" wrapText="1"/>
    </xf>
    <xf numFmtId="0" fontId="54" fillId="38" borderId="9" xfId="0" applyFont="1" applyFill="1" applyBorder="1"/>
    <xf numFmtId="0" fontId="0" fillId="0" borderId="0" xfId="0" applyFill="1"/>
    <xf numFmtId="0" fontId="0" fillId="0" borderId="0" xfId="0" applyFill="1" applyBorder="1"/>
    <xf numFmtId="0" fontId="29" fillId="0" borderId="0" xfId="0" applyFont="1" applyFill="1" applyBorder="1"/>
    <xf numFmtId="0" fontId="27" fillId="0" borderId="0" xfId="0" applyFont="1" applyFill="1" applyBorder="1"/>
    <xf numFmtId="0" fontId="30" fillId="0" borderId="0" xfId="0" applyFont="1" applyAlignment="1">
      <alignment horizontal="center" vertical="center" wrapText="1"/>
    </xf>
    <xf numFmtId="0" fontId="0" fillId="0" borderId="0" xfId="0" applyAlignment="1">
      <alignment horizontal="left" vertical="top" wrapText="1"/>
    </xf>
    <xf numFmtId="0" fontId="3" fillId="0" borderId="0" xfId="0" applyFont="1" applyFill="1"/>
    <xf numFmtId="0" fontId="53" fillId="0" borderId="0" xfId="0" applyFont="1" applyFill="1" applyAlignment="1">
      <alignment horizontal="center" vertical="center"/>
    </xf>
    <xf numFmtId="0" fontId="61" fillId="0" borderId="11" xfId="0" applyFont="1" applyBorder="1" applyAlignment="1">
      <alignment horizontal="left"/>
    </xf>
    <xf numFmtId="0" fontId="61" fillId="0" borderId="0" xfId="0" applyFont="1" applyAlignment="1">
      <alignment horizontal="left"/>
    </xf>
    <xf numFmtId="0" fontId="61" fillId="0" borderId="12" xfId="0" applyFont="1" applyBorder="1" applyAlignment="1">
      <alignment horizontal="left"/>
    </xf>
    <xf numFmtId="0" fontId="61" fillId="0" borderId="0" xfId="0" applyFont="1"/>
    <xf numFmtId="0" fontId="28" fillId="0" borderId="0" xfId="0" applyFont="1" applyAlignment="1">
      <alignment vertical="center" wrapText="1"/>
    </xf>
    <xf numFmtId="164" fontId="41" fillId="30" borderId="5" xfId="0" applyNumberFormat="1" applyFont="1" applyFill="1" applyBorder="1" applyAlignment="1">
      <alignment wrapText="1"/>
    </xf>
    <xf numFmtId="0" fontId="41" fillId="30" borderId="5" xfId="0" applyFont="1" applyFill="1" applyBorder="1" applyAlignment="1">
      <alignment wrapText="1"/>
    </xf>
    <xf numFmtId="5" fontId="41" fillId="30" borderId="5" xfId="0" applyNumberFormat="1" applyFont="1" applyFill="1" applyBorder="1" applyAlignment="1">
      <alignment wrapText="1"/>
    </xf>
    <xf numFmtId="9" fontId="41" fillId="30" borderId="5" xfId="2" applyFont="1" applyFill="1" applyBorder="1" applyAlignment="1">
      <alignment wrapText="1"/>
    </xf>
    <xf numFmtId="165" fontId="41" fillId="30" borderId="5" xfId="1" applyNumberFormat="1" applyFont="1" applyFill="1" applyBorder="1" applyAlignment="1">
      <alignment wrapText="1"/>
    </xf>
    <xf numFmtId="0" fontId="41" fillId="30" borderId="5" xfId="0" applyFont="1" applyFill="1" applyBorder="1" applyAlignment="1">
      <alignment horizontal="center"/>
    </xf>
    <xf numFmtId="0" fontId="41" fillId="30" borderId="5" xfId="0" applyFont="1" applyFill="1" applyBorder="1" applyAlignment="1">
      <alignment horizontal="left"/>
    </xf>
    <xf numFmtId="0" fontId="6" fillId="35" borderId="5" xfId="0" applyFont="1" applyFill="1" applyBorder="1" applyAlignment="1">
      <alignment wrapText="1"/>
    </xf>
    <xf numFmtId="0" fontId="36" fillId="36" borderId="5" xfId="0" applyFont="1" applyFill="1" applyBorder="1" applyAlignment="1">
      <alignment vertical="center"/>
    </xf>
    <xf numFmtId="0" fontId="52" fillId="35" borderId="5" xfId="0" applyFont="1" applyFill="1" applyBorder="1" applyAlignment="1">
      <alignment horizontal="center"/>
    </xf>
    <xf numFmtId="5" fontId="46" fillId="24" borderId="5" xfId="0" applyNumberFormat="1" applyFont="1" applyFill="1" applyBorder="1" applyAlignment="1">
      <alignment horizontal="right"/>
    </xf>
    <xf numFmtId="5" fontId="41" fillId="30" borderId="5" xfId="0" applyNumberFormat="1" applyFont="1" applyFill="1" applyBorder="1" applyAlignment="1">
      <alignment horizontal="right"/>
    </xf>
    <xf numFmtId="5" fontId="42" fillId="4" borderId="5" xfId="0" applyNumberFormat="1" applyFont="1" applyFill="1" applyBorder="1" applyAlignment="1">
      <alignment horizontal="right"/>
    </xf>
    <xf numFmtId="174" fontId="42" fillId="4" borderId="5" xfId="2" applyNumberFormat="1" applyFont="1" applyFill="1" applyBorder="1" applyAlignment="1">
      <alignment horizontal="right"/>
    </xf>
    <xf numFmtId="0" fontId="50" fillId="34" borderId="5" xfId="0" applyFont="1" applyFill="1" applyBorder="1" applyAlignment="1">
      <alignment horizontal="center"/>
    </xf>
    <xf numFmtId="9" fontId="46" fillId="24" borderId="5" xfId="2" applyFont="1" applyFill="1" applyBorder="1" applyAlignment="1">
      <alignment horizontal="right"/>
    </xf>
    <xf numFmtId="9" fontId="41" fillId="30" borderId="5" xfId="2" applyFont="1" applyFill="1" applyBorder="1" applyAlignment="1">
      <alignment horizontal="right"/>
    </xf>
    <xf numFmtId="9" fontId="42" fillId="4" borderId="5" xfId="2" applyFont="1" applyFill="1" applyBorder="1" applyAlignment="1">
      <alignment horizontal="right"/>
    </xf>
    <xf numFmtId="174" fontId="42" fillId="37" borderId="5" xfId="2" applyNumberFormat="1" applyFont="1" applyFill="1" applyBorder="1" applyAlignment="1">
      <alignment horizontal="right"/>
    </xf>
    <xf numFmtId="0" fontId="50" fillId="37" borderId="5" xfId="0" applyFont="1" applyFill="1" applyBorder="1" applyAlignment="1">
      <alignment horizontal="center"/>
    </xf>
    <xf numFmtId="5" fontId="42" fillId="37" borderId="5" xfId="0" applyNumberFormat="1" applyFont="1" applyFill="1" applyBorder="1" applyAlignment="1">
      <alignment horizontal="right"/>
    </xf>
    <xf numFmtId="165" fontId="46" fillId="24" borderId="5" xfId="1" applyNumberFormat="1" applyFont="1" applyFill="1" applyBorder="1" applyAlignment="1">
      <alignment horizontal="right"/>
    </xf>
    <xf numFmtId="165" fontId="41" fillId="30" borderId="5" xfId="1" applyNumberFormat="1" applyFont="1" applyFill="1" applyBorder="1" applyAlignment="1">
      <alignment horizontal="right"/>
    </xf>
    <xf numFmtId="165" fontId="42" fillId="4" borderId="5" xfId="1" applyNumberFormat="1" applyFont="1" applyFill="1" applyBorder="1" applyAlignment="1">
      <alignment horizontal="right"/>
    </xf>
    <xf numFmtId="166" fontId="46" fillId="24" borderId="5" xfId="2" applyNumberFormat="1" applyFont="1" applyFill="1" applyBorder="1" applyAlignment="1">
      <alignment horizontal="right"/>
    </xf>
    <xf numFmtId="166" fontId="41" fillId="30" borderId="5" xfId="2" applyNumberFormat="1" applyFont="1" applyFill="1" applyBorder="1" applyAlignment="1">
      <alignment horizontal="right"/>
    </xf>
    <xf numFmtId="166" fontId="42" fillId="4" borderId="5" xfId="2" applyNumberFormat="1" applyFont="1" applyFill="1" applyBorder="1" applyAlignment="1">
      <alignment horizontal="right"/>
    </xf>
    <xf numFmtId="0" fontId="4" fillId="13" borderId="17" xfId="0" applyFont="1" applyFill="1" applyBorder="1" applyAlignment="1">
      <alignment horizontal="center" vertical="center" wrapText="1"/>
    </xf>
    <xf numFmtId="0" fontId="36" fillId="36" borderId="17" xfId="0" applyFont="1" applyFill="1" applyBorder="1"/>
    <xf numFmtId="0" fontId="6" fillId="35" borderId="17" xfId="0" applyFont="1" applyFill="1" applyBorder="1" applyAlignment="1">
      <alignment horizontal="center"/>
    </xf>
    <xf numFmtId="0" fontId="41" fillId="30" borderId="17" xfId="0" applyFont="1" applyFill="1" applyBorder="1" applyAlignment="1">
      <alignment horizontal="right"/>
    </xf>
    <xf numFmtId="0" fontId="44" fillId="36" borderId="5" xfId="0" applyFont="1" applyFill="1" applyBorder="1" applyAlignment="1">
      <alignment vertical="top"/>
    </xf>
    <xf numFmtId="0" fontId="51" fillId="35" borderId="5" xfId="0" applyFont="1" applyFill="1" applyBorder="1" applyAlignment="1">
      <alignment vertical="top" wrapText="1"/>
    </xf>
    <xf numFmtId="0" fontId="44" fillId="36" borderId="5" xfId="0" applyFont="1" applyFill="1" applyBorder="1" applyAlignment="1">
      <alignment vertical="top" wrapText="1"/>
    </xf>
    <xf numFmtId="0" fontId="36" fillId="36" borderId="5" xfId="0" applyFont="1" applyFill="1" applyBorder="1" applyAlignment="1">
      <alignment vertical="top"/>
    </xf>
    <xf numFmtId="5" fontId="46" fillId="24" borderId="5" xfId="0" applyNumberFormat="1" applyFont="1" applyFill="1" applyBorder="1" applyAlignment="1">
      <alignment vertical="top"/>
    </xf>
    <xf numFmtId="0" fontId="46" fillId="24" borderId="5" xfId="0" applyFont="1" applyFill="1" applyBorder="1" applyAlignment="1">
      <alignment vertical="top"/>
    </xf>
    <xf numFmtId="166" fontId="46" fillId="24" borderId="5" xfId="2" applyNumberFormat="1" applyFont="1" applyFill="1" applyBorder="1" applyAlignment="1">
      <alignment vertical="top"/>
    </xf>
    <xf numFmtId="0" fontId="36" fillId="30" borderId="5" xfId="0" applyFont="1" applyFill="1" applyBorder="1" applyAlignment="1">
      <alignment horizontal="center" vertical="top"/>
    </xf>
    <xf numFmtId="0" fontId="6" fillId="35" borderId="5" xfId="0" applyFont="1" applyFill="1" applyBorder="1" applyAlignment="1">
      <alignment vertical="top" wrapText="1"/>
    </xf>
    <xf numFmtId="9" fontId="46" fillId="24" borderId="5" xfId="2" applyFont="1" applyFill="1" applyBorder="1" applyAlignment="1">
      <alignment vertical="top"/>
    </xf>
    <xf numFmtId="170" fontId="46" fillId="24" borderId="5" xfId="2" applyNumberFormat="1" applyFont="1" applyFill="1" applyBorder="1" applyAlignment="1">
      <alignment vertical="top"/>
    </xf>
    <xf numFmtId="165" fontId="46" fillId="24" borderId="5" xfId="1" applyNumberFormat="1" applyFont="1" applyFill="1" applyBorder="1" applyAlignment="1">
      <alignment vertical="top"/>
    </xf>
    <xf numFmtId="0" fontId="33" fillId="30" borderId="5" xfId="0" applyFont="1" applyFill="1" applyBorder="1" applyAlignment="1">
      <alignment horizontal="center" vertical="top"/>
    </xf>
    <xf numFmtId="164" fontId="33" fillId="30" borderId="5" xfId="0" applyNumberFormat="1" applyFont="1" applyFill="1" applyBorder="1" applyAlignment="1">
      <alignment horizontal="center" vertical="top"/>
    </xf>
    <xf numFmtId="9" fontId="33" fillId="30" borderId="5" xfId="0" applyNumberFormat="1" applyFont="1" applyFill="1" applyBorder="1" applyAlignment="1">
      <alignment horizontal="center" vertical="top"/>
    </xf>
    <xf numFmtId="188" fontId="59" fillId="40" borderId="0" xfId="0" applyNumberFormat="1" applyFont="1" applyFill="1" applyAlignment="1">
      <alignment horizontal="center" vertical="center"/>
    </xf>
    <xf numFmtId="188" fontId="59" fillId="40" borderId="12" xfId="0" applyNumberFormat="1" applyFont="1" applyFill="1" applyBorder="1" applyAlignment="1">
      <alignment horizontal="center" vertical="center"/>
    </xf>
    <xf numFmtId="0" fontId="58" fillId="40" borderId="0" xfId="0" applyFont="1" applyFill="1" applyAlignment="1">
      <alignment horizontal="center" vertical="center" wrapText="1"/>
    </xf>
    <xf numFmtId="0" fontId="58" fillId="40" borderId="12" xfId="0" applyFont="1" applyFill="1" applyBorder="1" applyAlignment="1">
      <alignment horizontal="center" vertical="center" wrapText="1"/>
    </xf>
    <xf numFmtId="0" fontId="60" fillId="40" borderId="22" xfId="0" applyFont="1" applyFill="1" applyBorder="1" applyAlignment="1">
      <alignment horizontal="left" wrapText="1"/>
    </xf>
    <xf numFmtId="0" fontId="60" fillId="40" borderId="23" xfId="0" applyFont="1" applyFill="1" applyBorder="1" applyAlignment="1">
      <alignment horizontal="left"/>
    </xf>
    <xf numFmtId="0" fontId="60" fillId="40" borderId="20" xfId="0" applyFont="1" applyFill="1" applyBorder="1" applyAlignment="1">
      <alignment horizontal="left"/>
    </xf>
    <xf numFmtId="0" fontId="43" fillId="0" borderId="0" xfId="0" applyFont="1" applyBorder="1" applyAlignment="1">
      <alignment horizontal="center" vertical="center" wrapText="1"/>
    </xf>
    <xf numFmtId="0" fontId="63" fillId="40" borderId="24" xfId="0" applyFont="1" applyFill="1" applyBorder="1" applyAlignment="1">
      <alignment horizontal="left" vertical="top"/>
    </xf>
    <xf numFmtId="0" fontId="63" fillId="40" borderId="24" xfId="0" applyFont="1" applyFill="1" applyBorder="1" applyAlignment="1">
      <alignment vertical="top"/>
    </xf>
    <xf numFmtId="0" fontId="61" fillId="0" borderId="0" xfId="0" applyFont="1" applyBorder="1" applyAlignment="1">
      <alignment horizontal="left"/>
    </xf>
    <xf numFmtId="189" fontId="56" fillId="0" borderId="0" xfId="0" applyNumberFormat="1" applyFont="1" applyBorder="1" applyAlignment="1">
      <alignment horizontal="center" vertical="center"/>
    </xf>
    <xf numFmtId="190" fontId="56" fillId="0" borderId="0" xfId="0" applyNumberFormat="1" applyFont="1" applyBorder="1" applyAlignment="1">
      <alignment horizontal="center" vertical="center"/>
    </xf>
    <xf numFmtId="0" fontId="63" fillId="40" borderId="25" xfId="0" applyFont="1" applyFill="1" applyBorder="1" applyAlignment="1">
      <alignment horizontal="left" vertical="top"/>
    </xf>
    <xf numFmtId="0" fontId="23" fillId="0" borderId="0" xfId="0" applyFont="1" applyBorder="1" applyAlignment="1"/>
    <xf numFmtId="0" fontId="63" fillId="40" borderId="26" xfId="0" applyFont="1" applyFill="1" applyBorder="1" applyAlignment="1">
      <alignment horizontal="left" vertical="top"/>
    </xf>
    <xf numFmtId="0" fontId="63" fillId="40" borderId="27" xfId="0" applyFont="1" applyFill="1" applyBorder="1" applyAlignment="1">
      <alignment horizontal="left" vertical="top"/>
    </xf>
    <xf numFmtId="0" fontId="63" fillId="40" borderId="27" xfId="0" applyFont="1" applyFill="1" applyBorder="1" applyAlignment="1">
      <alignment vertical="top"/>
    </xf>
    <xf numFmtId="0" fontId="3" fillId="0" borderId="11" xfId="0" applyFont="1" applyBorder="1"/>
    <xf numFmtId="0" fontId="3" fillId="0" borderId="0" xfId="0" applyFont="1" applyBorder="1"/>
    <xf numFmtId="0" fontId="3" fillId="0" borderId="12" xfId="0" applyFont="1" applyBorder="1"/>
    <xf numFmtId="0" fontId="3" fillId="0" borderId="13" xfId="0" applyFont="1" applyBorder="1"/>
    <xf numFmtId="0" fontId="3" fillId="0" borderId="7" xfId="0" applyFont="1" applyBorder="1"/>
    <xf numFmtId="0" fontId="3" fillId="0" borderId="14" xfId="0" applyFont="1" applyBorder="1"/>
    <xf numFmtId="0" fontId="55" fillId="38" borderId="8" xfId="0" applyFont="1" applyFill="1" applyBorder="1"/>
    <xf numFmtId="0" fontId="55" fillId="38" borderId="10" xfId="0" applyFont="1" applyFill="1" applyBorder="1"/>
    <xf numFmtId="0" fontId="55" fillId="38" borderId="28" xfId="0" applyFont="1" applyFill="1" applyBorder="1"/>
    <xf numFmtId="0" fontId="54" fillId="38" borderId="29" xfId="0" applyFont="1" applyFill="1" applyBorder="1" applyAlignment="1">
      <alignment horizontal="center"/>
    </xf>
    <xf numFmtId="0" fontId="54" fillId="38" borderId="29" xfId="0" applyFont="1" applyFill="1" applyBorder="1"/>
    <xf numFmtId="0" fontId="54" fillId="38" borderId="30" xfId="0" applyFont="1" applyFill="1" applyBorder="1"/>
    <xf numFmtId="0" fontId="0" fillId="0" borderId="0" xfId="0" applyBorder="1"/>
    <xf numFmtId="0" fontId="61" fillId="0" borderId="13" xfId="0" applyFont="1" applyBorder="1"/>
    <xf numFmtId="0" fontId="6" fillId="0" borderId="0" xfId="0" applyFont="1" applyAlignment="1">
      <alignment horizontal="center" vertical="top"/>
    </xf>
    <xf numFmtId="0" fontId="6" fillId="0" borderId="12" xfId="0" applyFont="1" applyBorder="1" applyAlignment="1">
      <alignment horizontal="center" vertical="top"/>
    </xf>
    <xf numFmtId="0" fontId="6" fillId="0" borderId="7" xfId="0" applyFont="1" applyBorder="1" applyAlignment="1">
      <alignment horizontal="center" vertical="top"/>
    </xf>
    <xf numFmtId="0" fontId="6" fillId="0" borderId="14" xfId="0" applyFont="1" applyBorder="1" applyAlignment="1">
      <alignment horizontal="center" vertical="top"/>
    </xf>
    <xf numFmtId="0" fontId="3" fillId="0" borderId="11" xfId="0" applyFont="1" applyBorder="1" applyAlignment="1">
      <alignment horizontal="left" vertical="top"/>
    </xf>
    <xf numFmtId="0" fontId="3" fillId="0" borderId="0" xfId="0" applyFont="1" applyAlignment="1">
      <alignment horizontal="left" vertical="top"/>
    </xf>
    <xf numFmtId="0" fontId="3" fillId="0" borderId="12" xfId="0" applyFont="1" applyBorder="1" applyAlignment="1">
      <alignment horizontal="left" vertical="top"/>
    </xf>
    <xf numFmtId="0" fontId="3" fillId="0" borderId="13" xfId="0" applyFont="1" applyBorder="1" applyAlignment="1">
      <alignment horizontal="left" vertical="top"/>
    </xf>
    <xf numFmtId="0" fontId="3" fillId="0" borderId="7" xfId="0" applyFont="1" applyBorder="1" applyAlignment="1">
      <alignment horizontal="left" vertical="top"/>
    </xf>
    <xf numFmtId="0" fontId="3" fillId="0" borderId="14" xfId="0" applyFont="1" applyBorder="1" applyAlignment="1">
      <alignment horizontal="left" vertical="top"/>
    </xf>
  </cellXfs>
  <cellStyles count="3">
    <cellStyle name="Comma" xfId="1" builtinId="3"/>
    <cellStyle name="Normal" xfId="0" builtinId="0"/>
    <cellStyle name="Percent" xfId="2" builtinId="5"/>
  </cellStyles>
  <dxfs count="23">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CE4D6"/>
        </patternFill>
      </fill>
    </dxf>
    <dxf>
      <font>
        <b/>
        <color rgb="FFC00000"/>
      </font>
      <fill>
        <patternFill patternType="solid">
          <bgColor rgb="FFFCE4D6"/>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CE4D6"/>
        </patternFill>
      </fill>
    </dxf>
    <dxf>
      <font>
        <b/>
        <color rgb="FFC00000"/>
      </font>
      <fill>
        <patternFill patternType="solid">
          <bgColor rgb="FFFCE4D6"/>
        </patternFill>
      </fill>
    </dxf>
    <dxf>
      <font>
        <b/>
        <color rgb="FFFF0000"/>
      </font>
      <fill>
        <patternFill patternType="solid">
          <bgColor rgb="FFFCE4D6"/>
        </patternFill>
      </fill>
    </dxf>
    <dxf>
      <font>
        <b/>
        <color rgb="FFFF0000"/>
      </font>
      <fill>
        <patternFill patternType="solid">
          <bgColor rgb="FFFCE4D6"/>
        </patternFill>
      </fill>
    </dxf>
    <dxf>
      <fill>
        <patternFill patternType="solid">
          <bgColor rgb="FFFFF2CC"/>
        </patternFill>
      </fill>
    </dxf>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ont>
        <color rgb="FF00703C"/>
      </font>
      <fill>
        <patternFill>
          <bgColor rgb="FFC6EFCE"/>
        </patternFill>
      </fill>
    </dxf>
    <dxf>
      <font>
        <b/>
        <i val="0"/>
        <color theme="0"/>
      </font>
      <fill>
        <patternFill>
          <bgColor rgb="FFC00000"/>
        </patternFill>
      </fill>
    </dxf>
    <dxf>
      <font>
        <b/>
        <i val="0"/>
        <color theme="0"/>
      </font>
      <fill>
        <patternFill>
          <bgColor rgb="FFC00000"/>
        </patternFill>
      </fill>
    </dxf>
    <dxf>
      <font>
        <color rgb="FF00703C"/>
      </font>
      <fill>
        <patternFill>
          <bgColor rgb="FFC6EFCE"/>
        </patternFill>
      </fill>
    </dxf>
    <dxf>
      <font>
        <color rgb="FF9C0006"/>
      </font>
    </dxf>
    <dxf>
      <font>
        <color theme="0"/>
      </font>
      <fill>
        <patternFill>
          <bgColor rgb="FF00B050"/>
        </patternFill>
      </fill>
    </dxf>
    <dxf>
      <font>
        <color theme="0"/>
      </font>
      <fill>
        <patternFill>
          <bgColor theme="7"/>
        </patternFill>
      </fill>
    </dxf>
    <dxf>
      <font>
        <color theme="0"/>
      </font>
      <fill>
        <patternFill>
          <bgColor rgb="FFC00000"/>
        </patternFill>
      </fill>
    </dxf>
  </dxfs>
  <tableStyles count="0" defaultTableStyle="TableStyleMedium2" defaultPivotStyle="PivotStyleLight16"/>
  <colors>
    <mruColors>
      <color rgb="FF00703C"/>
      <color rgb="FFC6EFCE"/>
      <color rgb="FF1F4E78"/>
      <color rgb="FF003399"/>
      <color rgb="FF993300"/>
      <color rgb="FFD6E4F0"/>
      <color rgb="FFFFFF00"/>
      <color rgb="FF0000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ARR Movement Bridge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areaChart>
        <c:grouping val="stacked"/>
        <c:varyColors val="0"/>
        <c:ser>
          <c:idx val="0"/>
          <c:order val="0"/>
          <c:tx>
            <c:strRef>
              <c:f>'2. Dashboard'!$BF$28</c:f>
              <c:strCache>
                <c:ptCount val="1"/>
                <c:pt idx="0">
                  <c:v>Month</c:v>
                </c:pt>
              </c:strCache>
            </c:strRef>
          </c:tx>
          <c:spPr>
            <a:solidFill>
              <a:schemeClr val="accent1"/>
            </a:solidFill>
            <a:ln>
              <a:noFill/>
            </a:ln>
            <a:effectLst/>
          </c:spPr>
          <c:val>
            <c:numRef>
              <c:f>'2. Dashboard'!$BF$29:$BF$52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val>
          <c:extLst>
            <c:ext xmlns:c16="http://schemas.microsoft.com/office/drawing/2014/chart" uri="{C3380CC4-5D6E-409C-BE32-E72D297353CC}">
              <c16:uniqueId val="{00000000-F792-41E1-8FCB-DD1D7F24505F}"/>
            </c:ext>
          </c:extLst>
        </c:ser>
        <c:ser>
          <c:idx val="1"/>
          <c:order val="1"/>
          <c:tx>
            <c:strRef>
              <c:f>'2. Dashboard'!$BG$28</c:f>
              <c:strCache>
                <c:ptCount val="1"/>
                <c:pt idx="0">
                  <c:v>New Logo MRR</c:v>
                </c:pt>
              </c:strCache>
            </c:strRef>
          </c:tx>
          <c:spPr>
            <a:solidFill>
              <a:schemeClr val="accent2"/>
            </a:solidFill>
            <a:ln>
              <a:noFill/>
            </a:ln>
            <a:effectLst/>
          </c:spPr>
          <c:val>
            <c:numRef>
              <c:f>'2. Dashboard'!$BG$29:$BG$52</c:f>
              <c:numCache>
                <c:formatCode>"$"#,##0_);\("$"#,##0\)</c:formatCode>
                <c:ptCount val="24"/>
                <c:pt idx="0">
                  <c:v>30672</c:v>
                </c:pt>
                <c:pt idx="1">
                  <c:v>31125.600000000002</c:v>
                </c:pt>
                <c:pt idx="2">
                  <c:v>32096.404800000004</c:v>
                </c:pt>
                <c:pt idx="3">
                  <c:v>33525.108720000004</c:v>
                </c:pt>
                <c:pt idx="4">
                  <c:v>35370.395845920008</c:v>
                </c:pt>
                <c:pt idx="5">
                  <c:v>44793.441153240012</c:v>
                </c:pt>
                <c:pt idx="6">
                  <c:v>47906.384794089179</c:v>
                </c:pt>
                <c:pt idx="7">
                  <c:v>51424.02601953088</c:v>
                </c:pt>
                <c:pt idx="8">
                  <c:v>55351.781537641291</c:v>
                </c:pt>
                <c:pt idx="9">
                  <c:v>59702.306094457534</c:v>
                </c:pt>
                <c:pt idx="10">
                  <c:v>64494.672005724758</c:v>
                </c:pt>
                <c:pt idx="11">
                  <c:v>69753.80140667969</c:v>
                </c:pt>
                <c:pt idx="12">
                  <c:v>75510.102495154992</c:v>
                </c:pt>
                <c:pt idx="13">
                  <c:v>81799.272425674862</c:v>
                </c:pt>
                <c:pt idx="14">
                  <c:v>88662.238455060433</c:v>
                </c:pt>
                <c:pt idx="15">
                  <c:v>96145.215986413677</c:v>
                </c:pt>
                <c:pt idx="16">
                  <c:v>104299.86773239402</c:v>
                </c:pt>
                <c:pt idx="17">
                  <c:v>113183.55265200244</c:v>
                </c:pt>
                <c:pt idx="18">
                  <c:v>122859.65686701621</c:v>
                </c:pt>
                <c:pt idx="19">
                  <c:v>133398.00163791337</c:v>
                </c:pt>
                <c:pt idx="20">
                  <c:v>144875.325833952</c:v>
                </c:pt>
                <c:pt idx="21">
                  <c:v>157375.84229333512</c:v>
                </c:pt>
                <c:pt idx="22">
                  <c:v>170991.86913593271</c:v>
                </c:pt>
                <c:pt idx="23">
                  <c:v>185824.53854116501</c:v>
                </c:pt>
              </c:numCache>
            </c:numRef>
          </c:val>
          <c:extLst>
            <c:ext xmlns:c16="http://schemas.microsoft.com/office/drawing/2014/chart" uri="{C3380CC4-5D6E-409C-BE32-E72D297353CC}">
              <c16:uniqueId val="{00000001-F792-41E1-8FCB-DD1D7F24505F}"/>
            </c:ext>
          </c:extLst>
        </c:ser>
        <c:ser>
          <c:idx val="2"/>
          <c:order val="2"/>
          <c:tx>
            <c:strRef>
              <c:f>'2. Dashboard'!$BH$28</c:f>
              <c:strCache>
                <c:ptCount val="1"/>
                <c:pt idx="0">
                  <c:v>Expansion MRR</c:v>
                </c:pt>
              </c:strCache>
            </c:strRef>
          </c:tx>
          <c:spPr>
            <a:solidFill>
              <a:schemeClr val="accent3"/>
            </a:solidFill>
            <a:ln>
              <a:noFill/>
            </a:ln>
            <a:effectLst/>
          </c:spPr>
          <c:val>
            <c:numRef>
              <c:f>'2. Dashboard'!$BH$29:$BH$52</c:f>
              <c:numCache>
                <c:formatCode>"$"#,##0_);\("$"#,##0\)</c:formatCode>
                <c:ptCount val="24"/>
                <c:pt idx="0">
                  <c:v>9630</c:v>
                </c:pt>
                <c:pt idx="1">
                  <c:v>10574.925000000001</c:v>
                </c:pt>
                <c:pt idx="2">
                  <c:v>11129.634562499999</c:v>
                </c:pt>
                <c:pt idx="3">
                  <c:v>11680.755412031251</c:v>
                </c:pt>
                <c:pt idx="4">
                  <c:v>12246.05952020039</c:v>
                </c:pt>
                <c:pt idx="5">
                  <c:v>12840.677957774878</c:v>
                </c:pt>
                <c:pt idx="6">
                  <c:v>13477.819693300269</c:v>
                </c:pt>
                <c:pt idx="7">
                  <c:v>14169.344517422429</c:v>
                </c:pt>
                <c:pt idx="8">
                  <c:v>14926.2234371998</c:v>
                </c:pt>
                <c:pt idx="9">
                  <c:v>15758.912668154378</c:v>
                </c:pt>
                <c:pt idx="10">
                  <c:v>16677.661734877402</c:v>
                </c:pt>
                <c:pt idx="11">
                  <c:v>17692.771822935156</c:v>
                </c:pt>
                <c:pt idx="12">
                  <c:v>18814.817132152442</c:v>
                </c:pt>
                <c:pt idx="13">
                  <c:v>20054.839350914015</c:v>
                </c:pt>
                <c:pt idx="14">
                  <c:v>21424.523336787322</c:v>
                </c:pt>
                <c:pt idx="15">
                  <c:v>22936.360521105373</c:v>
                </c:pt>
                <c:pt idx="16">
                  <c:v>24603.805353374937</c:v>
                </c:pt>
                <c:pt idx="17">
                  <c:v>26441.429187069971</c:v>
                </c:pt>
                <c:pt idx="18">
                  <c:v>28465.075320571057</c:v>
                </c:pt>
                <c:pt idx="19">
                  <c:v>30692.018398395216</c:v>
                </c:pt>
                <c:pt idx="20">
                  <c:v>33141.131011763719</c:v>
                </c:pt>
                <c:pt idx="21">
                  <c:v>35833.060085656885</c:v>
                </c:pt>
                <c:pt idx="22">
                  <c:v>38790.415480014984</c:v>
                </c:pt>
                <c:pt idx="23">
                  <c:v>42037.973148999408</c:v>
                </c:pt>
              </c:numCache>
            </c:numRef>
          </c:val>
          <c:extLst>
            <c:ext xmlns:c16="http://schemas.microsoft.com/office/drawing/2014/chart" uri="{C3380CC4-5D6E-409C-BE32-E72D297353CC}">
              <c16:uniqueId val="{00000002-F792-41E1-8FCB-DD1D7F24505F}"/>
            </c:ext>
          </c:extLst>
        </c:ser>
        <c:dLbls>
          <c:showLegendKey val="0"/>
          <c:showVal val="0"/>
          <c:showCatName val="0"/>
          <c:showSerName val="0"/>
          <c:showPercent val="0"/>
          <c:showBubbleSize val="0"/>
        </c:dLbls>
        <c:axId val="1330006800"/>
        <c:axId val="138850240"/>
      </c:areaChart>
      <c:barChart>
        <c:barDir val="col"/>
        <c:grouping val="stacked"/>
        <c:varyColors val="0"/>
        <c:ser>
          <c:idx val="3"/>
          <c:order val="3"/>
          <c:tx>
            <c:strRef>
              <c:f>'2. Dashboard'!$BI$28</c:f>
              <c:strCache>
                <c:ptCount val="1"/>
                <c:pt idx="0">
                  <c:v>Churn</c:v>
                </c:pt>
              </c:strCache>
            </c:strRef>
          </c:tx>
          <c:spPr>
            <a:solidFill>
              <a:schemeClr val="accent4"/>
            </a:solidFill>
            <a:ln>
              <a:noFill/>
            </a:ln>
            <a:effectLst/>
          </c:spPr>
          <c:invertIfNegative val="0"/>
          <c:val>
            <c:numRef>
              <c:f>'2. Dashboard'!$BI$29:$BI$52</c:f>
              <c:numCache>
                <c:formatCode>"$"#,##0_);\("$"#,##0\)</c:formatCode>
                <c:ptCount val="24"/>
                <c:pt idx="0">
                  <c:v>0</c:v>
                </c:pt>
                <c:pt idx="1">
                  <c:v>-16372.076667804589</c:v>
                </c:pt>
                <c:pt idx="2">
                  <c:v>-17141.796817168</c:v>
                </c:pt>
                <c:pt idx="3">
                  <c:v>-17925.747814021193</c:v>
                </c:pt>
                <c:pt idx="4">
                  <c:v>-18741.374420849847</c:v>
                </c:pt>
                <c:pt idx="5">
                  <c:v>-19604.046820341253</c:v>
                </c:pt>
                <c:pt idx="6">
                  <c:v>-20624.375614825221</c:v>
                </c:pt>
                <c:pt idx="7">
                  <c:v>-21724.102961832359</c:v>
                </c:pt>
                <c:pt idx="8">
                  <c:v>-22916.0531075283</c:v>
                </c:pt>
                <c:pt idx="9">
                  <c:v>-24212.872219243807</c:v>
                </c:pt>
                <c:pt idx="10">
                  <c:v>-25627.313909598663</c:v>
                </c:pt>
                <c:pt idx="11">
                  <c:v>-27172.485127039057</c:v>
                </c:pt>
                <c:pt idx="12">
                  <c:v>-28862.063351143075</c:v>
                </c:pt>
                <c:pt idx="13">
                  <c:v>-30710.49383965923</c:v>
                </c:pt>
                <c:pt idx="14">
                  <c:v>-32733.173985972709</c:v>
                </c:pt>
                <c:pt idx="15">
                  <c:v>-34946.630551923678</c:v>
                </c:pt>
                <c:pt idx="16">
                  <c:v>-37368.694557114446</c:v>
                </c:pt>
                <c:pt idx="17">
                  <c:v>-40018.677866337355</c:v>
                </c:pt>
                <c:pt idx="18">
                  <c:v>-42917.554970535668</c:v>
                </c:pt>
                <c:pt idx="19">
                  <c:v>-46088.153064266509</c:v>
                </c:pt>
                <c:pt idx="20">
                  <c:v>-49555.353253452457</c:v>
                </c:pt>
                <c:pt idx="21">
                  <c:v>-53346.305557809013</c:v>
                </c:pt>
                <c:pt idx="22">
                  <c:v>-57490.660284770871</c:v>
                </c:pt>
                <c:pt idx="23">
                  <c:v>-62020.818332403767</c:v>
                </c:pt>
              </c:numCache>
            </c:numRef>
          </c:val>
          <c:extLst>
            <c:ext xmlns:c16="http://schemas.microsoft.com/office/drawing/2014/chart" uri="{C3380CC4-5D6E-409C-BE32-E72D297353CC}">
              <c16:uniqueId val="{00000003-F792-41E1-8FCB-DD1D7F24505F}"/>
            </c:ext>
          </c:extLst>
        </c:ser>
        <c:ser>
          <c:idx val="4"/>
          <c:order val="4"/>
          <c:tx>
            <c:strRef>
              <c:f>'2. Dashboard'!$BJ$28</c:f>
              <c:strCache>
                <c:ptCount val="1"/>
                <c:pt idx="0">
                  <c:v>Contraction</c:v>
                </c:pt>
              </c:strCache>
            </c:strRef>
          </c:tx>
          <c:spPr>
            <a:solidFill>
              <a:schemeClr val="accent5"/>
            </a:solidFill>
            <a:ln>
              <a:noFill/>
            </a:ln>
            <a:effectLst/>
          </c:spPr>
          <c:invertIfNegative val="0"/>
          <c:val>
            <c:numRef>
              <c:f>'2. Dashboard'!$BJ$29:$BJ$52</c:f>
              <c:numCache>
                <c:formatCode>"$"#,##0_);\("$"#,##0\)</c:formatCode>
                <c:ptCount val="24"/>
                <c:pt idx="0">
                  <c:v>-4982.3999999999996</c:v>
                </c:pt>
                <c:pt idx="1">
                  <c:v>-5335.5960000000005</c:v>
                </c:pt>
                <c:pt idx="2">
                  <c:v>-5535.5245233219548</c:v>
                </c:pt>
                <c:pt idx="3">
                  <c:v>-5741.0117035420562</c:v>
                </c:pt>
                <c:pt idx="4">
                  <c:v>-5956.4027496867375</c:v>
                </c:pt>
                <c:pt idx="5">
                  <c:v>-6185.589531642574</c:v>
                </c:pt>
                <c:pt idx="6">
                  <c:v>-6504.0343592328827</c:v>
                </c:pt>
                <c:pt idx="7">
                  <c:v>-6846.5923043661969</c:v>
                </c:pt>
                <c:pt idx="8">
                  <c:v>-7216.8190570737443</c:v>
                </c:pt>
                <c:pt idx="9">
                  <c:v>-7618.2703851761344</c:v>
                </c:pt>
                <c:pt idx="10">
                  <c:v>-8054.571146758055</c:v>
                </c:pt>
                <c:pt idx="11">
                  <c:v>-8529.4756336005084</c:v>
                </c:pt>
                <c:pt idx="12">
                  <c:v>-9046.921758290262</c:v>
                </c:pt>
                <c:pt idx="13">
                  <c:v>-9611.081103469005</c:v>
                </c:pt>
                <c:pt idx="14">
                  <c:v>-10226.406471803608</c:v>
                </c:pt>
                <c:pt idx="15">
                  <c:v>-10897.67828514432</c:v>
                </c:pt>
                <c:pt idx="16">
                  <c:v>-11630.05096184883</c:v>
                </c:pt>
                <c:pt idx="17">
                  <c:v>-12429.10023751689</c:v>
                </c:pt>
                <c:pt idx="18">
                  <c:v>-13300.872274869071</c:v>
                </c:pt>
                <c:pt idx="19">
                  <c:v>-14251.935324290896</c:v>
                </c:pt>
                <c:pt idx="20">
                  <c:v>-15289.434640768406</c:v>
                </c:pt>
                <c:pt idx="21">
                  <c:v>-16421.151330283355</c:v>
                </c:pt>
                <c:pt idx="22">
                  <c:v>-17655.565785192353</c:v>
                </c:pt>
                <c:pt idx="23">
                  <c:v>-19001.926370652196</c:v>
                </c:pt>
              </c:numCache>
            </c:numRef>
          </c:val>
          <c:extLst>
            <c:ext xmlns:c16="http://schemas.microsoft.com/office/drawing/2014/chart" uri="{C3380CC4-5D6E-409C-BE32-E72D297353CC}">
              <c16:uniqueId val="{00000004-F792-41E1-8FCB-DD1D7F24505F}"/>
            </c:ext>
          </c:extLst>
        </c:ser>
        <c:dLbls>
          <c:showLegendKey val="0"/>
          <c:showVal val="0"/>
          <c:showCatName val="0"/>
          <c:showSerName val="0"/>
          <c:showPercent val="0"/>
          <c:showBubbleSize val="0"/>
        </c:dLbls>
        <c:gapWidth val="219"/>
        <c:overlap val="100"/>
        <c:axId val="1330006800"/>
        <c:axId val="138850240"/>
      </c:barChart>
      <c:lineChart>
        <c:grouping val="standard"/>
        <c:varyColors val="0"/>
        <c:ser>
          <c:idx val="5"/>
          <c:order val="5"/>
          <c:tx>
            <c:strRef>
              <c:f>'2. Dashboard'!$BK$28</c:f>
              <c:strCache>
                <c:ptCount val="1"/>
                <c:pt idx="0">
                  <c:v>Net MRR Movement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'2. Dashboard'!$BK$29:$BK$52</c:f>
              <c:numCache>
                <c:formatCode>"$"#,##0.00_);\("$"#,##0.00\)</c:formatCode>
                <c:ptCount val="24"/>
                <c:pt idx="0">
                  <c:v>35319.600000000006</c:v>
                </c:pt>
                <c:pt idx="1">
                  <c:v>19992.852332195413</c:v>
                </c:pt>
                <c:pt idx="2">
                  <c:v>20548.718022010045</c:v>
                </c:pt>
                <c:pt idx="3">
                  <c:v>21539.104614468008</c:v>
                </c:pt>
                <c:pt idx="4">
                  <c:v>22918.678195583816</c:v>
                </c:pt>
                <c:pt idx="5">
                  <c:v>31844.48275903106</c:v>
                </c:pt>
                <c:pt idx="6">
                  <c:v>34255.794513331348</c:v>
                </c:pt>
                <c:pt idx="7">
                  <c:v>37022.675270754749</c:v>
                </c:pt>
                <c:pt idx="8">
                  <c:v>40145.132810239054</c:v>
                </c:pt>
                <c:pt idx="9">
                  <c:v>43630.076158191965</c:v>
                </c:pt>
                <c:pt idx="10">
                  <c:v>47490.448684245443</c:v>
                </c:pt>
                <c:pt idx="11">
                  <c:v>51744.612468975276</c:v>
                </c:pt>
                <c:pt idx="12">
                  <c:v>56415.934517874106</c:v>
                </c:pt>
                <c:pt idx="13">
                  <c:v>61532.536833460632</c:v>
                </c:pt>
                <c:pt idx="14">
                  <c:v>67127.181334071443</c:v>
                </c:pt>
                <c:pt idx="15">
                  <c:v>73237.267670451052</c:v>
                </c:pt>
                <c:pt idx="16">
                  <c:v>79904.927566805709</c:v>
                </c:pt>
                <c:pt idx="17">
                  <c:v>87177.203735218165</c:v>
                </c:pt>
                <c:pt idx="18">
                  <c:v>95106.304942182527</c:v>
                </c:pt>
                <c:pt idx="19">
                  <c:v>103749.93164775119</c:v>
                </c:pt>
                <c:pt idx="20">
                  <c:v>113171.66895149485</c:v>
                </c:pt>
                <c:pt idx="21">
                  <c:v>123441.44549089964</c:v>
                </c:pt>
                <c:pt idx="22">
                  <c:v>134636.05854598447</c:v>
                </c:pt>
                <c:pt idx="23">
                  <c:v>146839.76698710848</c:v>
                </c:pt>
              </c:numCache>
            </c:numRef>
          </c:val>
          <c:smooth val="0"/>
          <c:extLst>
            <c:ext xmlns:c16="http://schemas.microsoft.com/office/drawing/2014/chart" uri="{C3380CC4-5D6E-409C-BE32-E72D297353CC}">
              <c16:uniqueId val="{00000005-F792-41E1-8FCB-DD1D7F24505F}"/>
            </c:ext>
          </c:extLst>
        </c:ser>
        <c:dLbls>
          <c:showLegendKey val="0"/>
          <c:showVal val="0"/>
          <c:showCatName val="0"/>
          <c:showSerName val="0"/>
          <c:showPercent val="0"/>
          <c:showBubbleSize val="0"/>
        </c:dLbls>
        <c:marker val="1"/>
        <c:smooth val="0"/>
        <c:axId val="1330006800"/>
        <c:axId val="138850240"/>
      </c:lineChart>
      <c:catAx>
        <c:axId val="13300068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0240"/>
        <c:crossesAt val="0"/>
        <c:auto val="1"/>
        <c:lblAlgn val="ctr"/>
        <c:lblOffset val="1000"/>
        <c:noMultiLvlLbl val="0"/>
      </c:catAx>
      <c:valAx>
        <c:axId val="138850240"/>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06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Runway Burn-down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Dashboard'!$BO$28</c:f>
              <c:strCache>
                <c:ptCount val="1"/>
                <c:pt idx="0">
                  <c:v>Ending Cash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'2. Dashboard'!$BN$29:$BN$52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'2. Dashboard'!$BO$29:$BO$52</c:f>
              <c:numCache>
                <c:formatCode>"$"#,##0.00_);\("$"#,##0.00\)</c:formatCode>
                <c:ptCount val="24"/>
                <c:pt idx="0">
                  <c:v>1512335.4621166666</c:v>
                </c:pt>
                <c:pt idx="1">
                  <c:v>1508196.7243334583</c:v>
                </c:pt>
                <c:pt idx="2">
                  <c:v>1490023.7528328798</c:v>
                </c:pt>
                <c:pt idx="3">
                  <c:v>1457902.0742307885</c:v>
                </c:pt>
                <c:pt idx="4">
                  <c:v>1416942.7845283854</c:v>
                </c:pt>
                <c:pt idx="5">
                  <c:v>1361562.316727173</c:v>
                </c:pt>
                <c:pt idx="6">
                  <c:v>1305944.4411794234</c:v>
                </c:pt>
                <c:pt idx="7">
                  <c:v>1244676.1563135234</c:v>
                </c:pt>
                <c:pt idx="8">
                  <c:v>1172539.7665720116</c:v>
                </c:pt>
                <c:pt idx="9">
                  <c:v>1090493.3783798253</c:v>
                </c:pt>
                <c:pt idx="10">
                  <c:v>1011976.7843103755</c:v>
                </c:pt>
                <c:pt idx="11">
                  <c:v>923184.26222337573</c:v>
                </c:pt>
                <c:pt idx="12">
                  <c:v>837680.01577680232</c:v>
                </c:pt>
                <c:pt idx="13">
                  <c:v>742734.43658203131</c:v>
                </c:pt>
                <c:pt idx="14">
                  <c:v>652994.09296540951</c:v>
                </c:pt>
                <c:pt idx="15">
                  <c:v>560318.79583351512</c:v>
                </c:pt>
                <c:pt idx="16">
                  <c:v>473952.43196457293</c:v>
                </c:pt>
                <c:pt idx="17">
                  <c:v>394527.59451722878</c:v>
                </c:pt>
                <c:pt idx="18">
                  <c:v>322737.37984522828</c:v>
                </c:pt>
                <c:pt idx="19">
                  <c:v>243174.39232203056</c:v>
                </c:pt>
                <c:pt idx="20">
                  <c:v>172837.00494782929</c:v>
                </c:pt>
                <c:pt idx="21">
                  <c:v>112636.2631522055</c:v>
                </c:pt>
                <c:pt idx="22">
                  <c:v>5063570.1591940625</c:v>
                </c:pt>
                <c:pt idx="23">
                  <c:v>5026732.0116651999</c:v>
                </c:pt>
              </c:numCache>
            </c:numRef>
          </c:val>
          <c:smooth val="0"/>
          <c:extLst>
            <c:ext xmlns:c16="http://schemas.microsoft.com/office/drawing/2014/chart" uri="{C3380CC4-5D6E-409C-BE32-E72D297353CC}">
              <c16:uniqueId val="{00000000-6E32-474F-A931-A1CD4C6E6018}"/>
            </c:ext>
          </c:extLst>
        </c:ser>
        <c:ser>
          <c:idx val="1"/>
          <c:order val="1"/>
          <c:tx>
            <c:strRef>
              <c:f>'2. Dashboard'!$BP$28</c:f>
              <c:strCache>
                <c:ptCount val="1"/>
                <c:pt idx="0">
                  <c:v>6-Month Cash Threshold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'2. Dashboard'!$BN$29:$BN$52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'2. Dashboard'!$BP$29:$BP$52</c:f>
              <c:numCache>
                <c:formatCode>"$"#,##0.00_);\("$"#,##0.00\)</c:formatCode>
                <c:ptCount val="24"/>
                <c:pt idx="0" formatCode="_(* #,##0.00_);_(* \(#,##0.00\);_(* &quot;-&quot;??_);_(@_)">
                  <c:v>0</c:v>
                </c:pt>
                <c:pt idx="1">
                  <c:v>24832.42669925002</c:v>
                </c:pt>
                <c:pt idx="2">
                  <c:v>109037.82900347142</c:v>
                </c:pt>
                <c:pt idx="3">
                  <c:v>192730.0716125477</c:v>
                </c:pt>
                <c:pt idx="4">
                  <c:v>245755.73821441885</c:v>
                </c:pt>
                <c:pt idx="5">
                  <c:v>332282.80680727423</c:v>
                </c:pt>
                <c:pt idx="6">
                  <c:v>333707.2532864979</c:v>
                </c:pt>
                <c:pt idx="7">
                  <c:v>367609.70919539989</c:v>
                </c:pt>
                <c:pt idx="8">
                  <c:v>432818.33844907</c:v>
                </c:pt>
                <c:pt idx="9">
                  <c:v>492278.32915311819</c:v>
                </c:pt>
                <c:pt idx="10">
                  <c:v>471099.56441669865</c:v>
                </c:pt>
                <c:pt idx="11">
                  <c:v>532755.13252199837</c:v>
                </c:pt>
                <c:pt idx="12">
                  <c:v>513025.47867944045</c:v>
                </c:pt>
                <c:pt idx="13">
                  <c:v>569673.47516862606</c:v>
                </c:pt>
                <c:pt idx="14">
                  <c:v>538442.06169973081</c:v>
                </c:pt>
                <c:pt idx="15">
                  <c:v>556051.78279136645</c:v>
                </c:pt>
                <c:pt idx="16">
                  <c:v>518198.18321365304</c:v>
                </c:pt>
                <c:pt idx="17">
                  <c:v>476549.02468406491</c:v>
                </c:pt>
                <c:pt idx="18">
                  <c:v>430741.28803200298</c:v>
                </c:pt>
                <c:pt idx="19">
                  <c:v>477377.92513918632</c:v>
                </c:pt>
                <c:pt idx="20">
                  <c:v>422024.32424520759</c:v>
                </c:pt>
                <c:pt idx="21">
                  <c:v>361204.45077374275</c:v>
                </c:pt>
                <c:pt idx="22">
                  <c:v>294396.62374885665</c:v>
                </c:pt>
                <c:pt idx="23">
                  <c:v>221028.88517317496</c:v>
                </c:pt>
              </c:numCache>
            </c:numRef>
          </c:val>
          <c:smooth val="0"/>
          <c:extLst>
            <c:ext xmlns:c16="http://schemas.microsoft.com/office/drawing/2014/chart" uri="{C3380CC4-5D6E-409C-BE32-E72D297353CC}">
              <c16:uniqueId val="{00000001-6E32-474F-A931-A1CD4C6E6018}"/>
            </c:ext>
          </c:extLst>
        </c:ser>
        <c:dLbls>
          <c:showLegendKey val="0"/>
          <c:showVal val="0"/>
          <c:showCatName val="0"/>
          <c:showSerName val="0"/>
          <c:showPercent val="0"/>
          <c:showBubbleSize val="0"/>
        </c:dLbls>
        <c:marker val="1"/>
        <c:smooth val="0"/>
        <c:axId val="1330369696"/>
        <c:axId val="1330370176"/>
      </c:lineChart>
      <c:catAx>
        <c:axId val="133036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70176"/>
        <c:crosses val="autoZero"/>
        <c:auto val="1"/>
        <c:lblAlgn val="ctr"/>
        <c:lblOffset val="100"/>
        <c:noMultiLvlLbl val="0"/>
      </c:catAx>
      <c:valAx>
        <c:axId val="1330370176"/>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6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CAC Payback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Dashboard'!$BV$28</c:f>
              <c:strCache>
                <c:ptCount val="1"/>
                <c:pt idx="0">
                  <c:v>CAC Payback</c:v>
                </c:pt>
              </c:strCache>
            </c:strRef>
          </c:tx>
          <c:spPr>
            <a:ln w="28575" cap="rnd">
              <a:solidFill>
                <a:schemeClr val="accent1"/>
              </a:solidFill>
              <a:round/>
            </a:ln>
            <a:effectLst/>
          </c:spPr>
          <c:marker>
            <c:symbol val="none"/>
          </c:marker>
          <c:cat>
            <c:numRef>
              <c:f>'2. Dashboard'!$BU$29:$BU$52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'2. Dashboard'!$BV$29:$BV$52</c:f>
              <c:numCache>
                <c:formatCode>_(* #,##0_);_(* \(#,##0\);_(* "-"??_);_(@_)</c:formatCode>
                <c:ptCount val="24"/>
                <c:pt idx="0">
                  <c:v>8.6246530145934965</c:v>
                </c:pt>
                <c:pt idx="1">
                  <c:v>8.8190809319648391</c:v>
                </c:pt>
                <c:pt idx="2">
                  <c:v>8.975294022107386</c:v>
                </c:pt>
                <c:pt idx="3">
                  <c:v>9.1004172415383415</c:v>
                </c:pt>
                <c:pt idx="4">
                  <c:v>9.2013772574578478</c:v>
                </c:pt>
                <c:pt idx="5">
                  <c:v>10.304369742330916</c:v>
                </c:pt>
                <c:pt idx="6">
                  <c:v>10.315444827257348</c:v>
                </c:pt>
                <c:pt idx="7">
                  <c:v>12.392083125213771</c:v>
                </c:pt>
                <c:pt idx="8">
                  <c:v>12.20043727380884</c:v>
                </c:pt>
                <c:pt idx="9">
                  <c:v>11.968757791549757</c:v>
                </c:pt>
                <c:pt idx="10">
                  <c:v>11.749603380203634</c:v>
                </c:pt>
                <c:pt idx="11">
                  <c:v>11.543814308175838</c:v>
                </c:pt>
                <c:pt idx="12">
                  <c:v>11.351538060653702</c:v>
                </c:pt>
                <c:pt idx="13">
                  <c:v>11.17245832315645</c:v>
                </c:pt>
                <c:pt idx="14">
                  <c:v>11.005964690100361</c:v>
                </c:pt>
                <c:pt idx="15">
                  <c:v>12.206202269708289</c:v>
                </c:pt>
                <c:pt idx="16">
                  <c:v>11.93168024508666</c:v>
                </c:pt>
                <c:pt idx="17">
                  <c:v>11.680602587282626</c:v>
                </c:pt>
                <c:pt idx="18">
                  <c:v>11.450576129268931</c:v>
                </c:pt>
                <c:pt idx="19">
                  <c:v>11.239429626808922</c:v>
                </c:pt>
                <c:pt idx="20">
                  <c:v>11.045203687533292</c:v>
                </c:pt>
                <c:pt idx="21">
                  <c:v>10.866136949382417</c:v>
                </c:pt>
                <c:pt idx="22">
                  <c:v>10.700650444711787</c:v>
                </c:pt>
                <c:pt idx="23">
                  <c:v>10.547331421849993</c:v>
                </c:pt>
              </c:numCache>
            </c:numRef>
          </c:val>
          <c:smooth val="0"/>
          <c:extLst>
            <c:ext xmlns:c16="http://schemas.microsoft.com/office/drawing/2014/chart" uri="{C3380CC4-5D6E-409C-BE32-E72D297353CC}">
              <c16:uniqueId val="{00000000-F3EF-4ECF-8ECF-A489CAEE16BF}"/>
            </c:ext>
          </c:extLst>
        </c:ser>
        <c:ser>
          <c:idx val="1"/>
          <c:order val="1"/>
          <c:tx>
            <c:strRef>
              <c:f>'2. Dashboard'!$BW$28</c:f>
              <c:strCache>
                <c:ptCount val="1"/>
                <c:pt idx="0">
                  <c:v>Target</c:v>
                </c:pt>
              </c:strCache>
            </c:strRef>
          </c:tx>
          <c:spPr>
            <a:ln w="28575" cap="rnd">
              <a:solidFill>
                <a:schemeClr val="accent2"/>
              </a:solidFill>
              <a:round/>
            </a:ln>
            <a:effectLst/>
          </c:spPr>
          <c:marker>
            <c:symbol val="none"/>
          </c:marker>
          <c:cat>
            <c:numRef>
              <c:f>'2. Dashboard'!$BU$29:$BU$52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'2. Dashboard'!$BW$29:$BW$52</c:f>
              <c:numCache>
                <c:formatCode>_(* #,##0_);_(* \(#,##0\);_(* "-"??_);_(@_)</c:formatCode>
                <c:ptCount val="24"/>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numCache>
            </c:numRef>
          </c:val>
          <c:smooth val="0"/>
          <c:extLst>
            <c:ext xmlns:c16="http://schemas.microsoft.com/office/drawing/2014/chart" uri="{C3380CC4-5D6E-409C-BE32-E72D297353CC}">
              <c16:uniqueId val="{00000001-F3EF-4ECF-8ECF-A489CAEE16BF}"/>
            </c:ext>
          </c:extLst>
        </c:ser>
        <c:dLbls>
          <c:showLegendKey val="0"/>
          <c:showVal val="0"/>
          <c:showCatName val="0"/>
          <c:showSerName val="0"/>
          <c:showPercent val="0"/>
          <c:showBubbleSize val="0"/>
        </c:dLbls>
        <c:smooth val="0"/>
        <c:axId val="1787563920"/>
        <c:axId val="1787550480"/>
      </c:lineChart>
      <c:catAx>
        <c:axId val="178756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50480"/>
        <c:crosses val="autoZero"/>
        <c:auto val="1"/>
        <c:lblAlgn val="ctr"/>
        <c:lblOffset val="100"/>
        <c:noMultiLvlLbl val="0"/>
      </c:catAx>
      <c:valAx>
        <c:axId val="178755048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6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Gross Margin Expansion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Dashboard'!$CC$28</c:f>
              <c:strCache>
                <c:ptCount val="1"/>
                <c:pt idx="0">
                  <c:v>Gross Margin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'2. Dashboard'!$CB$29:$CB$52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'2. Dashboard'!$CC$29:$CC$52</c:f>
              <c:numCache>
                <c:formatCode>0%</c:formatCode>
                <c:ptCount val="24"/>
                <c:pt idx="0">
                  <c:v>0.81985908490822779</c:v>
                </c:pt>
                <c:pt idx="1">
                  <c:v>0.82012327456166512</c:v>
                </c:pt>
                <c:pt idx="2">
                  <c:v>0.82048996233543603</c:v>
                </c:pt>
                <c:pt idx="3">
                  <c:v>0.82092287250609863</c:v>
                </c:pt>
                <c:pt idx="4">
                  <c:v>0.82139574493609535</c:v>
                </c:pt>
                <c:pt idx="5">
                  <c:v>0.81963945450971321</c:v>
                </c:pt>
                <c:pt idx="6">
                  <c:v>0.8179735679524891</c:v>
                </c:pt>
                <c:pt idx="7">
                  <c:v>0.67959487440738942</c:v>
                </c:pt>
                <c:pt idx="8">
                  <c:v>0.68859868723125639</c:v>
                </c:pt>
                <c:pt idx="9">
                  <c:v>0.69725960350791172</c:v>
                </c:pt>
                <c:pt idx="10">
                  <c:v>0.70557351776589405</c:v>
                </c:pt>
                <c:pt idx="11">
                  <c:v>0.71353775911037398</c:v>
                </c:pt>
                <c:pt idx="12">
                  <c:v>0.72114943615728833</c:v>
                </c:pt>
                <c:pt idx="13">
                  <c:v>0.72840650935195994</c:v>
                </c:pt>
                <c:pt idx="14">
                  <c:v>0.73530846509945214</c:v>
                </c:pt>
                <c:pt idx="15">
                  <c:v>0.65950822240294249</c:v>
                </c:pt>
                <c:pt idx="16">
                  <c:v>0.67130608439668193</c:v>
                </c:pt>
                <c:pt idx="17">
                  <c:v>0.6824709188534831</c:v>
                </c:pt>
                <c:pt idx="18">
                  <c:v>0.6930128079901503</c:v>
                </c:pt>
                <c:pt idx="19">
                  <c:v>0.70294528161623926</c:v>
                </c:pt>
                <c:pt idx="20">
                  <c:v>0.71228493722424824</c:v>
                </c:pt>
                <c:pt idx="21">
                  <c:v>0.72105100317048632</c:v>
                </c:pt>
                <c:pt idx="22">
                  <c:v>0.72926487897986281</c:v>
                </c:pt>
                <c:pt idx="23">
                  <c:v>0.73694967780662013</c:v>
                </c:pt>
              </c:numCache>
            </c:numRef>
          </c:val>
          <c:smooth val="0"/>
          <c:extLst>
            <c:ext xmlns:c16="http://schemas.microsoft.com/office/drawing/2014/chart" uri="{C3380CC4-5D6E-409C-BE32-E72D297353CC}">
              <c16:uniqueId val="{00000000-033A-44F3-9D39-3CFEF35BA7E1}"/>
            </c:ext>
          </c:extLst>
        </c:ser>
        <c:ser>
          <c:idx val="1"/>
          <c:order val="1"/>
          <c:tx>
            <c:strRef>
              <c:f>'2. Dashboard'!$CD$28</c:f>
              <c:strCache>
                <c:ptCount val="1"/>
                <c:pt idx="0">
                  <c:v>M24 Target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'2. Dashboard'!$CB$29:$CB$52</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'2. Dashboard'!$CD$29:$CD$52</c:f>
              <c:numCache>
                <c:formatCode>0%</c:formatCode>
                <c:ptCount val="24"/>
                <c:pt idx="0">
                  <c:v>0.74</c:v>
                </c:pt>
                <c:pt idx="1">
                  <c:v>0.74</c:v>
                </c:pt>
                <c:pt idx="2">
                  <c:v>0.74</c:v>
                </c:pt>
                <c:pt idx="3">
                  <c:v>0.74</c:v>
                </c:pt>
                <c:pt idx="4">
                  <c:v>0.74</c:v>
                </c:pt>
                <c:pt idx="5">
                  <c:v>0.74</c:v>
                </c:pt>
                <c:pt idx="6">
                  <c:v>0.74</c:v>
                </c:pt>
                <c:pt idx="7">
                  <c:v>0.74</c:v>
                </c:pt>
                <c:pt idx="8">
                  <c:v>0.74</c:v>
                </c:pt>
                <c:pt idx="9">
                  <c:v>0.74</c:v>
                </c:pt>
                <c:pt idx="10">
                  <c:v>0.74</c:v>
                </c:pt>
                <c:pt idx="11">
                  <c:v>0.74</c:v>
                </c:pt>
                <c:pt idx="12">
                  <c:v>0.74</c:v>
                </c:pt>
                <c:pt idx="13">
                  <c:v>0.74</c:v>
                </c:pt>
                <c:pt idx="14">
                  <c:v>0.74</c:v>
                </c:pt>
                <c:pt idx="15">
                  <c:v>0.74</c:v>
                </c:pt>
                <c:pt idx="16">
                  <c:v>0.74</c:v>
                </c:pt>
                <c:pt idx="17">
                  <c:v>0.74</c:v>
                </c:pt>
                <c:pt idx="18">
                  <c:v>0.74</c:v>
                </c:pt>
                <c:pt idx="19">
                  <c:v>0.74</c:v>
                </c:pt>
                <c:pt idx="20">
                  <c:v>0.74</c:v>
                </c:pt>
                <c:pt idx="21">
                  <c:v>0.74</c:v>
                </c:pt>
                <c:pt idx="22">
                  <c:v>0.74</c:v>
                </c:pt>
                <c:pt idx="23">
                  <c:v>0.74</c:v>
                </c:pt>
              </c:numCache>
            </c:numRef>
          </c:val>
          <c:smooth val="0"/>
          <c:extLst>
            <c:ext xmlns:c16="http://schemas.microsoft.com/office/drawing/2014/chart" uri="{C3380CC4-5D6E-409C-BE32-E72D297353CC}">
              <c16:uniqueId val="{00000001-033A-44F3-9D39-3CFEF35BA7E1}"/>
            </c:ext>
          </c:extLst>
        </c:ser>
        <c:dLbls>
          <c:showLegendKey val="0"/>
          <c:showVal val="0"/>
          <c:showCatName val="0"/>
          <c:showSerName val="0"/>
          <c:showPercent val="0"/>
          <c:showBubbleSize val="0"/>
        </c:dLbls>
        <c:marker val="1"/>
        <c:smooth val="0"/>
        <c:axId val="1787568720"/>
        <c:axId val="1787569200"/>
      </c:lineChart>
      <c:catAx>
        <c:axId val="17875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69200"/>
        <c:crosses val="autoZero"/>
        <c:auto val="1"/>
        <c:lblAlgn val="ctr"/>
        <c:lblOffset val="100"/>
        <c:noMultiLvlLbl val="0"/>
      </c:catAx>
      <c:valAx>
        <c:axId val="1787569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68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ARR Trajectory -</a:t>
            </a:r>
            <a:r>
              <a:rPr lang="en-IN" baseline="0"/>
              <a:t> Selected</a:t>
            </a:r>
            <a:r>
              <a:rPr lang="en-IN"/>
              <a:t> Scenario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'8. Scenarios'!$B$21:$Y$21</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'8. Scenarios'!$B$22:$Y$22</c:f>
              <c:numCache>
                <c:formatCode>\$#,##0;[Red]\(\$#,##0\);\-</c:formatCode>
                <c:ptCount val="24"/>
                <c:pt idx="0">
                  <c:v>533559.60000000009</c:v>
                </c:pt>
                <c:pt idx="1">
                  <c:v>553552.45233219536</c:v>
                </c:pt>
                <c:pt idx="2">
                  <c:v>574101.17035420542</c:v>
                </c:pt>
                <c:pt idx="3">
                  <c:v>595640.27496867348</c:v>
                </c:pt>
                <c:pt idx="4">
                  <c:v>618558.95316425734</c:v>
                </c:pt>
                <c:pt idx="5">
                  <c:v>650403.43592328834</c:v>
                </c:pt>
                <c:pt idx="6">
                  <c:v>684659.2304366196</c:v>
                </c:pt>
                <c:pt idx="7">
                  <c:v>721681.90570737433</c:v>
                </c:pt>
                <c:pt idx="8">
                  <c:v>761827.03851761343</c:v>
                </c:pt>
                <c:pt idx="9">
                  <c:v>808738.26504080137</c:v>
                </c:pt>
                <c:pt idx="10">
                  <c:v>859904.17127554596</c:v>
                </c:pt>
                <c:pt idx="11">
                  <c:v>915778.20511503622</c:v>
                </c:pt>
                <c:pt idx="12">
                  <c:v>976845.3053982585</c:v>
                </c:pt>
                <c:pt idx="13">
                  <c:v>1043627.2782152807</c:v>
                </c:pt>
                <c:pt idx="14">
                  <c:v>1116688.2268558932</c:v>
                </c:pt>
                <c:pt idx="15">
                  <c:v>1196640.1418957575</c:v>
                </c:pt>
                <c:pt idx="16">
                  <c:v>1284148.7472835707</c:v>
                </c:pt>
                <c:pt idx="17">
                  <c:v>1379939.6911168513</c:v>
                </c:pt>
                <c:pt idx="18">
                  <c:v>1484805.1654667938</c:v>
                </c:pt>
                <c:pt idx="19">
                  <c:v>1599611.0376685413</c:v>
                </c:pt>
                <c:pt idx="20">
                  <c:v>1725304.575578677</c:v>
                </c:pt>
                <c:pt idx="21">
                  <c:v>1862922.8511532308</c:v>
                </c:pt>
                <c:pt idx="22">
                  <c:v>2013601.9101260379</c:v>
                </c:pt>
                <c:pt idx="23">
                  <c:v>2178586.8004370267</c:v>
                </c:pt>
              </c:numCache>
            </c:numRef>
          </c:val>
          <c:smooth val="0"/>
          <c:extLst>
            <c:ext xmlns:c16="http://schemas.microsoft.com/office/drawing/2014/chart" uri="{C3380CC4-5D6E-409C-BE32-E72D297353CC}">
              <c16:uniqueId val="{00000001-53C2-4F89-AED4-7634D84A146E}"/>
            </c:ext>
          </c:extLst>
        </c:ser>
        <c:dLbls>
          <c:showLegendKey val="0"/>
          <c:showVal val="0"/>
          <c:showCatName val="0"/>
          <c:showSerName val="0"/>
          <c:showPercent val="0"/>
          <c:showBubbleSize val="0"/>
        </c:dLbls>
        <c:marker val="1"/>
        <c:smooth val="0"/>
        <c:axId val="91433455"/>
        <c:axId val="91431535"/>
      </c:lineChart>
      <c:catAx>
        <c:axId val="9143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1535"/>
        <c:crosses val="autoZero"/>
        <c:auto val="1"/>
        <c:lblAlgn val="ctr"/>
        <c:lblOffset val="100"/>
        <c:noMultiLvlLbl val="0"/>
      </c:catAx>
      <c:valAx>
        <c:axId val="91431535"/>
        <c:scaling>
          <c:orientation val="minMax"/>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Ending Cash / Runway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'8. Scenarios'!$B$26</c:f>
              <c:strCache>
                <c:ptCount val="1"/>
                <c:pt idx="0">
                  <c:v>$1,512,335</c:v>
                </c:pt>
              </c:strCache>
            </c:strRef>
          </c:tx>
          <c:spPr>
            <a:solidFill>
              <a:schemeClr val="accent1"/>
            </a:solidFill>
            <a:ln>
              <a:noFill/>
            </a:ln>
            <a:effectLst/>
          </c:spPr>
          <c:invertIfNegative val="0"/>
          <c:cat>
            <c:strRef>
              <c:f>'8. Scenarios'!$C$21:$Y$21</c:f>
              <c:strCache>
                <c:ptCount val="23"/>
                <c:pt idx="0">
                  <c:v>Month 2</c:v>
                </c:pt>
                <c:pt idx="1">
                  <c:v>Month 3</c:v>
                </c:pt>
                <c:pt idx="2">
                  <c:v>Month 4</c:v>
                </c:pt>
                <c:pt idx="3">
                  <c:v>Month 5</c:v>
                </c:pt>
                <c:pt idx="4">
                  <c:v>Month 6</c:v>
                </c:pt>
                <c:pt idx="5">
                  <c:v>Month 7</c:v>
                </c:pt>
                <c:pt idx="6">
                  <c:v>Month 8</c:v>
                </c:pt>
                <c:pt idx="7">
                  <c:v>Month 9</c:v>
                </c:pt>
                <c:pt idx="8">
                  <c:v>Month 10</c:v>
                </c:pt>
                <c:pt idx="9">
                  <c:v>Month 11</c:v>
                </c:pt>
                <c:pt idx="10">
                  <c:v>Month 12</c:v>
                </c:pt>
                <c:pt idx="11">
                  <c:v>Month 13</c:v>
                </c:pt>
                <c:pt idx="12">
                  <c:v>Month 14</c:v>
                </c:pt>
                <c:pt idx="13">
                  <c:v>Month 15</c:v>
                </c:pt>
                <c:pt idx="14">
                  <c:v>Month 16</c:v>
                </c:pt>
                <c:pt idx="15">
                  <c:v>Month 17</c:v>
                </c:pt>
                <c:pt idx="16">
                  <c:v>Month 18</c:v>
                </c:pt>
                <c:pt idx="17">
                  <c:v>Month 19</c:v>
                </c:pt>
                <c:pt idx="18">
                  <c:v>Month 20</c:v>
                </c:pt>
                <c:pt idx="19">
                  <c:v>Month 21</c:v>
                </c:pt>
                <c:pt idx="20">
                  <c:v>Month 22</c:v>
                </c:pt>
                <c:pt idx="21">
                  <c:v>Month 23</c:v>
                </c:pt>
                <c:pt idx="22">
                  <c:v>Month 24</c:v>
                </c:pt>
              </c:strCache>
            </c:strRef>
          </c:cat>
          <c:val>
            <c:numRef>
              <c:f>'8. Scenarios'!$C$26:$Y$26</c:f>
              <c:numCache>
                <c:formatCode>\$#,##0;[Red]\(\$#,##0\);\-</c:formatCode>
                <c:ptCount val="23"/>
                <c:pt idx="0">
                  <c:v>1508196.7243334583</c:v>
                </c:pt>
                <c:pt idx="1">
                  <c:v>1490023.7528328798</c:v>
                </c:pt>
                <c:pt idx="2">
                  <c:v>1457902.0742307885</c:v>
                </c:pt>
                <c:pt idx="3">
                  <c:v>1416942.7845283854</c:v>
                </c:pt>
                <c:pt idx="4">
                  <c:v>1361562.316727173</c:v>
                </c:pt>
                <c:pt idx="5">
                  <c:v>1305944.4411794234</c:v>
                </c:pt>
                <c:pt idx="6">
                  <c:v>1244676.1563135234</c:v>
                </c:pt>
                <c:pt idx="7">
                  <c:v>1172539.7665720116</c:v>
                </c:pt>
                <c:pt idx="8">
                  <c:v>1090493.3783798253</c:v>
                </c:pt>
                <c:pt idx="9">
                  <c:v>1011976.7843103755</c:v>
                </c:pt>
                <c:pt idx="10">
                  <c:v>923184.26222337573</c:v>
                </c:pt>
                <c:pt idx="11">
                  <c:v>837680.01577680232</c:v>
                </c:pt>
                <c:pt idx="12">
                  <c:v>742734.43658203131</c:v>
                </c:pt>
                <c:pt idx="13">
                  <c:v>652994.09296540951</c:v>
                </c:pt>
                <c:pt idx="14">
                  <c:v>560318.79583351512</c:v>
                </c:pt>
                <c:pt idx="15">
                  <c:v>473952.43196457293</c:v>
                </c:pt>
                <c:pt idx="16">
                  <c:v>394527.59451722878</c:v>
                </c:pt>
                <c:pt idx="17">
                  <c:v>322737.37984522828</c:v>
                </c:pt>
                <c:pt idx="18">
                  <c:v>243174.39232203056</c:v>
                </c:pt>
                <c:pt idx="19">
                  <c:v>172837.00494782929</c:v>
                </c:pt>
                <c:pt idx="20">
                  <c:v>112636.2631522055</c:v>
                </c:pt>
                <c:pt idx="21">
                  <c:v>5063570.1591940625</c:v>
                </c:pt>
                <c:pt idx="22">
                  <c:v>5026732.0116651999</c:v>
                </c:pt>
              </c:numCache>
            </c:numRef>
          </c:val>
          <c:extLst>
            <c:ext xmlns:c16="http://schemas.microsoft.com/office/drawing/2014/chart" uri="{C3380CC4-5D6E-409C-BE32-E72D297353CC}">
              <c16:uniqueId val="{00000000-C50C-4303-B7FC-0648CD210AF2}"/>
            </c:ext>
          </c:extLst>
        </c:ser>
        <c:dLbls>
          <c:showLegendKey val="0"/>
          <c:showVal val="0"/>
          <c:showCatName val="0"/>
          <c:showSerName val="0"/>
          <c:showPercent val="0"/>
          <c:showBubbleSize val="0"/>
        </c:dLbls>
        <c:gapWidth val="219"/>
        <c:overlap val="-27"/>
        <c:axId val="1542518959"/>
        <c:axId val="1542519439"/>
      </c:barChart>
      <c:lineChart>
        <c:grouping val="standard"/>
        <c:varyColors val="0"/>
        <c:ser>
          <c:idx val="1"/>
          <c:order val="1"/>
          <c:tx>
            <c:strRef>
              <c:f>'8. Scenarios'!$B$28</c:f>
              <c:strCache>
                <c:ptCount val="1"/>
                <c:pt idx="0">
                  <c:v>No Burn</c:v>
                </c:pt>
              </c:strCache>
            </c:strRef>
          </c:tx>
          <c:spPr>
            <a:ln w="28575" cap="rnd">
              <a:solidFill>
                <a:schemeClr val="accent2"/>
              </a:solidFill>
              <a:round/>
            </a:ln>
            <a:effectLst/>
          </c:spPr>
          <c:marker>
            <c:symbol val="none"/>
          </c:marker>
          <c:cat>
            <c:strRef>
              <c:f>'8. Scenarios'!$C$21:$Y$21</c:f>
              <c:strCache>
                <c:ptCount val="23"/>
                <c:pt idx="0">
                  <c:v>Month 2</c:v>
                </c:pt>
                <c:pt idx="1">
                  <c:v>Month 3</c:v>
                </c:pt>
                <c:pt idx="2">
                  <c:v>Month 4</c:v>
                </c:pt>
                <c:pt idx="3">
                  <c:v>Month 5</c:v>
                </c:pt>
                <c:pt idx="4">
                  <c:v>Month 6</c:v>
                </c:pt>
                <c:pt idx="5">
                  <c:v>Month 7</c:v>
                </c:pt>
                <c:pt idx="6">
                  <c:v>Month 8</c:v>
                </c:pt>
                <c:pt idx="7">
                  <c:v>Month 9</c:v>
                </c:pt>
                <c:pt idx="8">
                  <c:v>Month 10</c:v>
                </c:pt>
                <c:pt idx="9">
                  <c:v>Month 11</c:v>
                </c:pt>
                <c:pt idx="10">
                  <c:v>Month 12</c:v>
                </c:pt>
                <c:pt idx="11">
                  <c:v>Month 13</c:v>
                </c:pt>
                <c:pt idx="12">
                  <c:v>Month 14</c:v>
                </c:pt>
                <c:pt idx="13">
                  <c:v>Month 15</c:v>
                </c:pt>
                <c:pt idx="14">
                  <c:v>Month 16</c:v>
                </c:pt>
                <c:pt idx="15">
                  <c:v>Month 17</c:v>
                </c:pt>
                <c:pt idx="16">
                  <c:v>Month 18</c:v>
                </c:pt>
                <c:pt idx="17">
                  <c:v>Month 19</c:v>
                </c:pt>
                <c:pt idx="18">
                  <c:v>Month 20</c:v>
                </c:pt>
                <c:pt idx="19">
                  <c:v>Month 21</c:v>
                </c:pt>
                <c:pt idx="20">
                  <c:v>Month 22</c:v>
                </c:pt>
                <c:pt idx="21">
                  <c:v>Month 23</c:v>
                </c:pt>
                <c:pt idx="22">
                  <c:v>Month 24</c:v>
                </c:pt>
              </c:strCache>
            </c:strRef>
          </c:cat>
          <c:val>
            <c:numRef>
              <c:f>'8. Scenarios'!$C$28:$Y$28</c:f>
              <c:numCache>
                <c:formatCode>_(* #,##0_);_(* \(#,##0\);_(* "-"??_);_(@_)</c:formatCode>
                <c:ptCount val="23"/>
                <c:pt idx="0">
                  <c:v>364.40982814917766</c:v>
                </c:pt>
                <c:pt idx="1">
                  <c:v>81.991200656724857</c:v>
                </c:pt>
                <c:pt idx="2">
                  <c:v>45.386858273834783</c:v>
                </c:pt>
                <c:pt idx="3">
                  <c:v>34.593929602379099</c:v>
                </c:pt>
                <c:pt idx="4">
                  <c:v>24.585605192330391</c:v>
                </c:pt>
                <c:pt idx="5">
                  <c:v>23.480660279054167</c:v>
                </c:pt>
                <c:pt idx="6">
                  <c:v>20.315178710123668</c:v>
                </c:pt>
                <c:pt idx="7">
                  <c:v>16.254483635424588</c:v>
                </c:pt>
                <c:pt idx="8">
                  <c:v>13.291180786964583</c:v>
                </c:pt>
                <c:pt idx="9">
                  <c:v>12.88869946925179</c:v>
                </c:pt>
                <c:pt idx="10">
                  <c:v>10.397094716138723</c:v>
                </c:pt>
                <c:pt idx="11">
                  <c:v>9.7969405098519804</c:v>
                </c:pt>
                <c:pt idx="12">
                  <c:v>7.8227384874696337</c:v>
                </c:pt>
                <c:pt idx="13">
                  <c:v>7.2764830916522278</c:v>
                </c:pt>
                <c:pt idx="14">
                  <c:v>6.0460426151758213</c:v>
                </c:pt>
                <c:pt idx="15">
                  <c:v>5.4876969543812049</c:v>
                </c:pt>
                <c:pt idx="16">
                  <c:v>4.9673075475764943</c:v>
                </c:pt>
                <c:pt idx="17">
                  <c:v>4.4955622617897228</c:v>
                </c:pt>
                <c:pt idx="18">
                  <c:v>3.0563758336893723</c:v>
                </c:pt>
                <c:pt idx="19">
                  <c:v>2.4572565373848874</c:v>
                </c:pt>
                <c:pt idx="20">
                  <c:v>1.8710112166822741</c:v>
                </c:pt>
                <c:pt idx="21">
                  <c:v>103.19894490733734</c:v>
                </c:pt>
                <c:pt idx="22">
                  <c:v>136.4545274087624</c:v>
                </c:pt>
              </c:numCache>
            </c:numRef>
          </c:val>
          <c:smooth val="0"/>
          <c:extLst>
            <c:ext xmlns:c16="http://schemas.microsoft.com/office/drawing/2014/chart" uri="{C3380CC4-5D6E-409C-BE32-E72D297353CC}">
              <c16:uniqueId val="{00000001-C50C-4303-B7FC-0648CD210AF2}"/>
            </c:ext>
          </c:extLst>
        </c:ser>
        <c:dLbls>
          <c:showLegendKey val="0"/>
          <c:showVal val="0"/>
          <c:showCatName val="0"/>
          <c:showSerName val="0"/>
          <c:showPercent val="0"/>
          <c:showBubbleSize val="0"/>
        </c:dLbls>
        <c:marker val="1"/>
        <c:smooth val="0"/>
        <c:axId val="1638589599"/>
        <c:axId val="1638588639"/>
      </c:lineChart>
      <c:catAx>
        <c:axId val="15425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519439"/>
        <c:crosses val="autoZero"/>
        <c:auto val="1"/>
        <c:lblAlgn val="ctr"/>
        <c:lblOffset val="100"/>
        <c:noMultiLvlLbl val="0"/>
      </c:catAx>
      <c:valAx>
        <c:axId val="1542519439"/>
        <c:scaling>
          <c:orientation val="minMax"/>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518959"/>
        <c:crosses val="autoZero"/>
        <c:crossBetween val="between"/>
      </c:valAx>
      <c:valAx>
        <c:axId val="1638588639"/>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89599"/>
        <c:crosses val="max"/>
        <c:crossBetween val="between"/>
      </c:valAx>
      <c:catAx>
        <c:axId val="1638589599"/>
        <c:scaling>
          <c:orientation val="minMax"/>
        </c:scaling>
        <c:delete val="1"/>
        <c:axPos val="b"/>
        <c:numFmt formatCode="General" sourceLinked="1"/>
        <c:majorTickMark val="out"/>
        <c:minorTickMark val="none"/>
        <c:tickLblPos val="nextTo"/>
        <c:crossAx val="16385886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CAC Payback Vs 12 Month Gate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'8. Scenarios'!$B$21:$Y$21</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'8. Scenarios'!$B$29:$Y$29</c:f>
              <c:numCache>
                <c:formatCode>_(* #,##0_);_(* \(#,##0\);_(* "-"??_);_(@_)</c:formatCode>
                <c:ptCount val="24"/>
                <c:pt idx="0">
                  <c:v>8.6246530145934965</c:v>
                </c:pt>
                <c:pt idx="1">
                  <c:v>8.8190809319648391</c:v>
                </c:pt>
                <c:pt idx="2">
                  <c:v>8.975294022107386</c:v>
                </c:pt>
                <c:pt idx="3">
                  <c:v>9.1004172415383415</c:v>
                </c:pt>
                <c:pt idx="4">
                  <c:v>9.2013772574578478</c:v>
                </c:pt>
                <c:pt idx="5">
                  <c:v>10.304369742330916</c:v>
                </c:pt>
                <c:pt idx="6">
                  <c:v>10.315444827257348</c:v>
                </c:pt>
                <c:pt idx="7">
                  <c:v>12.392083125213771</c:v>
                </c:pt>
                <c:pt idx="8">
                  <c:v>12.20043727380884</c:v>
                </c:pt>
                <c:pt idx="9">
                  <c:v>11.968757791549757</c:v>
                </c:pt>
                <c:pt idx="10">
                  <c:v>11.749603380203634</c:v>
                </c:pt>
                <c:pt idx="11">
                  <c:v>11.543814308175838</c:v>
                </c:pt>
                <c:pt idx="12">
                  <c:v>11.351538060653702</c:v>
                </c:pt>
                <c:pt idx="13">
                  <c:v>11.17245832315645</c:v>
                </c:pt>
                <c:pt idx="14">
                  <c:v>11.005964690100361</c:v>
                </c:pt>
                <c:pt idx="15">
                  <c:v>12.206202269708289</c:v>
                </c:pt>
                <c:pt idx="16">
                  <c:v>11.93168024508666</c:v>
                </c:pt>
                <c:pt idx="17">
                  <c:v>11.680602587282626</c:v>
                </c:pt>
                <c:pt idx="18">
                  <c:v>11.450576129268931</c:v>
                </c:pt>
                <c:pt idx="19">
                  <c:v>11.239429626808922</c:v>
                </c:pt>
                <c:pt idx="20">
                  <c:v>11.045203687533292</c:v>
                </c:pt>
                <c:pt idx="21">
                  <c:v>10.866136949382417</c:v>
                </c:pt>
                <c:pt idx="22">
                  <c:v>10.700650444711787</c:v>
                </c:pt>
                <c:pt idx="23">
                  <c:v>10.547331421849993</c:v>
                </c:pt>
              </c:numCache>
            </c:numRef>
          </c:val>
          <c:smooth val="0"/>
          <c:extLst>
            <c:ext xmlns:c16="http://schemas.microsoft.com/office/drawing/2014/chart" uri="{C3380CC4-5D6E-409C-BE32-E72D297353CC}">
              <c16:uniqueId val="{00000000-F7CF-4A9F-A3E5-700DF2B8F3DD}"/>
            </c:ext>
          </c:extLst>
        </c:ser>
        <c:dLbls>
          <c:showLegendKey val="0"/>
          <c:showVal val="0"/>
          <c:showCatName val="0"/>
          <c:showSerName val="0"/>
          <c:showPercent val="0"/>
          <c:showBubbleSize val="0"/>
        </c:dLbls>
        <c:marker val="1"/>
        <c:smooth val="0"/>
        <c:axId val="93392271"/>
        <c:axId val="93389871"/>
      </c:lineChart>
      <c:catAx>
        <c:axId val="9339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871"/>
        <c:crosses val="autoZero"/>
        <c:auto val="1"/>
        <c:lblAlgn val="ctr"/>
        <c:lblOffset val="100"/>
        <c:noMultiLvlLbl val="0"/>
      </c:catAx>
      <c:valAx>
        <c:axId val="9338987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9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Gross Margin - Selected Scenario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'8. Scenarios'!$B$21:$Y$21</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'8. Scenarios'!$B$25:$Y$25</c:f>
              <c:numCache>
                <c:formatCode>0.0%;[Red]\(0.0%\);\-</c:formatCode>
                <c:ptCount val="24"/>
                <c:pt idx="0">
                  <c:v>0.81985908490822779</c:v>
                </c:pt>
                <c:pt idx="1">
                  <c:v>0.82012327456166512</c:v>
                </c:pt>
                <c:pt idx="2">
                  <c:v>0.82048996233543603</c:v>
                </c:pt>
                <c:pt idx="3">
                  <c:v>0.82092287250609863</c:v>
                </c:pt>
                <c:pt idx="4">
                  <c:v>0.82139574493609535</c:v>
                </c:pt>
                <c:pt idx="5">
                  <c:v>0.81963945450971321</c:v>
                </c:pt>
                <c:pt idx="6">
                  <c:v>0.8179735679524891</c:v>
                </c:pt>
                <c:pt idx="7">
                  <c:v>0.67959487440738942</c:v>
                </c:pt>
                <c:pt idx="8">
                  <c:v>0.68859868723125639</c:v>
                </c:pt>
                <c:pt idx="9">
                  <c:v>0.69725960350791172</c:v>
                </c:pt>
                <c:pt idx="10">
                  <c:v>0.70557351776589405</c:v>
                </c:pt>
                <c:pt idx="11">
                  <c:v>0.71353775911037398</c:v>
                </c:pt>
                <c:pt idx="12">
                  <c:v>0.72114943615728833</c:v>
                </c:pt>
                <c:pt idx="13">
                  <c:v>0.72840650935195994</c:v>
                </c:pt>
                <c:pt idx="14">
                  <c:v>0.73530846509945214</c:v>
                </c:pt>
                <c:pt idx="15">
                  <c:v>0.65950822240294249</c:v>
                </c:pt>
                <c:pt idx="16">
                  <c:v>0.67130608439668193</c:v>
                </c:pt>
                <c:pt idx="17">
                  <c:v>0.6824709188534831</c:v>
                </c:pt>
                <c:pt idx="18">
                  <c:v>0.6930128079901503</c:v>
                </c:pt>
                <c:pt idx="19">
                  <c:v>0.70294528161623926</c:v>
                </c:pt>
                <c:pt idx="20">
                  <c:v>0.71228493722424824</c:v>
                </c:pt>
                <c:pt idx="21">
                  <c:v>0.72105100317048632</c:v>
                </c:pt>
                <c:pt idx="22">
                  <c:v>0.72926487897986281</c:v>
                </c:pt>
                <c:pt idx="23">
                  <c:v>0.73694967780662013</c:v>
                </c:pt>
              </c:numCache>
            </c:numRef>
          </c:val>
          <c:smooth val="0"/>
          <c:extLst>
            <c:ext xmlns:c16="http://schemas.microsoft.com/office/drawing/2014/chart" uri="{C3380CC4-5D6E-409C-BE32-E72D297353CC}">
              <c16:uniqueId val="{00000000-6E2D-4580-8131-1DAACF56BB55}"/>
            </c:ext>
          </c:extLst>
        </c:ser>
        <c:dLbls>
          <c:showLegendKey val="0"/>
          <c:showVal val="0"/>
          <c:showCatName val="0"/>
          <c:showSerName val="0"/>
          <c:showPercent val="0"/>
          <c:showBubbleSize val="0"/>
        </c:dLbls>
        <c:marker val="1"/>
        <c:smooth val="0"/>
        <c:axId val="1641049711"/>
        <c:axId val="1641049231"/>
      </c:lineChart>
      <c:catAx>
        <c:axId val="164104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49231"/>
        <c:crosses val="autoZero"/>
        <c:auto val="1"/>
        <c:lblAlgn val="ctr"/>
        <c:lblOffset val="100"/>
        <c:noMultiLvlLbl val="0"/>
      </c:catAx>
      <c:valAx>
        <c:axId val="1641049231"/>
        <c:scaling>
          <c:orientation val="minMax"/>
        </c:scaling>
        <c:delete val="0"/>
        <c:axPos val="l"/>
        <c:numFmt formatCode="0.0%;[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4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12700</xdr:colOff>
      <xdr:row>26</xdr:row>
      <xdr:rowOff>12700</xdr:rowOff>
    </xdr:from>
    <xdr:to>
      <xdr:col>6</xdr:col>
      <xdr:colOff>584200</xdr:colOff>
      <xdr:row>43</xdr:row>
      <xdr:rowOff>165100</xdr:rowOff>
    </xdr:to>
    <xdr:graphicFrame macro="">
      <xdr:nvGraphicFramePr>
        <xdr:cNvPr id="2" name="Chart 1">
          <a:extLst>
            <a:ext uri="{FF2B5EF4-FFF2-40B4-BE49-F238E27FC236}">
              <a16:creationId xmlns:a16="http://schemas.microsoft.com/office/drawing/2014/main" id="{82D73D03-EFD0-5A0B-3857-799C3299F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xdr:colOff>
      <xdr:row>26</xdr:row>
      <xdr:rowOff>25400</xdr:rowOff>
    </xdr:from>
    <xdr:to>
      <xdr:col>12</xdr:col>
      <xdr:colOff>596900</xdr:colOff>
      <xdr:row>43</xdr:row>
      <xdr:rowOff>165100</xdr:rowOff>
    </xdr:to>
    <xdr:graphicFrame macro="">
      <xdr:nvGraphicFramePr>
        <xdr:cNvPr id="3" name="Chart 2">
          <a:extLst>
            <a:ext uri="{FF2B5EF4-FFF2-40B4-BE49-F238E27FC236}">
              <a16:creationId xmlns:a16="http://schemas.microsoft.com/office/drawing/2014/main" id="{17E4F0EA-135C-7F51-A364-A3BC7AB8A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26</xdr:row>
      <xdr:rowOff>0</xdr:rowOff>
    </xdr:from>
    <xdr:to>
      <xdr:col>20</xdr:col>
      <xdr:colOff>12700</xdr:colOff>
      <xdr:row>44</xdr:row>
      <xdr:rowOff>12700</xdr:rowOff>
    </xdr:to>
    <xdr:graphicFrame macro="">
      <xdr:nvGraphicFramePr>
        <xdr:cNvPr id="7" name="Chart 6">
          <a:extLst>
            <a:ext uri="{FF2B5EF4-FFF2-40B4-BE49-F238E27FC236}">
              <a16:creationId xmlns:a16="http://schemas.microsoft.com/office/drawing/2014/main" id="{7484F8CA-C247-48AA-A75A-672A5EB1C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25400</xdr:colOff>
      <xdr:row>25</xdr:row>
      <xdr:rowOff>304801</xdr:rowOff>
    </xdr:from>
    <xdr:to>
      <xdr:col>27</xdr:col>
      <xdr:colOff>596900</xdr:colOff>
      <xdr:row>42</xdr:row>
      <xdr:rowOff>114301</xdr:rowOff>
    </xdr:to>
    <xdr:graphicFrame macro="">
      <xdr:nvGraphicFramePr>
        <xdr:cNvPr id="8" name="Chart 7">
          <a:extLst>
            <a:ext uri="{FF2B5EF4-FFF2-40B4-BE49-F238E27FC236}">
              <a16:creationId xmlns:a16="http://schemas.microsoft.com/office/drawing/2014/main" id="{AA6FF175-ADBF-4D0F-9517-F2143CC76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36</xdr:row>
      <xdr:rowOff>0</xdr:rowOff>
    </xdr:from>
    <xdr:to>
      <xdr:col>3</xdr:col>
      <xdr:colOff>548640</xdr:colOff>
      <xdr:row>47</xdr:row>
      <xdr:rowOff>137160</xdr:rowOff>
    </xdr:to>
    <xdr:graphicFrame macro="">
      <xdr:nvGraphicFramePr>
        <xdr:cNvPr id="5" name="Chart 4">
          <a:extLst>
            <a:ext uri="{FF2B5EF4-FFF2-40B4-BE49-F238E27FC236}">
              <a16:creationId xmlns:a16="http://schemas.microsoft.com/office/drawing/2014/main" id="{FF713FF4-01E0-4235-9E05-B353E66A7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36</xdr:row>
      <xdr:rowOff>0</xdr:rowOff>
    </xdr:from>
    <xdr:to>
      <xdr:col>7</xdr:col>
      <xdr:colOff>1714500</xdr:colOff>
      <xdr:row>47</xdr:row>
      <xdr:rowOff>121920</xdr:rowOff>
    </xdr:to>
    <xdr:graphicFrame macro="">
      <xdr:nvGraphicFramePr>
        <xdr:cNvPr id="6" name="Chart 5">
          <a:extLst>
            <a:ext uri="{FF2B5EF4-FFF2-40B4-BE49-F238E27FC236}">
              <a16:creationId xmlns:a16="http://schemas.microsoft.com/office/drawing/2014/main" id="{996356A2-F3F3-45AE-A18B-6DF01FBE6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48</xdr:row>
      <xdr:rowOff>110490</xdr:rowOff>
    </xdr:from>
    <xdr:to>
      <xdr:col>3</xdr:col>
      <xdr:colOff>533400</xdr:colOff>
      <xdr:row>64</xdr:row>
      <xdr:rowOff>121920</xdr:rowOff>
    </xdr:to>
    <xdr:graphicFrame macro="">
      <xdr:nvGraphicFramePr>
        <xdr:cNvPr id="7" name="Chart 6">
          <a:extLst>
            <a:ext uri="{FF2B5EF4-FFF2-40B4-BE49-F238E27FC236}">
              <a16:creationId xmlns:a16="http://schemas.microsoft.com/office/drawing/2014/main" id="{F7DC0976-E027-D7E8-5198-07403C8EA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1546860</xdr:colOff>
      <xdr:row>48</xdr:row>
      <xdr:rowOff>95250</xdr:rowOff>
    </xdr:from>
    <xdr:to>
      <xdr:col>7</xdr:col>
      <xdr:colOff>1706880</xdr:colOff>
      <xdr:row>64</xdr:row>
      <xdr:rowOff>99060</xdr:rowOff>
    </xdr:to>
    <xdr:graphicFrame macro="">
      <xdr:nvGraphicFramePr>
        <xdr:cNvPr id="8" name="Chart 7">
          <a:extLst>
            <a:ext uri="{FF2B5EF4-FFF2-40B4-BE49-F238E27FC236}">
              <a16:creationId xmlns:a16="http://schemas.microsoft.com/office/drawing/2014/main" id="{D6A9542D-9476-D245-8A8D-95B0C5037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A893-0F3E-448B-A386-06421051C6EC}">
  <dimension ref="A1:B12"/>
  <sheetViews>
    <sheetView topLeftCell="A7" workbookViewId="0">
      <selection activeCell="A12" sqref="A12:B12"/>
    </sheetView>
  </sheetViews>
  <sheetFormatPr defaultRowHeight="14.4"/>
  <cols>
    <col min="1" max="1" width="31.109375" customWidth="1"/>
    <col min="2" max="2" width="81.6640625" customWidth="1"/>
  </cols>
  <sheetData>
    <row r="1" spans="1:2">
      <c r="A1" s="372" t="s">
        <v>662</v>
      </c>
      <c r="B1" s="372" t="s">
        <v>1299</v>
      </c>
    </row>
    <row r="2" spans="1:2">
      <c r="A2" s="54" t="s">
        <v>1300</v>
      </c>
      <c r="B2" s="54" t="s">
        <v>1316</v>
      </c>
    </row>
    <row r="3" spans="1:2" ht="28.8">
      <c r="A3" s="54" t="s">
        <v>1301</v>
      </c>
      <c r="B3" s="54" t="s">
        <v>1302</v>
      </c>
    </row>
    <row r="4" spans="1:2">
      <c r="A4" s="54" t="s">
        <v>1303</v>
      </c>
      <c r="B4" s="54" t="s">
        <v>1304</v>
      </c>
    </row>
    <row r="5" spans="1:2">
      <c r="A5" s="54" t="s">
        <v>1305</v>
      </c>
      <c r="B5" s="54" t="s">
        <v>1306</v>
      </c>
    </row>
    <row r="6" spans="1:2">
      <c r="A6" s="54" t="s">
        <v>19</v>
      </c>
      <c r="B6" s="54" t="s">
        <v>1307</v>
      </c>
    </row>
    <row r="7" spans="1:2" ht="28.8">
      <c r="A7" s="54" t="s">
        <v>1308</v>
      </c>
      <c r="B7" s="54" t="s">
        <v>1309</v>
      </c>
    </row>
    <row r="8" spans="1:2">
      <c r="A8" s="54" t="s">
        <v>1310</v>
      </c>
      <c r="B8" s="54" t="s">
        <v>1311</v>
      </c>
    </row>
    <row r="9" spans="1:2" ht="28.8">
      <c r="A9" s="54" t="s">
        <v>1312</v>
      </c>
      <c r="B9" s="54" t="s">
        <v>1313</v>
      </c>
    </row>
    <row r="10" spans="1:2" ht="28.8">
      <c r="A10" s="54" t="s">
        <v>1314</v>
      </c>
      <c r="B10" s="54" t="s">
        <v>1315</v>
      </c>
    </row>
    <row r="12" spans="1:2" ht="221.4" customHeight="1">
      <c r="A12" s="373" t="s">
        <v>1317</v>
      </c>
      <c r="B12" s="373"/>
    </row>
  </sheetData>
  <mergeCells count="1">
    <mergeCell ref="A12: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B393-4B73-4BB1-BF46-7A9783E21353}">
  <dimension ref="A1:J203"/>
  <sheetViews>
    <sheetView showGridLines="0" workbookViewId="0">
      <pane xSplit="3" ySplit="4" topLeftCell="D14" activePane="bottomRight" state="frozen"/>
      <selection sqref="A1:D1"/>
      <selection pane="topRight" sqref="A1:D1"/>
      <selection pane="bottomLeft" sqref="A1:D1"/>
      <selection pane="bottomRight" activeCell="A5" sqref="A5"/>
    </sheetView>
  </sheetViews>
  <sheetFormatPr defaultColWidth="9.109375" defaultRowHeight="13.8"/>
  <cols>
    <col min="1" max="1" width="25.6640625" style="1" customWidth="1"/>
    <col min="2" max="2" width="40.6640625" style="1" customWidth="1"/>
    <col min="3" max="7" width="15.6640625" style="1" customWidth="1"/>
    <col min="8" max="8" width="50.6640625" style="1" customWidth="1"/>
    <col min="9" max="10" width="40.6640625" style="1" customWidth="1"/>
    <col min="11" max="16384" width="9.109375" style="1"/>
  </cols>
  <sheetData>
    <row r="1" spans="1:10" ht="17.399999999999999">
      <c r="A1" s="41" t="s">
        <v>25</v>
      </c>
      <c r="B1" s="41"/>
      <c r="C1" s="41"/>
      <c r="D1" s="41"/>
      <c r="E1" s="41"/>
      <c r="F1" s="41"/>
      <c r="G1" s="41"/>
      <c r="H1" s="41"/>
      <c r="I1" s="41"/>
      <c r="J1" s="41"/>
    </row>
    <row r="2" spans="1:10" s="3" customFormat="1" ht="13.2">
      <c r="A2" s="42" t="s">
        <v>26</v>
      </c>
      <c r="B2" s="43"/>
      <c r="C2" s="81" t="s">
        <v>27</v>
      </c>
      <c r="D2" s="82"/>
      <c r="E2" s="83" t="s">
        <v>28</v>
      </c>
      <c r="F2" s="84"/>
      <c r="G2" s="33"/>
      <c r="H2" s="85" t="s">
        <v>29</v>
      </c>
      <c r="I2" s="86"/>
      <c r="J2" s="86"/>
    </row>
    <row r="3" spans="1:10" s="3" customFormat="1" ht="13.2">
      <c r="A3" s="2" t="s">
        <v>30</v>
      </c>
      <c r="B3" s="2" t="s">
        <v>31</v>
      </c>
      <c r="C3" s="2" t="s">
        <v>32</v>
      </c>
      <c r="D3" s="2" t="s">
        <v>0</v>
      </c>
      <c r="E3" s="2" t="s">
        <v>1</v>
      </c>
      <c r="F3" s="2" t="s">
        <v>2</v>
      </c>
      <c r="G3" s="2" t="s">
        <v>657</v>
      </c>
      <c r="H3" s="2" t="s">
        <v>33</v>
      </c>
      <c r="I3" s="2" t="s">
        <v>34</v>
      </c>
      <c r="J3" s="2" t="s">
        <v>35</v>
      </c>
    </row>
    <row r="4" spans="1:10" s="3" customFormat="1" ht="13.2">
      <c r="A4" s="39" t="s">
        <v>36</v>
      </c>
      <c r="B4" s="40"/>
      <c r="C4" s="40"/>
      <c r="D4" s="40"/>
      <c r="E4" s="40"/>
      <c r="F4" s="40"/>
      <c r="G4" s="40"/>
      <c r="H4" s="40"/>
      <c r="I4" s="40"/>
      <c r="J4" s="40"/>
    </row>
    <row r="5" spans="1:10" s="3" customFormat="1" ht="13.2">
      <c r="A5" s="4" t="s">
        <v>37</v>
      </c>
      <c r="B5" s="5" t="s">
        <v>38</v>
      </c>
      <c r="C5" s="5" t="s">
        <v>39</v>
      </c>
      <c r="D5" s="102"/>
      <c r="E5" s="102"/>
      <c r="F5" s="102"/>
      <c r="G5" s="103" t="s">
        <v>1</v>
      </c>
      <c r="H5" s="100" t="s">
        <v>40</v>
      </c>
      <c r="I5" s="6" t="s">
        <v>41</v>
      </c>
      <c r="J5" s="5" t="s">
        <v>42</v>
      </c>
    </row>
    <row r="6" spans="1:10" s="3" customFormat="1" ht="26.4">
      <c r="A6" s="12" t="s">
        <v>37</v>
      </c>
      <c r="B6" s="13" t="s">
        <v>43</v>
      </c>
      <c r="C6" s="13" t="s">
        <v>44</v>
      </c>
      <c r="D6" s="15">
        <v>46023</v>
      </c>
      <c r="E6" s="15">
        <v>46023</v>
      </c>
      <c r="F6" s="15">
        <v>46023</v>
      </c>
      <c r="G6" s="15">
        <f>_xlfn.XLOOKUP($G$5,$D$3:$F$3,D6:F6)</f>
        <v>46023</v>
      </c>
      <c r="H6" s="101" t="s">
        <v>45</v>
      </c>
      <c r="I6" s="14" t="s">
        <v>41</v>
      </c>
      <c r="J6" s="13" t="s">
        <v>42</v>
      </c>
    </row>
    <row r="7" spans="1:10" s="3" customFormat="1" ht="26.4">
      <c r="A7" s="7" t="s">
        <v>37</v>
      </c>
      <c r="B7" s="8" t="s">
        <v>46</v>
      </c>
      <c r="C7" s="8" t="s">
        <v>47</v>
      </c>
      <c r="D7" s="10">
        <v>24</v>
      </c>
      <c r="E7" s="10">
        <v>24</v>
      </c>
      <c r="F7" s="10">
        <v>24</v>
      </c>
      <c r="G7" s="49">
        <f t="shared" ref="G7:G10" si="0">_xlfn.XLOOKUP($G$5,$D$3:$F$3,D7:F7)</f>
        <v>24</v>
      </c>
      <c r="H7" s="8" t="s">
        <v>48</v>
      </c>
      <c r="I7" s="9" t="s">
        <v>49</v>
      </c>
      <c r="J7" s="8" t="s">
        <v>42</v>
      </c>
    </row>
    <row r="8" spans="1:10" s="3" customFormat="1" ht="13.2">
      <c r="A8" s="12" t="s">
        <v>37</v>
      </c>
      <c r="B8" s="13" t="s">
        <v>50</v>
      </c>
      <c r="C8" s="13" t="s">
        <v>39</v>
      </c>
      <c r="D8" s="10" t="s">
        <v>51</v>
      </c>
      <c r="E8" s="10" t="s">
        <v>51</v>
      </c>
      <c r="F8" s="10" t="s">
        <v>51</v>
      </c>
      <c r="G8" s="15" t="str">
        <f t="shared" si="0"/>
        <v>USD</v>
      </c>
      <c r="H8" s="13" t="s">
        <v>52</v>
      </c>
      <c r="I8" s="14" t="s">
        <v>41</v>
      </c>
      <c r="J8" s="13" t="s">
        <v>42</v>
      </c>
    </row>
    <row r="9" spans="1:10" s="3" customFormat="1" ht="13.2">
      <c r="A9" s="7" t="s">
        <v>37</v>
      </c>
      <c r="B9" s="8" t="s">
        <v>53</v>
      </c>
      <c r="C9" s="8" t="s">
        <v>39</v>
      </c>
      <c r="D9" s="10" t="s">
        <v>54</v>
      </c>
      <c r="E9" s="10" t="s">
        <v>54</v>
      </c>
      <c r="F9" s="10" t="s">
        <v>54</v>
      </c>
      <c r="G9" s="15" t="str">
        <f t="shared" si="0"/>
        <v>AI SaaS</v>
      </c>
      <c r="H9" s="8" t="s">
        <v>55</v>
      </c>
      <c r="I9" s="9" t="s">
        <v>56</v>
      </c>
      <c r="J9" s="8" t="s">
        <v>42</v>
      </c>
    </row>
    <row r="10" spans="1:10" s="3" customFormat="1" ht="26.4">
      <c r="A10" s="12" t="s">
        <v>37</v>
      </c>
      <c r="B10" s="13" t="s">
        <v>57</v>
      </c>
      <c r="C10" s="13" t="s">
        <v>39</v>
      </c>
      <c r="D10" s="10" t="s">
        <v>58</v>
      </c>
      <c r="E10" s="10" t="s">
        <v>58</v>
      </c>
      <c r="F10" s="10" t="s">
        <v>58</v>
      </c>
      <c r="G10" s="15" t="str">
        <f t="shared" si="0"/>
        <v>Freemium+SaaS+Usage</v>
      </c>
      <c r="H10" s="13" t="s">
        <v>644</v>
      </c>
      <c r="I10" s="14" t="s">
        <v>59</v>
      </c>
      <c r="J10" s="13" t="s">
        <v>60</v>
      </c>
    </row>
    <row r="11" spans="1:10" s="3" customFormat="1" ht="13.2">
      <c r="A11" s="39" t="s">
        <v>61</v>
      </c>
      <c r="B11" s="40"/>
      <c r="C11" s="40"/>
      <c r="D11" s="40"/>
      <c r="E11" s="40"/>
      <c r="F11" s="40"/>
      <c r="G11" s="40"/>
      <c r="H11" s="40"/>
      <c r="I11" s="40"/>
      <c r="J11" s="40"/>
    </row>
    <row r="12" spans="1:10" s="3" customFormat="1" ht="26.4">
      <c r="A12" s="4" t="s">
        <v>62</v>
      </c>
      <c r="B12" s="5" t="s">
        <v>63</v>
      </c>
      <c r="C12" s="5" t="s">
        <v>64</v>
      </c>
      <c r="D12" s="22">
        <v>1500000</v>
      </c>
      <c r="E12" s="22">
        <v>1500000</v>
      </c>
      <c r="F12" s="22">
        <v>1500000</v>
      </c>
      <c r="G12" s="22">
        <f t="shared" ref="G12:G75" si="1">_xlfn.XLOOKUP($G$5,$D$3:$F$3,D12:F12)</f>
        <v>1500000</v>
      </c>
      <c r="H12" s="5" t="s">
        <v>65</v>
      </c>
      <c r="I12" s="6" t="s">
        <v>66</v>
      </c>
      <c r="J12" s="5" t="s">
        <v>67</v>
      </c>
    </row>
    <row r="13" spans="1:10" s="3" customFormat="1" ht="26.4">
      <c r="A13" s="12" t="s">
        <v>62</v>
      </c>
      <c r="B13" s="13" t="s">
        <v>68</v>
      </c>
      <c r="C13" s="13" t="s">
        <v>39</v>
      </c>
      <c r="D13" s="10" t="s">
        <v>69</v>
      </c>
      <c r="E13" s="10" t="s">
        <v>69</v>
      </c>
      <c r="F13" s="10" t="s">
        <v>69</v>
      </c>
      <c r="G13" s="15" t="str">
        <f t="shared" si="1"/>
        <v>Pre-seed/Angel</v>
      </c>
      <c r="H13" s="13" t="s">
        <v>70</v>
      </c>
      <c r="I13" s="14" t="s">
        <v>71</v>
      </c>
      <c r="J13" s="13" t="s">
        <v>72</v>
      </c>
    </row>
    <row r="14" spans="1:10" s="3" customFormat="1" ht="13.2">
      <c r="A14" s="4" t="s">
        <v>62</v>
      </c>
      <c r="B14" s="5" t="s">
        <v>73</v>
      </c>
      <c r="C14" s="5" t="s">
        <v>74</v>
      </c>
      <c r="D14" s="16">
        <v>1500</v>
      </c>
      <c r="E14" s="16">
        <v>2000</v>
      </c>
      <c r="F14" s="16">
        <v>3000</v>
      </c>
      <c r="G14" s="16">
        <f t="shared" si="1"/>
        <v>2000</v>
      </c>
      <c r="H14" s="5" t="s">
        <v>75</v>
      </c>
      <c r="I14" s="6" t="s">
        <v>76</v>
      </c>
      <c r="J14" s="5" t="s">
        <v>77</v>
      </c>
    </row>
    <row r="15" spans="1:10" s="3" customFormat="1" ht="13.2">
      <c r="A15" s="12" t="s">
        <v>62</v>
      </c>
      <c r="B15" s="13" t="s">
        <v>78</v>
      </c>
      <c r="C15" s="13" t="s">
        <v>79</v>
      </c>
      <c r="D15" s="16">
        <v>250</v>
      </c>
      <c r="E15" s="16">
        <v>300</v>
      </c>
      <c r="F15" s="16">
        <v>400</v>
      </c>
      <c r="G15" s="16">
        <f t="shared" si="1"/>
        <v>300</v>
      </c>
      <c r="H15" s="13" t="s">
        <v>80</v>
      </c>
      <c r="I15" s="14" t="s">
        <v>81</v>
      </c>
      <c r="J15" s="13" t="s">
        <v>77</v>
      </c>
    </row>
    <row r="16" spans="1:10" s="3" customFormat="1" ht="13.2">
      <c r="A16" s="4" t="s">
        <v>62</v>
      </c>
      <c r="B16" s="5" t="s">
        <v>82</v>
      </c>
      <c r="C16" s="5" t="s">
        <v>79</v>
      </c>
      <c r="D16" s="16">
        <v>140</v>
      </c>
      <c r="E16" s="16">
        <v>180</v>
      </c>
      <c r="F16" s="16">
        <v>230</v>
      </c>
      <c r="G16" s="16">
        <f t="shared" si="1"/>
        <v>180</v>
      </c>
      <c r="H16" s="5" t="s">
        <v>83</v>
      </c>
      <c r="I16" s="6" t="s">
        <v>81</v>
      </c>
      <c r="J16" s="5" t="s">
        <v>77</v>
      </c>
    </row>
    <row r="17" spans="1:10" s="3" customFormat="1" ht="26.4">
      <c r="A17" s="12" t="s">
        <v>62</v>
      </c>
      <c r="B17" s="13" t="s">
        <v>84</v>
      </c>
      <c r="C17" s="13" t="s">
        <v>79</v>
      </c>
      <c r="D17" s="23">
        <v>0</v>
      </c>
      <c r="E17" s="23">
        <v>0</v>
      </c>
      <c r="F17" s="23">
        <v>0</v>
      </c>
      <c r="G17" s="23">
        <f t="shared" si="1"/>
        <v>0</v>
      </c>
      <c r="H17" s="13" t="s">
        <v>85</v>
      </c>
      <c r="I17" s="14" t="s">
        <v>86</v>
      </c>
      <c r="J17" s="13" t="s">
        <v>77</v>
      </c>
    </row>
    <row r="18" spans="1:10" s="3" customFormat="1" ht="13.2">
      <c r="A18" s="4" t="s">
        <v>62</v>
      </c>
      <c r="B18" s="5" t="s">
        <v>87</v>
      </c>
      <c r="C18" s="5" t="s">
        <v>88</v>
      </c>
      <c r="D18" s="16">
        <v>2</v>
      </c>
      <c r="E18" s="16">
        <v>2</v>
      </c>
      <c r="F18" s="16">
        <v>2</v>
      </c>
      <c r="G18" s="16">
        <f t="shared" si="1"/>
        <v>2</v>
      </c>
      <c r="H18" s="5" t="s">
        <v>89</v>
      </c>
      <c r="I18" s="6" t="s">
        <v>90</v>
      </c>
      <c r="J18" s="5" t="s">
        <v>91</v>
      </c>
    </row>
    <row r="19" spans="1:10" s="3" customFormat="1" ht="13.2">
      <c r="A19" s="12" t="s">
        <v>62</v>
      </c>
      <c r="B19" s="13" t="s">
        <v>92</v>
      </c>
      <c r="C19" s="13" t="s">
        <v>64</v>
      </c>
      <c r="D19" s="26">
        <f>D15*D23+D16*D24+D17*D25</f>
        <v>33110</v>
      </c>
      <c r="E19" s="26">
        <f t="shared" ref="E19:F19" si="2">E15*E23+E16*E24+E17*E25</f>
        <v>41520</v>
      </c>
      <c r="F19" s="26">
        <f t="shared" si="2"/>
        <v>53870</v>
      </c>
      <c r="G19" s="26">
        <f t="shared" si="1"/>
        <v>41520</v>
      </c>
      <c r="H19" s="13" t="s">
        <v>634</v>
      </c>
      <c r="I19" s="14" t="s">
        <v>41</v>
      </c>
      <c r="J19" s="13" t="s">
        <v>93</v>
      </c>
    </row>
    <row r="20" spans="1:10" s="3" customFormat="1" ht="13.2">
      <c r="A20" s="4" t="s">
        <v>62</v>
      </c>
      <c r="B20" s="5" t="s">
        <v>94</v>
      </c>
      <c r="C20" s="5" t="s">
        <v>64</v>
      </c>
      <c r="D20" s="26">
        <f>D19*12</f>
        <v>397320</v>
      </c>
      <c r="E20" s="26">
        <f t="shared" ref="E20:F20" si="3">E19*12</f>
        <v>498240</v>
      </c>
      <c r="F20" s="26">
        <f t="shared" si="3"/>
        <v>646440</v>
      </c>
      <c r="G20" s="26">
        <f t="shared" si="1"/>
        <v>498240</v>
      </c>
      <c r="H20" s="5" t="s">
        <v>95</v>
      </c>
      <c r="I20" s="6" t="s">
        <v>96</v>
      </c>
      <c r="J20" s="5" t="s">
        <v>97</v>
      </c>
    </row>
    <row r="21" spans="1:10" s="3" customFormat="1" ht="13.2">
      <c r="A21" s="39" t="s">
        <v>98</v>
      </c>
      <c r="B21" s="40"/>
      <c r="C21" s="40"/>
      <c r="D21" s="40"/>
      <c r="E21" s="40"/>
      <c r="F21" s="40"/>
      <c r="G21" s="40"/>
      <c r="H21" s="40"/>
      <c r="I21" s="40"/>
      <c r="J21" s="40"/>
    </row>
    <row r="22" spans="1:10" s="3" customFormat="1" ht="26.4">
      <c r="A22" s="4" t="s">
        <v>99</v>
      </c>
      <c r="B22" s="5" t="s">
        <v>100</v>
      </c>
      <c r="C22" s="5" t="s">
        <v>101</v>
      </c>
      <c r="D22" s="20">
        <v>0</v>
      </c>
      <c r="E22" s="20">
        <v>0</v>
      </c>
      <c r="F22" s="20">
        <v>0</v>
      </c>
      <c r="G22" s="20">
        <f t="shared" si="1"/>
        <v>0</v>
      </c>
      <c r="H22" s="5" t="s">
        <v>102</v>
      </c>
      <c r="I22" s="6" t="s">
        <v>103</v>
      </c>
      <c r="J22" s="5" t="s">
        <v>77</v>
      </c>
    </row>
    <row r="23" spans="1:10" s="3" customFormat="1" ht="26.4">
      <c r="A23" s="12" t="s">
        <v>99</v>
      </c>
      <c r="B23" s="13" t="s">
        <v>104</v>
      </c>
      <c r="C23" s="13" t="s">
        <v>101</v>
      </c>
      <c r="D23" s="20">
        <v>49</v>
      </c>
      <c r="E23" s="20">
        <v>49</v>
      </c>
      <c r="F23" s="20">
        <v>49</v>
      </c>
      <c r="G23" s="20">
        <f t="shared" si="1"/>
        <v>49</v>
      </c>
      <c r="H23" s="13" t="s">
        <v>564</v>
      </c>
      <c r="I23" s="14" t="s">
        <v>105</v>
      </c>
      <c r="J23" s="13" t="s">
        <v>77</v>
      </c>
    </row>
    <row r="24" spans="1:10" s="3" customFormat="1" ht="26.4">
      <c r="A24" s="4" t="s">
        <v>99</v>
      </c>
      <c r="B24" s="5" t="s">
        <v>106</v>
      </c>
      <c r="C24" s="5" t="s">
        <v>101</v>
      </c>
      <c r="D24" s="20">
        <v>149</v>
      </c>
      <c r="E24" s="20">
        <v>149</v>
      </c>
      <c r="F24" s="20">
        <v>149</v>
      </c>
      <c r="G24" s="20">
        <f t="shared" si="1"/>
        <v>149</v>
      </c>
      <c r="H24" s="5" t="s">
        <v>107</v>
      </c>
      <c r="I24" s="6" t="s">
        <v>105</v>
      </c>
      <c r="J24" s="5" t="s">
        <v>77</v>
      </c>
    </row>
    <row r="25" spans="1:10" s="3" customFormat="1" ht="26.4">
      <c r="A25" s="12" t="s">
        <v>99</v>
      </c>
      <c r="B25" s="13" t="s">
        <v>108</v>
      </c>
      <c r="C25" s="13" t="s">
        <v>101</v>
      </c>
      <c r="D25" s="20">
        <v>499</v>
      </c>
      <c r="E25" s="20">
        <v>599</v>
      </c>
      <c r="F25" s="20">
        <v>799</v>
      </c>
      <c r="G25" s="20">
        <f t="shared" si="1"/>
        <v>599</v>
      </c>
      <c r="H25" s="13" t="s">
        <v>109</v>
      </c>
      <c r="I25" s="14" t="s">
        <v>110</v>
      </c>
      <c r="J25" s="13" t="s">
        <v>77</v>
      </c>
    </row>
    <row r="26" spans="1:10" s="3" customFormat="1" ht="26.4">
      <c r="A26" s="4" t="s">
        <v>99</v>
      </c>
      <c r="B26" s="5" t="s">
        <v>111</v>
      </c>
      <c r="C26" s="5" t="s">
        <v>112</v>
      </c>
      <c r="D26" s="20">
        <v>2000</v>
      </c>
      <c r="E26" s="20">
        <v>3000</v>
      </c>
      <c r="F26" s="20">
        <v>5000</v>
      </c>
      <c r="G26" s="20">
        <f t="shared" si="1"/>
        <v>3000</v>
      </c>
      <c r="H26" s="5" t="s">
        <v>113</v>
      </c>
      <c r="I26" s="6" t="s">
        <v>114</v>
      </c>
      <c r="J26" s="5" t="s">
        <v>115</v>
      </c>
    </row>
    <row r="27" spans="1:10" s="3" customFormat="1" ht="26.4">
      <c r="A27" s="12" t="s">
        <v>99</v>
      </c>
      <c r="B27" s="13" t="s">
        <v>116</v>
      </c>
      <c r="C27" s="13" t="s">
        <v>47</v>
      </c>
      <c r="D27" s="19">
        <v>3</v>
      </c>
      <c r="E27" s="19">
        <v>3</v>
      </c>
      <c r="F27" s="19">
        <v>3</v>
      </c>
      <c r="G27" s="19">
        <f t="shared" si="1"/>
        <v>3</v>
      </c>
      <c r="H27" s="13" t="s">
        <v>117</v>
      </c>
      <c r="I27" s="14" t="s">
        <v>118</v>
      </c>
      <c r="J27" s="13" t="s">
        <v>115</v>
      </c>
    </row>
    <row r="28" spans="1:10" s="3" customFormat="1" ht="26.4">
      <c r="A28" s="4" t="s">
        <v>99</v>
      </c>
      <c r="B28" s="5" t="s">
        <v>119</v>
      </c>
      <c r="C28" s="5" t="s">
        <v>120</v>
      </c>
      <c r="D28" s="19" t="s">
        <v>121</v>
      </c>
      <c r="E28" s="19" t="s">
        <v>121</v>
      </c>
      <c r="F28" s="19" t="s">
        <v>121</v>
      </c>
      <c r="G28" s="19" t="str">
        <f t="shared" si="1"/>
        <v>No</v>
      </c>
      <c r="H28" s="5" t="s">
        <v>122</v>
      </c>
      <c r="I28" s="6" t="s">
        <v>123</v>
      </c>
      <c r="J28" s="5" t="s">
        <v>124</v>
      </c>
    </row>
    <row r="29" spans="1:10" s="3" customFormat="1" ht="26.4">
      <c r="A29" s="12" t="s">
        <v>99</v>
      </c>
      <c r="B29" s="13" t="s">
        <v>125</v>
      </c>
      <c r="C29" s="13" t="s">
        <v>126</v>
      </c>
      <c r="D29" s="21">
        <v>0.1</v>
      </c>
      <c r="E29" s="21">
        <v>0.1</v>
      </c>
      <c r="F29" s="21">
        <v>0.1</v>
      </c>
      <c r="G29" s="21">
        <f t="shared" si="1"/>
        <v>0.1</v>
      </c>
      <c r="H29" s="13" t="s">
        <v>127</v>
      </c>
      <c r="I29" s="14" t="s">
        <v>128</v>
      </c>
      <c r="J29" s="13" t="s">
        <v>129</v>
      </c>
    </row>
    <row r="30" spans="1:10" s="3" customFormat="1" ht="26.4">
      <c r="A30" s="4" t="s">
        <v>99</v>
      </c>
      <c r="B30" s="5" t="s">
        <v>130</v>
      </c>
      <c r="C30" s="5" t="s">
        <v>131</v>
      </c>
      <c r="D30" s="21">
        <v>0.1</v>
      </c>
      <c r="E30" s="21">
        <v>0.2</v>
      </c>
      <c r="F30" s="21">
        <v>0.35</v>
      </c>
      <c r="G30" s="21">
        <f t="shared" si="1"/>
        <v>0.2</v>
      </c>
      <c r="H30" s="5" t="s">
        <v>132</v>
      </c>
      <c r="I30" s="6" t="s">
        <v>133</v>
      </c>
      <c r="J30" s="5" t="s">
        <v>67</v>
      </c>
    </row>
    <row r="31" spans="1:10" s="3" customFormat="1" ht="26.4">
      <c r="A31" s="12" t="s">
        <v>99</v>
      </c>
      <c r="B31" s="13" t="s">
        <v>134</v>
      </c>
      <c r="C31" s="13" t="s">
        <v>135</v>
      </c>
      <c r="D31" s="19">
        <v>45</v>
      </c>
      <c r="E31" s="19">
        <v>30</v>
      </c>
      <c r="F31" s="19">
        <v>30</v>
      </c>
      <c r="G31" s="19">
        <f t="shared" si="1"/>
        <v>30</v>
      </c>
      <c r="H31" s="13" t="s">
        <v>136</v>
      </c>
      <c r="I31" s="14" t="s">
        <v>137</v>
      </c>
      <c r="J31" s="13" t="s">
        <v>129</v>
      </c>
    </row>
    <row r="32" spans="1:10" s="3" customFormat="1" ht="26.4">
      <c r="A32" s="4" t="s">
        <v>99</v>
      </c>
      <c r="B32" s="5" t="s">
        <v>138</v>
      </c>
      <c r="C32" s="5" t="s">
        <v>139</v>
      </c>
      <c r="D32" s="21">
        <v>0.02</v>
      </c>
      <c r="E32" s="21">
        <v>0.01</v>
      </c>
      <c r="F32" s="21">
        <v>5.0000000000000001E-3</v>
      </c>
      <c r="G32" s="21">
        <f t="shared" si="1"/>
        <v>0.01</v>
      </c>
      <c r="H32" s="5" t="s">
        <v>140</v>
      </c>
      <c r="I32" s="6" t="s">
        <v>141</v>
      </c>
      <c r="J32" s="5" t="s">
        <v>142</v>
      </c>
    </row>
    <row r="33" spans="1:10" s="3" customFormat="1" ht="13.2">
      <c r="A33" s="39" t="s">
        <v>143</v>
      </c>
      <c r="B33" s="40"/>
      <c r="C33" s="40"/>
      <c r="D33" s="40"/>
      <c r="E33" s="40"/>
      <c r="F33" s="40"/>
      <c r="G33" s="40"/>
      <c r="H33" s="40"/>
      <c r="I33" s="40"/>
      <c r="J33" s="40"/>
    </row>
    <row r="34" spans="1:10" s="3" customFormat="1" ht="26.4">
      <c r="A34" s="4" t="s">
        <v>144</v>
      </c>
      <c r="B34" s="5" t="s">
        <v>145</v>
      </c>
      <c r="C34" s="5" t="s">
        <v>146</v>
      </c>
      <c r="D34" s="18">
        <v>0.08</v>
      </c>
      <c r="E34" s="18">
        <v>0.1</v>
      </c>
      <c r="F34" s="18">
        <v>0.15</v>
      </c>
      <c r="G34" s="18">
        <f t="shared" si="1"/>
        <v>0.1</v>
      </c>
      <c r="H34" s="5" t="s">
        <v>147</v>
      </c>
      <c r="I34" s="6" t="s">
        <v>148</v>
      </c>
      <c r="J34" s="5" t="s">
        <v>77</v>
      </c>
    </row>
    <row r="35" spans="1:10" s="3" customFormat="1" ht="26.4">
      <c r="A35" s="12" t="s">
        <v>144</v>
      </c>
      <c r="B35" s="13" t="s">
        <v>557</v>
      </c>
      <c r="C35" s="13" t="s">
        <v>149</v>
      </c>
      <c r="D35" s="19">
        <v>50</v>
      </c>
      <c r="E35" s="19">
        <v>50</v>
      </c>
      <c r="F35" s="19">
        <v>50</v>
      </c>
      <c r="G35" s="19">
        <f t="shared" si="1"/>
        <v>50</v>
      </c>
      <c r="H35" s="13" t="s">
        <v>150</v>
      </c>
      <c r="I35" s="14" t="s">
        <v>151</v>
      </c>
      <c r="J35" s="13" t="s">
        <v>152</v>
      </c>
    </row>
    <row r="36" spans="1:10" s="3" customFormat="1" ht="26.4">
      <c r="A36" s="4" t="s">
        <v>144</v>
      </c>
      <c r="B36" s="5" t="s">
        <v>558</v>
      </c>
      <c r="C36" s="5" t="s">
        <v>149</v>
      </c>
      <c r="D36" s="19">
        <v>500</v>
      </c>
      <c r="E36" s="19">
        <v>500</v>
      </c>
      <c r="F36" s="19">
        <v>500</v>
      </c>
      <c r="G36" s="19">
        <f t="shared" si="1"/>
        <v>500</v>
      </c>
      <c r="H36" s="5" t="s">
        <v>153</v>
      </c>
      <c r="I36" s="6" t="s">
        <v>154</v>
      </c>
      <c r="J36" s="5" t="s">
        <v>152</v>
      </c>
    </row>
    <row r="37" spans="1:10" s="3" customFormat="1" ht="26.4">
      <c r="A37" s="12" t="s">
        <v>144</v>
      </c>
      <c r="B37" s="13" t="s">
        <v>559</v>
      </c>
      <c r="C37" s="13" t="s">
        <v>149</v>
      </c>
      <c r="D37" s="16">
        <v>2000</v>
      </c>
      <c r="E37" s="16">
        <v>2000</v>
      </c>
      <c r="F37" s="16">
        <v>2000</v>
      </c>
      <c r="G37" s="16">
        <f t="shared" si="1"/>
        <v>2000</v>
      </c>
      <c r="H37" s="13" t="s">
        <v>155</v>
      </c>
      <c r="I37" s="14" t="s">
        <v>154</v>
      </c>
      <c r="J37" s="13" t="s">
        <v>152</v>
      </c>
    </row>
    <row r="38" spans="1:10" s="3" customFormat="1" ht="26.4">
      <c r="A38" s="4" t="s">
        <v>144</v>
      </c>
      <c r="B38" s="5" t="s">
        <v>560</v>
      </c>
      <c r="C38" s="5" t="s">
        <v>149</v>
      </c>
      <c r="D38" s="16">
        <v>10000</v>
      </c>
      <c r="E38" s="16">
        <v>12000</v>
      </c>
      <c r="F38" s="16">
        <v>15000</v>
      </c>
      <c r="G38" s="16">
        <f t="shared" si="1"/>
        <v>12000</v>
      </c>
      <c r="H38" s="5" t="s">
        <v>156</v>
      </c>
      <c r="I38" s="6" t="s">
        <v>157</v>
      </c>
      <c r="J38" s="5" t="s">
        <v>152</v>
      </c>
    </row>
    <row r="39" spans="1:10" s="3" customFormat="1" ht="26.4">
      <c r="A39" s="12" t="s">
        <v>144</v>
      </c>
      <c r="B39" s="13" t="s">
        <v>158</v>
      </c>
      <c r="C39" s="13" t="s">
        <v>159</v>
      </c>
      <c r="D39" s="19">
        <v>14</v>
      </c>
      <c r="E39" s="19">
        <v>10</v>
      </c>
      <c r="F39" s="19">
        <v>7</v>
      </c>
      <c r="G39" s="19">
        <f t="shared" si="1"/>
        <v>10</v>
      </c>
      <c r="H39" s="13" t="s">
        <v>160</v>
      </c>
      <c r="I39" s="14" t="s">
        <v>161</v>
      </c>
      <c r="J39" s="13" t="s">
        <v>77</v>
      </c>
    </row>
    <row r="40" spans="1:10" s="3" customFormat="1" ht="26.4">
      <c r="A40" s="4" t="s">
        <v>144</v>
      </c>
      <c r="B40" s="5" t="s">
        <v>561</v>
      </c>
      <c r="C40" s="5" t="s">
        <v>149</v>
      </c>
      <c r="D40" s="19">
        <v>40</v>
      </c>
      <c r="E40" s="19">
        <v>50</v>
      </c>
      <c r="F40" s="19">
        <v>60</v>
      </c>
      <c r="G40" s="19">
        <f t="shared" si="1"/>
        <v>50</v>
      </c>
      <c r="H40" s="5" t="s">
        <v>162</v>
      </c>
      <c r="I40" s="6" t="s">
        <v>163</v>
      </c>
      <c r="J40" s="5" t="s">
        <v>152</v>
      </c>
    </row>
    <row r="41" spans="1:10" s="3" customFormat="1" ht="26.4">
      <c r="A41" s="12" t="s">
        <v>144</v>
      </c>
      <c r="B41" s="13" t="s">
        <v>562</v>
      </c>
      <c r="C41" s="13" t="s">
        <v>149</v>
      </c>
      <c r="D41" s="19">
        <v>100</v>
      </c>
      <c r="E41" s="19">
        <v>150</v>
      </c>
      <c r="F41" s="19">
        <v>220</v>
      </c>
      <c r="G41" s="19">
        <f t="shared" si="1"/>
        <v>150</v>
      </c>
      <c r="H41" s="13" t="s">
        <v>164</v>
      </c>
      <c r="I41" s="14" t="s">
        <v>165</v>
      </c>
      <c r="J41" s="13" t="s">
        <v>152</v>
      </c>
    </row>
    <row r="42" spans="1:10" s="3" customFormat="1" ht="26.4">
      <c r="A42" s="4" t="s">
        <v>144</v>
      </c>
      <c r="B42" s="5" t="s">
        <v>166</v>
      </c>
      <c r="C42" s="5" t="s">
        <v>74</v>
      </c>
      <c r="D42" s="19">
        <v>1</v>
      </c>
      <c r="E42" s="19">
        <v>1</v>
      </c>
      <c r="F42" s="19">
        <v>2</v>
      </c>
      <c r="G42" s="19">
        <f t="shared" si="1"/>
        <v>1</v>
      </c>
      <c r="H42" s="5" t="s">
        <v>167</v>
      </c>
      <c r="I42" s="6" t="s">
        <v>168</v>
      </c>
      <c r="J42" s="5" t="s">
        <v>152</v>
      </c>
    </row>
    <row r="43" spans="1:10" s="3" customFormat="1" ht="13.2">
      <c r="A43" s="12" t="s">
        <v>144</v>
      </c>
      <c r="B43" s="13" t="s">
        <v>169</v>
      </c>
      <c r="C43" s="13" t="s">
        <v>74</v>
      </c>
      <c r="D43" s="19">
        <v>2</v>
      </c>
      <c r="E43" s="19">
        <v>3</v>
      </c>
      <c r="F43" s="19">
        <v>4</v>
      </c>
      <c r="G43" s="19">
        <f t="shared" si="1"/>
        <v>3</v>
      </c>
      <c r="H43" s="13" t="s">
        <v>170</v>
      </c>
      <c r="I43" s="14" t="s">
        <v>168</v>
      </c>
      <c r="J43" s="13" t="s">
        <v>152</v>
      </c>
    </row>
    <row r="44" spans="1:10" s="3" customFormat="1" ht="26.4">
      <c r="A44" s="4" t="s">
        <v>144</v>
      </c>
      <c r="B44" s="5" t="s">
        <v>171</v>
      </c>
      <c r="C44" s="5" t="s">
        <v>74</v>
      </c>
      <c r="D44" s="19">
        <v>5</v>
      </c>
      <c r="E44" s="19">
        <v>8</v>
      </c>
      <c r="F44" s="19">
        <v>12</v>
      </c>
      <c r="G44" s="19">
        <f t="shared" si="1"/>
        <v>8</v>
      </c>
      <c r="H44" s="5" t="s">
        <v>172</v>
      </c>
      <c r="I44" s="6" t="s">
        <v>168</v>
      </c>
      <c r="J44" s="5" t="s">
        <v>152</v>
      </c>
    </row>
    <row r="45" spans="1:10" s="3" customFormat="1" ht="26.4">
      <c r="A45" s="12" t="s">
        <v>144</v>
      </c>
      <c r="B45" s="13" t="s">
        <v>563</v>
      </c>
      <c r="C45" s="13" t="s">
        <v>173</v>
      </c>
      <c r="D45" s="21">
        <v>0.1</v>
      </c>
      <c r="E45" s="21">
        <v>0.2</v>
      </c>
      <c r="F45" s="21">
        <v>0.3</v>
      </c>
      <c r="G45" s="21">
        <f t="shared" si="1"/>
        <v>0.2</v>
      </c>
      <c r="H45" s="13" t="s">
        <v>174</v>
      </c>
      <c r="I45" s="14" t="s">
        <v>175</v>
      </c>
      <c r="J45" s="13" t="s">
        <v>77</v>
      </c>
    </row>
    <row r="46" spans="1:10" s="3" customFormat="1" ht="39.6">
      <c r="A46" s="4" t="s">
        <v>144</v>
      </c>
      <c r="B46" s="5" t="s">
        <v>176</v>
      </c>
      <c r="C46" s="5" t="s">
        <v>177</v>
      </c>
      <c r="D46" s="19">
        <v>150</v>
      </c>
      <c r="E46" s="19">
        <v>250</v>
      </c>
      <c r="F46" s="19">
        <v>400</v>
      </c>
      <c r="G46" s="19">
        <f t="shared" si="1"/>
        <v>250</v>
      </c>
      <c r="H46" s="5" t="s">
        <v>636</v>
      </c>
      <c r="I46" s="6" t="s">
        <v>178</v>
      </c>
      <c r="J46" s="5" t="s">
        <v>77</v>
      </c>
    </row>
    <row r="47" spans="1:10" s="3" customFormat="1" ht="26.4">
      <c r="A47" s="12" t="s">
        <v>144</v>
      </c>
      <c r="B47" s="13" t="s">
        <v>179</v>
      </c>
      <c r="C47" s="13" t="s">
        <v>173</v>
      </c>
      <c r="D47" s="21">
        <v>0.08</v>
      </c>
      <c r="E47" s="21">
        <v>0.15</v>
      </c>
      <c r="F47" s="21">
        <v>0.22</v>
      </c>
      <c r="G47" s="21">
        <f t="shared" si="1"/>
        <v>0.15</v>
      </c>
      <c r="H47" s="13" t="s">
        <v>180</v>
      </c>
      <c r="I47" s="14" t="s">
        <v>181</v>
      </c>
      <c r="J47" s="13" t="s">
        <v>77</v>
      </c>
    </row>
    <row r="48" spans="1:10" s="3" customFormat="1" ht="13.2">
      <c r="A48" s="39" t="s">
        <v>182</v>
      </c>
      <c r="B48" s="40"/>
      <c r="C48" s="40"/>
      <c r="D48" s="40"/>
      <c r="E48" s="40"/>
      <c r="F48" s="40"/>
      <c r="G48" s="40"/>
      <c r="H48" s="40"/>
      <c r="I48" s="40"/>
      <c r="J48" s="40"/>
    </row>
    <row r="49" spans="1:10" s="3" customFormat="1" ht="26.4">
      <c r="A49" s="4" t="s">
        <v>183</v>
      </c>
      <c r="B49" s="5" t="s">
        <v>565</v>
      </c>
      <c r="C49" s="5" t="s">
        <v>184</v>
      </c>
      <c r="D49" s="19">
        <v>250</v>
      </c>
      <c r="E49" s="19">
        <v>400</v>
      </c>
      <c r="F49" s="19">
        <v>700</v>
      </c>
      <c r="G49" s="19">
        <f t="shared" si="1"/>
        <v>400</v>
      </c>
      <c r="H49" s="5" t="s">
        <v>185</v>
      </c>
      <c r="I49" s="6" t="s">
        <v>186</v>
      </c>
      <c r="J49" s="5" t="s">
        <v>77</v>
      </c>
    </row>
    <row r="50" spans="1:10" s="3" customFormat="1" ht="52.8">
      <c r="A50" s="12" t="s">
        <v>183</v>
      </c>
      <c r="B50" s="13" t="s">
        <v>187</v>
      </c>
      <c r="C50" s="13" t="s">
        <v>188</v>
      </c>
      <c r="D50" s="21">
        <v>0.05</v>
      </c>
      <c r="E50" s="21">
        <v>0.1</v>
      </c>
      <c r="F50" s="21">
        <v>0.18</v>
      </c>
      <c r="G50" s="21">
        <f t="shared" si="1"/>
        <v>0.1</v>
      </c>
      <c r="H50" s="13" t="s">
        <v>635</v>
      </c>
      <c r="I50" s="14" t="s">
        <v>189</v>
      </c>
      <c r="J50" s="13" t="s">
        <v>77</v>
      </c>
    </row>
    <row r="51" spans="1:10" s="3" customFormat="1" ht="26.4">
      <c r="A51" s="12" t="s">
        <v>183</v>
      </c>
      <c r="B51" s="13" t="s">
        <v>630</v>
      </c>
      <c r="C51" s="13" t="s">
        <v>632</v>
      </c>
      <c r="D51" s="21">
        <v>0.25</v>
      </c>
      <c r="E51" s="21">
        <v>0.4</v>
      </c>
      <c r="F51" s="21">
        <v>0.55000000000000004</v>
      </c>
      <c r="G51" s="21">
        <f t="shared" si="1"/>
        <v>0.4</v>
      </c>
      <c r="H51" s="13" t="s">
        <v>631</v>
      </c>
      <c r="I51" s="13"/>
      <c r="J51" s="13" t="s">
        <v>77</v>
      </c>
    </row>
    <row r="52" spans="1:10" s="3" customFormat="1" ht="26.4">
      <c r="A52" s="4" t="s">
        <v>183</v>
      </c>
      <c r="B52" s="5" t="s">
        <v>190</v>
      </c>
      <c r="C52" s="5" t="s">
        <v>191</v>
      </c>
      <c r="D52" s="21">
        <v>0.25</v>
      </c>
      <c r="E52" s="21">
        <v>0.18</v>
      </c>
      <c r="F52" s="21">
        <v>0.12</v>
      </c>
      <c r="G52" s="21">
        <f t="shared" si="1"/>
        <v>0.18</v>
      </c>
      <c r="H52" s="5" t="s">
        <v>633</v>
      </c>
      <c r="I52" s="6" t="s">
        <v>192</v>
      </c>
      <c r="J52" s="5" t="s">
        <v>77</v>
      </c>
    </row>
    <row r="53" spans="1:10" s="3" customFormat="1" ht="26.4">
      <c r="A53" s="12" t="s">
        <v>183</v>
      </c>
      <c r="B53" s="13" t="s">
        <v>566</v>
      </c>
      <c r="C53" s="13" t="s">
        <v>193</v>
      </c>
      <c r="D53" s="19">
        <v>5</v>
      </c>
      <c r="E53" s="19">
        <v>8</v>
      </c>
      <c r="F53" s="19">
        <v>12</v>
      </c>
      <c r="G53" s="19">
        <f t="shared" si="1"/>
        <v>8</v>
      </c>
      <c r="H53" s="13" t="s">
        <v>637</v>
      </c>
      <c r="I53" s="14" t="s">
        <v>81</v>
      </c>
      <c r="J53" s="13" t="s">
        <v>77</v>
      </c>
    </row>
    <row r="54" spans="1:10" s="3" customFormat="1" ht="26.4">
      <c r="A54" s="4" t="s">
        <v>183</v>
      </c>
      <c r="B54" s="5" t="s">
        <v>567</v>
      </c>
      <c r="C54" s="5" t="s">
        <v>193</v>
      </c>
      <c r="D54" s="19">
        <v>2</v>
      </c>
      <c r="E54" s="19">
        <v>4</v>
      </c>
      <c r="F54" s="19">
        <v>6</v>
      </c>
      <c r="G54" s="19">
        <f t="shared" si="1"/>
        <v>4</v>
      </c>
      <c r="H54" s="5" t="s">
        <v>194</v>
      </c>
      <c r="I54" s="6" t="s">
        <v>81</v>
      </c>
      <c r="J54" s="5" t="s">
        <v>77</v>
      </c>
    </row>
    <row r="55" spans="1:10" s="3" customFormat="1" ht="26.4">
      <c r="A55" s="12" t="s">
        <v>183</v>
      </c>
      <c r="B55" s="13" t="s">
        <v>568</v>
      </c>
      <c r="C55" s="13" t="s">
        <v>193</v>
      </c>
      <c r="D55" s="19">
        <v>0.5</v>
      </c>
      <c r="E55" s="19">
        <v>1</v>
      </c>
      <c r="F55" s="19">
        <v>2</v>
      </c>
      <c r="G55" s="19">
        <f t="shared" si="1"/>
        <v>1</v>
      </c>
      <c r="H55" s="13" t="s">
        <v>195</v>
      </c>
      <c r="I55" s="14" t="s">
        <v>196</v>
      </c>
      <c r="J55" s="13" t="s">
        <v>77</v>
      </c>
    </row>
    <row r="56" spans="1:10" s="3" customFormat="1" ht="39.6">
      <c r="A56" s="4" t="s">
        <v>183</v>
      </c>
      <c r="B56" s="5" t="s">
        <v>197</v>
      </c>
      <c r="C56" s="5" t="s">
        <v>173</v>
      </c>
      <c r="D56" s="21">
        <v>0.03</v>
      </c>
      <c r="E56" s="21">
        <v>7.0000000000000007E-2</v>
      </c>
      <c r="F56" s="21">
        <v>0.12</v>
      </c>
      <c r="G56" s="21">
        <f t="shared" si="1"/>
        <v>7.0000000000000007E-2</v>
      </c>
      <c r="H56" s="5" t="s">
        <v>638</v>
      </c>
      <c r="I56" s="6" t="s">
        <v>569</v>
      </c>
      <c r="J56" s="5" t="s">
        <v>77</v>
      </c>
    </row>
    <row r="57" spans="1:10" s="3" customFormat="1" ht="26.4">
      <c r="A57" s="12" t="s">
        <v>183</v>
      </c>
      <c r="B57" s="13" t="s">
        <v>198</v>
      </c>
      <c r="C57" s="13" t="s">
        <v>159</v>
      </c>
      <c r="D57" s="19">
        <v>7</v>
      </c>
      <c r="E57" s="19">
        <v>6</v>
      </c>
      <c r="F57" s="19">
        <v>6</v>
      </c>
      <c r="G57" s="19">
        <f t="shared" si="1"/>
        <v>6</v>
      </c>
      <c r="H57" s="13" t="s">
        <v>199</v>
      </c>
      <c r="I57" s="14" t="s">
        <v>86</v>
      </c>
      <c r="J57" s="13" t="s">
        <v>77</v>
      </c>
    </row>
    <row r="58" spans="1:10" s="3" customFormat="1" ht="26.4">
      <c r="A58" s="4" t="s">
        <v>183</v>
      </c>
      <c r="B58" s="5" t="s">
        <v>200</v>
      </c>
      <c r="C58" s="5" t="s">
        <v>135</v>
      </c>
      <c r="D58" s="19">
        <v>30</v>
      </c>
      <c r="E58" s="19">
        <v>21</v>
      </c>
      <c r="F58" s="19">
        <v>14</v>
      </c>
      <c r="G58" s="19">
        <f t="shared" si="1"/>
        <v>21</v>
      </c>
      <c r="H58" s="5" t="s">
        <v>201</v>
      </c>
      <c r="I58" s="6" t="s">
        <v>202</v>
      </c>
      <c r="J58" s="5" t="s">
        <v>77</v>
      </c>
    </row>
    <row r="59" spans="1:10" s="3" customFormat="1" ht="26.4">
      <c r="A59" s="12" t="s">
        <v>183</v>
      </c>
      <c r="B59" s="13" t="s">
        <v>203</v>
      </c>
      <c r="C59" s="13" t="s">
        <v>135</v>
      </c>
      <c r="D59" s="19">
        <v>90</v>
      </c>
      <c r="E59" s="19">
        <v>60</v>
      </c>
      <c r="F59" s="19">
        <v>45</v>
      </c>
      <c r="G59" s="19">
        <f t="shared" si="1"/>
        <v>60</v>
      </c>
      <c r="H59" s="13" t="s">
        <v>204</v>
      </c>
      <c r="I59" s="14" t="s">
        <v>205</v>
      </c>
      <c r="J59" s="13" t="s">
        <v>77</v>
      </c>
    </row>
    <row r="60" spans="1:10" s="3" customFormat="1" ht="26.4">
      <c r="A60" s="4" t="s">
        <v>183</v>
      </c>
      <c r="B60" s="5" t="s">
        <v>206</v>
      </c>
      <c r="C60" s="5" t="s">
        <v>173</v>
      </c>
      <c r="D60" s="21">
        <v>0.03</v>
      </c>
      <c r="E60" s="21">
        <v>0.05</v>
      </c>
      <c r="F60" s="21">
        <v>0.08</v>
      </c>
      <c r="G60" s="21">
        <f t="shared" si="1"/>
        <v>0.05</v>
      </c>
      <c r="H60" s="5" t="s">
        <v>207</v>
      </c>
      <c r="I60" s="6" t="s">
        <v>208</v>
      </c>
      <c r="J60" s="5" t="s">
        <v>209</v>
      </c>
    </row>
    <row r="61" spans="1:10" s="3" customFormat="1" ht="13.2">
      <c r="A61" s="12" t="s">
        <v>183</v>
      </c>
      <c r="B61" s="13" t="s">
        <v>210</v>
      </c>
      <c r="C61" s="13" t="s">
        <v>173</v>
      </c>
      <c r="D61" s="21">
        <v>0.01</v>
      </c>
      <c r="E61" s="21">
        <v>0.02</v>
      </c>
      <c r="F61" s="21">
        <v>0.03</v>
      </c>
      <c r="G61" s="21">
        <f t="shared" si="1"/>
        <v>0.02</v>
      </c>
      <c r="H61" s="13" t="s">
        <v>211</v>
      </c>
      <c r="I61" s="14" t="s">
        <v>208</v>
      </c>
      <c r="J61" s="13" t="s">
        <v>209</v>
      </c>
    </row>
    <row r="62" spans="1:10" s="3" customFormat="1" ht="13.2">
      <c r="A62" s="4" t="s">
        <v>183</v>
      </c>
      <c r="B62" s="5" t="s">
        <v>212</v>
      </c>
      <c r="C62" s="5" t="s">
        <v>173</v>
      </c>
      <c r="D62" s="21">
        <v>0.02</v>
      </c>
      <c r="E62" s="21">
        <v>0.04</v>
      </c>
      <c r="F62" s="21">
        <v>0.06</v>
      </c>
      <c r="G62" s="21">
        <f t="shared" si="1"/>
        <v>0.04</v>
      </c>
      <c r="H62" s="5" t="s">
        <v>213</v>
      </c>
      <c r="I62" s="6" t="s">
        <v>214</v>
      </c>
      <c r="J62" s="5" t="s">
        <v>209</v>
      </c>
    </row>
    <row r="63" spans="1:10" s="3" customFormat="1" ht="13.2">
      <c r="A63" s="39" t="s">
        <v>215</v>
      </c>
      <c r="B63" s="40"/>
      <c r="C63" s="40"/>
      <c r="D63" s="40"/>
      <c r="E63" s="40"/>
      <c r="F63" s="40"/>
      <c r="G63" s="40"/>
      <c r="H63" s="40"/>
      <c r="I63" s="40"/>
      <c r="J63" s="40"/>
    </row>
    <row r="64" spans="1:10" s="3" customFormat="1" ht="26.4">
      <c r="A64" s="4" t="s">
        <v>216</v>
      </c>
      <c r="B64" s="5" t="s">
        <v>217</v>
      </c>
      <c r="C64" s="5" t="s">
        <v>173</v>
      </c>
      <c r="D64" s="21">
        <v>0.02</v>
      </c>
      <c r="E64" s="21">
        <v>0.04</v>
      </c>
      <c r="F64" s="21">
        <v>0.06</v>
      </c>
      <c r="G64" s="21">
        <f t="shared" si="1"/>
        <v>0.04</v>
      </c>
      <c r="H64" s="5" t="s">
        <v>218</v>
      </c>
      <c r="I64" s="6" t="s">
        <v>219</v>
      </c>
      <c r="J64" s="5" t="s">
        <v>77</v>
      </c>
    </row>
    <row r="65" spans="1:10" s="3" customFormat="1" ht="26.4">
      <c r="A65" s="12" t="s">
        <v>216</v>
      </c>
      <c r="B65" s="13" t="s">
        <v>220</v>
      </c>
      <c r="C65" s="13" t="s">
        <v>191</v>
      </c>
      <c r="D65" s="21">
        <v>0.01</v>
      </c>
      <c r="E65" s="21">
        <v>0.02</v>
      </c>
      <c r="F65" s="21">
        <v>0.03</v>
      </c>
      <c r="G65" s="21">
        <f t="shared" si="1"/>
        <v>0.02</v>
      </c>
      <c r="H65" s="13" t="s">
        <v>221</v>
      </c>
      <c r="I65" s="14" t="s">
        <v>222</v>
      </c>
      <c r="J65" s="13" t="s">
        <v>223</v>
      </c>
    </row>
    <row r="66" spans="1:10" s="3" customFormat="1" ht="26.4">
      <c r="A66" s="4" t="s">
        <v>216</v>
      </c>
      <c r="B66" s="5" t="s">
        <v>224</v>
      </c>
      <c r="C66" s="5" t="s">
        <v>191</v>
      </c>
      <c r="D66" s="21">
        <v>1E-3</v>
      </c>
      <c r="E66" s="25">
        <v>2.5000000000000001E-3</v>
      </c>
      <c r="F66" s="21">
        <v>5.0000000000000001E-3</v>
      </c>
      <c r="G66" s="21">
        <f t="shared" si="1"/>
        <v>2.5000000000000001E-3</v>
      </c>
      <c r="H66" s="5" t="s">
        <v>225</v>
      </c>
      <c r="I66" s="6" t="s">
        <v>222</v>
      </c>
      <c r="J66" s="5" t="s">
        <v>223</v>
      </c>
    </row>
    <row r="67" spans="1:10" s="3" customFormat="1" ht="26.4">
      <c r="A67" s="12" t="s">
        <v>216</v>
      </c>
      <c r="B67" s="13" t="s">
        <v>226</v>
      </c>
      <c r="C67" s="13" t="s">
        <v>159</v>
      </c>
      <c r="D67" s="19">
        <v>8</v>
      </c>
      <c r="E67" s="19">
        <v>6</v>
      </c>
      <c r="F67" s="19">
        <v>5</v>
      </c>
      <c r="G67" s="19">
        <f t="shared" si="1"/>
        <v>6</v>
      </c>
      <c r="H67" s="13" t="s">
        <v>227</v>
      </c>
      <c r="I67" s="14" t="s">
        <v>228</v>
      </c>
      <c r="J67" s="13" t="s">
        <v>77</v>
      </c>
    </row>
    <row r="68" spans="1:10" s="3" customFormat="1" ht="26.4">
      <c r="A68" s="4" t="s">
        <v>216</v>
      </c>
      <c r="B68" s="5" t="s">
        <v>229</v>
      </c>
      <c r="C68" s="5" t="s">
        <v>191</v>
      </c>
      <c r="D68" s="21">
        <v>0.02</v>
      </c>
      <c r="E68" s="21">
        <v>0.01</v>
      </c>
      <c r="F68" s="21">
        <v>5.0000000000000001E-3</v>
      </c>
      <c r="G68" s="21">
        <f t="shared" si="1"/>
        <v>0.01</v>
      </c>
      <c r="H68" s="5" t="s">
        <v>230</v>
      </c>
      <c r="I68" s="6" t="s">
        <v>231</v>
      </c>
      <c r="J68" s="5" t="s">
        <v>77</v>
      </c>
    </row>
    <row r="69" spans="1:10" s="3" customFormat="1" ht="26.4">
      <c r="A69" s="12" t="s">
        <v>216</v>
      </c>
      <c r="B69" s="13" t="s">
        <v>570</v>
      </c>
      <c r="C69" s="13" t="s">
        <v>173</v>
      </c>
      <c r="D69" s="21">
        <v>0.03</v>
      </c>
      <c r="E69" s="21">
        <v>0.06</v>
      </c>
      <c r="F69" s="21">
        <v>0.1</v>
      </c>
      <c r="G69" s="21">
        <f t="shared" si="1"/>
        <v>0.06</v>
      </c>
      <c r="H69" s="13" t="s">
        <v>232</v>
      </c>
      <c r="I69" s="14" t="s">
        <v>233</v>
      </c>
      <c r="J69" s="13" t="s">
        <v>77</v>
      </c>
    </row>
    <row r="70" spans="1:10" s="3" customFormat="1" ht="52.8">
      <c r="A70" s="4" t="s">
        <v>216</v>
      </c>
      <c r="B70" s="5" t="s">
        <v>234</v>
      </c>
      <c r="C70" s="5" t="s">
        <v>235</v>
      </c>
      <c r="D70" s="21">
        <v>1.4999999999999999E-2</v>
      </c>
      <c r="E70" s="21">
        <v>0.01</v>
      </c>
      <c r="F70" s="21">
        <v>5.0000000000000001E-3</v>
      </c>
      <c r="G70" s="21">
        <f t="shared" si="1"/>
        <v>0.01</v>
      </c>
      <c r="H70" s="5" t="s">
        <v>639</v>
      </c>
      <c r="I70" s="6" t="s">
        <v>236</v>
      </c>
      <c r="J70" s="5" t="s">
        <v>237</v>
      </c>
    </row>
    <row r="71" spans="1:10" s="3" customFormat="1" ht="26.4">
      <c r="A71" s="12" t="s">
        <v>216</v>
      </c>
      <c r="B71" s="13" t="s">
        <v>571</v>
      </c>
      <c r="C71" s="13" t="s">
        <v>173</v>
      </c>
      <c r="D71" s="21">
        <v>0.85</v>
      </c>
      <c r="E71" s="21">
        <v>1.05</v>
      </c>
      <c r="F71" s="21">
        <v>1.2</v>
      </c>
      <c r="G71" s="21">
        <f t="shared" si="1"/>
        <v>1.05</v>
      </c>
      <c r="H71" s="13" t="s">
        <v>238</v>
      </c>
      <c r="I71" s="14" t="s">
        <v>239</v>
      </c>
      <c r="J71" s="13" t="s">
        <v>97</v>
      </c>
    </row>
    <row r="72" spans="1:10" s="3" customFormat="1" ht="13.2">
      <c r="A72" s="39" t="s">
        <v>240</v>
      </c>
      <c r="B72" s="40"/>
      <c r="C72" s="40"/>
      <c r="D72" s="40"/>
      <c r="E72" s="40"/>
      <c r="F72" s="40"/>
      <c r="G72" s="40"/>
      <c r="H72" s="40"/>
      <c r="I72" s="40"/>
      <c r="J72" s="40"/>
    </row>
    <row r="73" spans="1:10" s="3" customFormat="1" ht="26.4">
      <c r="A73" s="4" t="s">
        <v>241</v>
      </c>
      <c r="B73" s="5" t="s">
        <v>242</v>
      </c>
      <c r="C73" s="5" t="s">
        <v>173</v>
      </c>
      <c r="D73" s="21">
        <v>0.06</v>
      </c>
      <c r="E73" s="21">
        <v>0.04</v>
      </c>
      <c r="F73" s="21">
        <v>2.5000000000000001E-2</v>
      </c>
      <c r="G73" s="21">
        <f t="shared" si="1"/>
        <v>0.04</v>
      </c>
      <c r="H73" s="5" t="s">
        <v>243</v>
      </c>
      <c r="I73" s="6" t="s">
        <v>244</v>
      </c>
      <c r="J73" s="5" t="s">
        <v>245</v>
      </c>
    </row>
    <row r="74" spans="1:10" s="3" customFormat="1" ht="26.4">
      <c r="A74" s="12" t="s">
        <v>241</v>
      </c>
      <c r="B74" s="13" t="s">
        <v>246</v>
      </c>
      <c r="C74" s="13" t="s">
        <v>173</v>
      </c>
      <c r="D74" s="21">
        <v>0.04</v>
      </c>
      <c r="E74" s="21">
        <v>2.5000000000000001E-2</v>
      </c>
      <c r="F74" s="21">
        <v>1.4999999999999999E-2</v>
      </c>
      <c r="G74" s="21">
        <f t="shared" si="1"/>
        <v>2.5000000000000001E-2</v>
      </c>
      <c r="H74" s="13" t="s">
        <v>247</v>
      </c>
      <c r="I74" s="14" t="s">
        <v>244</v>
      </c>
      <c r="J74" s="13" t="s">
        <v>245</v>
      </c>
    </row>
    <row r="75" spans="1:10" s="3" customFormat="1" ht="26.4">
      <c r="A75" s="4" t="s">
        <v>241</v>
      </c>
      <c r="B75" s="5" t="s">
        <v>248</v>
      </c>
      <c r="C75" s="5" t="s">
        <v>173</v>
      </c>
      <c r="D75" s="21">
        <v>0.25</v>
      </c>
      <c r="E75" s="21">
        <v>0.15</v>
      </c>
      <c r="F75" s="21">
        <v>0.08</v>
      </c>
      <c r="G75" s="21">
        <f t="shared" si="1"/>
        <v>0.15</v>
      </c>
      <c r="H75" s="5" t="s">
        <v>249</v>
      </c>
      <c r="I75" s="6" t="s">
        <v>231</v>
      </c>
      <c r="J75" s="5" t="s">
        <v>77</v>
      </c>
    </row>
    <row r="76" spans="1:10" s="3" customFormat="1" ht="13.2">
      <c r="A76" s="12" t="s">
        <v>241</v>
      </c>
      <c r="B76" s="13" t="s">
        <v>250</v>
      </c>
      <c r="C76" s="13" t="s">
        <v>191</v>
      </c>
      <c r="D76" s="28">
        <f>1-(1-D75)^(1/12)</f>
        <v>2.3688424222606752E-2</v>
      </c>
      <c r="E76" s="28">
        <f t="shared" ref="E76:F76" si="4">1-(1-E75)^(1/12)</f>
        <v>1.3451947011868914E-2</v>
      </c>
      <c r="F76" s="28">
        <f t="shared" si="4"/>
        <v>6.9243826282994192E-3</v>
      </c>
      <c r="G76" s="28">
        <f t="shared" ref="G76:G79" si="5">_xlfn.XLOOKUP($G$5,$D$3:$F$3,D76:F76)</f>
        <v>1.3451947011868914E-2</v>
      </c>
      <c r="H76" s="13" t="s">
        <v>640</v>
      </c>
      <c r="I76" s="14" t="s">
        <v>251</v>
      </c>
      <c r="J76" s="13" t="s">
        <v>77</v>
      </c>
    </row>
    <row r="77" spans="1:10" s="3" customFormat="1" ht="26.4">
      <c r="A77" s="4" t="s">
        <v>241</v>
      </c>
      <c r="B77" s="5" t="s">
        <v>252</v>
      </c>
      <c r="C77" s="5" t="s">
        <v>173</v>
      </c>
      <c r="D77" s="21">
        <v>0.05</v>
      </c>
      <c r="E77" s="21">
        <v>0.03</v>
      </c>
      <c r="F77" s="21">
        <v>1.7999999999999999E-2</v>
      </c>
      <c r="G77" s="21">
        <f t="shared" si="5"/>
        <v>0.03</v>
      </c>
      <c r="H77" s="5" t="s">
        <v>253</v>
      </c>
      <c r="I77" s="6" t="s">
        <v>254</v>
      </c>
      <c r="J77" s="5" t="s">
        <v>10</v>
      </c>
    </row>
    <row r="78" spans="1:10" s="3" customFormat="1" ht="26.4">
      <c r="A78" s="12" t="s">
        <v>241</v>
      </c>
      <c r="B78" s="13" t="s">
        <v>255</v>
      </c>
      <c r="C78" s="13" t="s">
        <v>159</v>
      </c>
      <c r="D78" s="19">
        <v>2</v>
      </c>
      <c r="E78" s="19">
        <v>2</v>
      </c>
      <c r="F78" s="19">
        <v>2</v>
      </c>
      <c r="G78" s="19">
        <f t="shared" si="5"/>
        <v>2</v>
      </c>
      <c r="H78" s="13" t="s">
        <v>256</v>
      </c>
      <c r="I78" s="14" t="s">
        <v>257</v>
      </c>
      <c r="J78" s="13" t="s">
        <v>77</v>
      </c>
    </row>
    <row r="79" spans="1:10" s="3" customFormat="1" ht="26.4">
      <c r="A79" s="4" t="s">
        <v>241</v>
      </c>
      <c r="B79" s="5" t="s">
        <v>258</v>
      </c>
      <c r="C79" s="5" t="s">
        <v>191</v>
      </c>
      <c r="D79" s="27">
        <f>+D52</f>
        <v>0.25</v>
      </c>
      <c r="E79" s="27">
        <f t="shared" ref="E79:F79" si="6">+E52</f>
        <v>0.18</v>
      </c>
      <c r="F79" s="27">
        <f t="shared" si="6"/>
        <v>0.12</v>
      </c>
      <c r="G79" s="27">
        <f t="shared" si="5"/>
        <v>0.18</v>
      </c>
      <c r="H79" s="5" t="s">
        <v>641</v>
      </c>
      <c r="I79" s="6" t="s">
        <v>192</v>
      </c>
      <c r="J79" s="5" t="s">
        <v>77</v>
      </c>
    </row>
    <row r="80" spans="1:10" s="3" customFormat="1" ht="13.2">
      <c r="A80" s="39" t="s">
        <v>259</v>
      </c>
      <c r="B80" s="40"/>
      <c r="C80" s="40"/>
      <c r="D80" s="40"/>
      <c r="E80" s="40"/>
      <c r="F80" s="40"/>
      <c r="G80" s="40"/>
      <c r="H80" s="40"/>
      <c r="I80" s="40"/>
      <c r="J80" s="40"/>
    </row>
    <row r="81" spans="1:10" s="3" customFormat="1" ht="26.4">
      <c r="A81" s="4" t="s">
        <v>260</v>
      </c>
      <c r="B81" s="5" t="s">
        <v>572</v>
      </c>
      <c r="C81" s="5" t="s">
        <v>173</v>
      </c>
      <c r="D81" s="21">
        <v>0.45</v>
      </c>
      <c r="E81" s="21">
        <v>0.35</v>
      </c>
      <c r="F81" s="21">
        <v>0.28000000000000003</v>
      </c>
      <c r="G81" s="21">
        <f t="shared" ref="G81:G92" si="7">_xlfn.XLOOKUP($G$5,$D$3:$F$3,D81:F81)</f>
        <v>0.35</v>
      </c>
      <c r="H81" s="5" t="s">
        <v>261</v>
      </c>
      <c r="I81" s="6" t="s">
        <v>262</v>
      </c>
      <c r="J81" s="5" t="s">
        <v>9</v>
      </c>
    </row>
    <row r="82" spans="1:10" s="3" customFormat="1" ht="26.4">
      <c r="A82" s="12" t="s">
        <v>260</v>
      </c>
      <c r="B82" s="13" t="s">
        <v>573</v>
      </c>
      <c r="C82" s="13" t="s">
        <v>173</v>
      </c>
      <c r="D82" s="21">
        <v>0.35</v>
      </c>
      <c r="E82" s="21">
        <v>0.25</v>
      </c>
      <c r="F82" s="21">
        <v>0.2</v>
      </c>
      <c r="G82" s="21">
        <f t="shared" si="7"/>
        <v>0.25</v>
      </c>
      <c r="H82" s="13" t="s">
        <v>263</v>
      </c>
      <c r="I82" s="14" t="s">
        <v>262</v>
      </c>
      <c r="J82" s="13" t="s">
        <v>9</v>
      </c>
    </row>
    <row r="83" spans="1:10" s="3" customFormat="1" ht="26.4">
      <c r="A83" s="4" t="s">
        <v>260</v>
      </c>
      <c r="B83" s="5" t="s">
        <v>574</v>
      </c>
      <c r="C83" s="5" t="s">
        <v>264</v>
      </c>
      <c r="D83" s="20">
        <v>8</v>
      </c>
      <c r="E83" s="20">
        <v>6</v>
      </c>
      <c r="F83" s="20">
        <v>5</v>
      </c>
      <c r="G83" s="20">
        <f t="shared" si="7"/>
        <v>6</v>
      </c>
      <c r="H83" s="5" t="s">
        <v>265</v>
      </c>
      <c r="I83" s="6" t="s">
        <v>266</v>
      </c>
      <c r="J83" s="5" t="s">
        <v>9</v>
      </c>
    </row>
    <row r="84" spans="1:10" s="3" customFormat="1" ht="39.6">
      <c r="A84" s="12" t="s">
        <v>260</v>
      </c>
      <c r="B84" s="13" t="s">
        <v>575</v>
      </c>
      <c r="C84" s="13" t="s">
        <v>101</v>
      </c>
      <c r="D84" s="20">
        <v>2500</v>
      </c>
      <c r="E84" s="20">
        <v>2000</v>
      </c>
      <c r="F84" s="20">
        <v>1500</v>
      </c>
      <c r="G84" s="20">
        <f t="shared" si="7"/>
        <v>2000</v>
      </c>
      <c r="H84" s="13" t="s">
        <v>642</v>
      </c>
      <c r="I84" s="14" t="s">
        <v>266</v>
      </c>
      <c r="J84" s="13" t="s">
        <v>9</v>
      </c>
    </row>
    <row r="85" spans="1:10" s="3" customFormat="1" ht="26.4">
      <c r="A85" s="4" t="s">
        <v>260</v>
      </c>
      <c r="B85" s="5" t="s">
        <v>267</v>
      </c>
      <c r="C85" s="5" t="s">
        <v>173</v>
      </c>
      <c r="D85" s="21">
        <v>2.9000000000000001E-2</v>
      </c>
      <c r="E85" s="21">
        <v>2.9000000000000001E-2</v>
      </c>
      <c r="F85" s="21">
        <v>2.9000000000000001E-2</v>
      </c>
      <c r="G85" s="21">
        <f t="shared" si="7"/>
        <v>2.9000000000000001E-2</v>
      </c>
      <c r="H85" s="5" t="s">
        <v>268</v>
      </c>
      <c r="I85" s="6" t="s">
        <v>269</v>
      </c>
      <c r="J85" s="5" t="s">
        <v>9</v>
      </c>
    </row>
    <row r="86" spans="1:10" s="3" customFormat="1" ht="13.2">
      <c r="A86" s="12" t="s">
        <v>260</v>
      </c>
      <c r="B86" s="13" t="s">
        <v>270</v>
      </c>
      <c r="C86" s="13" t="s">
        <v>264</v>
      </c>
      <c r="D86" s="20">
        <v>4</v>
      </c>
      <c r="E86" s="20">
        <v>3</v>
      </c>
      <c r="F86" s="20">
        <v>2</v>
      </c>
      <c r="G86" s="20">
        <f t="shared" si="7"/>
        <v>3</v>
      </c>
      <c r="H86" s="13" t="s">
        <v>271</v>
      </c>
      <c r="I86" s="14" t="s">
        <v>272</v>
      </c>
      <c r="J86" s="13" t="s">
        <v>9</v>
      </c>
    </row>
    <row r="87" spans="1:10" s="3" customFormat="1" ht="66">
      <c r="A87" s="4" t="s">
        <v>260</v>
      </c>
      <c r="B87" s="5" t="s">
        <v>273</v>
      </c>
      <c r="C87" s="5" t="s">
        <v>79</v>
      </c>
      <c r="D87" s="19">
        <v>60</v>
      </c>
      <c r="E87" s="19">
        <v>80</v>
      </c>
      <c r="F87" s="19">
        <v>100</v>
      </c>
      <c r="G87" s="19">
        <f t="shared" si="7"/>
        <v>80</v>
      </c>
      <c r="H87" s="5" t="s">
        <v>643</v>
      </c>
      <c r="I87" s="6" t="s">
        <v>274</v>
      </c>
      <c r="J87" s="5" t="s">
        <v>275</v>
      </c>
    </row>
    <row r="88" spans="1:10" s="3" customFormat="1" ht="26.4">
      <c r="A88" s="12" t="s">
        <v>260</v>
      </c>
      <c r="B88" s="13" t="s">
        <v>276</v>
      </c>
      <c r="C88" s="13" t="s">
        <v>277</v>
      </c>
      <c r="D88" s="20">
        <v>90000</v>
      </c>
      <c r="E88" s="20">
        <v>85000</v>
      </c>
      <c r="F88" s="20">
        <v>80000</v>
      </c>
      <c r="G88" s="20">
        <f t="shared" si="7"/>
        <v>85000</v>
      </c>
      <c r="H88" s="13" t="s">
        <v>576</v>
      </c>
      <c r="I88" s="14" t="s">
        <v>278</v>
      </c>
      <c r="J88" s="13" t="s">
        <v>9</v>
      </c>
    </row>
    <row r="89" spans="1:10" s="3" customFormat="1" ht="26.4">
      <c r="A89" s="4" t="s">
        <v>260</v>
      </c>
      <c r="B89" s="5" t="s">
        <v>279</v>
      </c>
      <c r="C89" s="5" t="s">
        <v>112</v>
      </c>
      <c r="D89" s="20">
        <v>1500</v>
      </c>
      <c r="E89" s="20">
        <v>1200</v>
      </c>
      <c r="F89" s="20">
        <v>1000</v>
      </c>
      <c r="G89" s="20">
        <f t="shared" si="7"/>
        <v>1200</v>
      </c>
      <c r="H89" s="5" t="s">
        <v>280</v>
      </c>
      <c r="I89" s="6" t="s">
        <v>157</v>
      </c>
      <c r="J89" s="5" t="s">
        <v>9</v>
      </c>
    </row>
    <row r="90" spans="1:10" s="3" customFormat="1" ht="26.4">
      <c r="A90" s="12" t="s">
        <v>260</v>
      </c>
      <c r="B90" s="13" t="s">
        <v>281</v>
      </c>
      <c r="C90" s="13" t="s">
        <v>282</v>
      </c>
      <c r="D90" s="19">
        <v>20</v>
      </c>
      <c r="E90" s="19">
        <v>15</v>
      </c>
      <c r="F90" s="19">
        <v>10</v>
      </c>
      <c r="G90" s="19">
        <f t="shared" si="7"/>
        <v>15</v>
      </c>
      <c r="H90" s="13" t="s">
        <v>283</v>
      </c>
      <c r="I90" s="14" t="s">
        <v>157</v>
      </c>
      <c r="J90" s="13" t="s">
        <v>9</v>
      </c>
    </row>
    <row r="91" spans="1:10" s="3" customFormat="1" ht="26.4">
      <c r="A91" s="4" t="s">
        <v>260</v>
      </c>
      <c r="B91" s="5" t="s">
        <v>577</v>
      </c>
      <c r="C91" s="5" t="s">
        <v>173</v>
      </c>
      <c r="D91" s="21">
        <v>0.57999999999999996</v>
      </c>
      <c r="E91" s="21">
        <v>0.63</v>
      </c>
      <c r="F91" s="21">
        <v>0.68</v>
      </c>
      <c r="G91" s="21">
        <f t="shared" si="7"/>
        <v>0.63</v>
      </c>
      <c r="H91" s="5" t="s">
        <v>284</v>
      </c>
      <c r="I91" s="6" t="s">
        <v>285</v>
      </c>
      <c r="J91" s="5" t="s">
        <v>97</v>
      </c>
    </row>
    <row r="92" spans="1:10" s="3" customFormat="1" ht="26.4">
      <c r="A92" s="12" t="s">
        <v>260</v>
      </c>
      <c r="B92" s="13" t="s">
        <v>578</v>
      </c>
      <c r="C92" s="13" t="s">
        <v>173</v>
      </c>
      <c r="D92" s="21">
        <v>0.68</v>
      </c>
      <c r="E92" s="21">
        <v>0.74</v>
      </c>
      <c r="F92" s="21">
        <v>0.78</v>
      </c>
      <c r="G92" s="21">
        <f t="shared" si="7"/>
        <v>0.74</v>
      </c>
      <c r="H92" s="13" t="s">
        <v>286</v>
      </c>
      <c r="I92" s="14" t="s">
        <v>285</v>
      </c>
      <c r="J92" s="13" t="s">
        <v>97</v>
      </c>
    </row>
    <row r="93" spans="1:10" s="3" customFormat="1" ht="13.2">
      <c r="A93" s="39" t="s">
        <v>287</v>
      </c>
      <c r="B93" s="40"/>
      <c r="C93" s="40"/>
      <c r="D93" s="40"/>
      <c r="E93" s="40"/>
      <c r="F93" s="40"/>
      <c r="G93" s="40"/>
      <c r="H93" s="40"/>
      <c r="I93" s="40"/>
      <c r="J93" s="40"/>
    </row>
    <row r="94" spans="1:10" s="3" customFormat="1" ht="26.4">
      <c r="A94" s="4" t="s">
        <v>288</v>
      </c>
      <c r="B94" s="5" t="s">
        <v>289</v>
      </c>
      <c r="C94" s="5" t="s">
        <v>290</v>
      </c>
      <c r="D94" s="20">
        <v>600</v>
      </c>
      <c r="E94" s="20">
        <v>500</v>
      </c>
      <c r="F94" s="20">
        <v>400</v>
      </c>
      <c r="G94" s="20">
        <f t="shared" ref="G94:G110" si="8">_xlfn.XLOOKUP($G$5,$D$3:$F$3,D94:F94)</f>
        <v>500</v>
      </c>
      <c r="H94" s="5" t="s">
        <v>291</v>
      </c>
      <c r="I94" s="6" t="s">
        <v>292</v>
      </c>
      <c r="J94" s="5" t="s">
        <v>10</v>
      </c>
    </row>
    <row r="95" spans="1:10" s="3" customFormat="1" ht="52.8">
      <c r="A95" s="12" t="s">
        <v>288</v>
      </c>
      <c r="B95" s="13" t="s">
        <v>293</v>
      </c>
      <c r="C95" s="13" t="s">
        <v>290</v>
      </c>
      <c r="D95" s="20">
        <v>2000</v>
      </c>
      <c r="E95" s="20">
        <v>1600</v>
      </c>
      <c r="F95" s="20">
        <v>1200</v>
      </c>
      <c r="G95" s="20">
        <f t="shared" si="8"/>
        <v>1600</v>
      </c>
      <c r="H95" s="13" t="s">
        <v>645</v>
      </c>
      <c r="I95" s="14" t="s">
        <v>292</v>
      </c>
      <c r="J95" s="13" t="s">
        <v>10</v>
      </c>
    </row>
    <row r="96" spans="1:10" s="3" customFormat="1" ht="66">
      <c r="A96" s="4" t="s">
        <v>288</v>
      </c>
      <c r="B96" s="5" t="s">
        <v>294</v>
      </c>
      <c r="C96" s="5" t="s">
        <v>290</v>
      </c>
      <c r="D96" s="20">
        <v>5000</v>
      </c>
      <c r="E96" s="20">
        <v>4500</v>
      </c>
      <c r="F96" s="20">
        <v>3000</v>
      </c>
      <c r="G96" s="20">
        <f t="shared" si="8"/>
        <v>4500</v>
      </c>
      <c r="H96" s="5" t="s">
        <v>646</v>
      </c>
      <c r="I96" s="6" t="s">
        <v>214</v>
      </c>
      <c r="J96" s="5" t="s">
        <v>10</v>
      </c>
    </row>
    <row r="97" spans="1:10" s="3" customFormat="1" ht="26.4">
      <c r="A97" s="12" t="s">
        <v>288</v>
      </c>
      <c r="B97" s="13" t="s">
        <v>579</v>
      </c>
      <c r="C97" s="13" t="s">
        <v>290</v>
      </c>
      <c r="D97" s="20">
        <v>2500</v>
      </c>
      <c r="E97" s="20">
        <v>1800</v>
      </c>
      <c r="F97" s="20">
        <v>1200</v>
      </c>
      <c r="G97" s="20">
        <f t="shared" si="8"/>
        <v>1800</v>
      </c>
      <c r="H97" s="13" t="s">
        <v>295</v>
      </c>
      <c r="I97" s="14" t="s">
        <v>296</v>
      </c>
      <c r="J97" s="13" t="s">
        <v>10</v>
      </c>
    </row>
    <row r="98" spans="1:10" s="3" customFormat="1" ht="13.2">
      <c r="A98" s="4" t="s">
        <v>288</v>
      </c>
      <c r="B98" s="5" t="s">
        <v>580</v>
      </c>
      <c r="C98" s="5" t="s">
        <v>101</v>
      </c>
      <c r="D98" s="20">
        <v>3000</v>
      </c>
      <c r="E98" s="20">
        <v>5000</v>
      </c>
      <c r="F98" s="20">
        <v>8000</v>
      </c>
      <c r="G98" s="20">
        <f t="shared" si="8"/>
        <v>5000</v>
      </c>
      <c r="H98" s="5" t="s">
        <v>297</v>
      </c>
      <c r="I98" s="6" t="s">
        <v>86</v>
      </c>
      <c r="J98" s="5" t="s">
        <v>298</v>
      </c>
    </row>
    <row r="99" spans="1:10" s="3" customFormat="1" ht="13.2">
      <c r="A99" s="12" t="s">
        <v>288</v>
      </c>
      <c r="B99" s="13" t="s">
        <v>581</v>
      </c>
      <c r="C99" s="13" t="s">
        <v>101</v>
      </c>
      <c r="D99" s="20">
        <v>10000</v>
      </c>
      <c r="E99" s="20">
        <v>20000</v>
      </c>
      <c r="F99" s="20">
        <v>35000</v>
      </c>
      <c r="G99" s="20">
        <f t="shared" si="8"/>
        <v>20000</v>
      </c>
      <c r="H99" s="13" t="s">
        <v>299</v>
      </c>
      <c r="I99" s="14" t="s">
        <v>86</v>
      </c>
      <c r="J99" s="13" t="s">
        <v>298</v>
      </c>
    </row>
    <row r="100" spans="1:10" s="3" customFormat="1" ht="26.4">
      <c r="A100" s="4" t="s">
        <v>288</v>
      </c>
      <c r="B100" s="5" t="s">
        <v>300</v>
      </c>
      <c r="C100" s="5" t="s">
        <v>301</v>
      </c>
      <c r="D100" s="29">
        <v>0.7</v>
      </c>
      <c r="E100" s="29">
        <v>1</v>
      </c>
      <c r="F100" s="29">
        <v>1.5</v>
      </c>
      <c r="G100" s="29">
        <f t="shared" si="8"/>
        <v>1</v>
      </c>
      <c r="H100" s="5" t="s">
        <v>302</v>
      </c>
      <c r="I100" s="6" t="s">
        <v>303</v>
      </c>
      <c r="J100" s="5" t="s">
        <v>77</v>
      </c>
    </row>
    <row r="101" spans="1:10" s="3" customFormat="1" ht="26.4">
      <c r="A101" s="12" t="s">
        <v>288</v>
      </c>
      <c r="B101" s="13" t="s">
        <v>304</v>
      </c>
      <c r="C101" s="13" t="s">
        <v>305</v>
      </c>
      <c r="D101" s="20">
        <v>250</v>
      </c>
      <c r="E101" s="20">
        <v>300</v>
      </c>
      <c r="F101" s="20">
        <v>350</v>
      </c>
      <c r="G101" s="20">
        <f t="shared" si="8"/>
        <v>300</v>
      </c>
      <c r="H101" s="13" t="s">
        <v>306</v>
      </c>
      <c r="I101" s="14" t="s">
        <v>307</v>
      </c>
      <c r="J101" s="13" t="s">
        <v>308</v>
      </c>
    </row>
    <row r="102" spans="1:10" s="3" customFormat="1" ht="26.4">
      <c r="A102" s="4" t="s">
        <v>288</v>
      </c>
      <c r="B102" s="5" t="s">
        <v>309</v>
      </c>
      <c r="C102" s="5" t="s">
        <v>47</v>
      </c>
      <c r="D102" s="19">
        <v>6</v>
      </c>
      <c r="E102" s="19">
        <v>4</v>
      </c>
      <c r="F102" s="19">
        <v>3</v>
      </c>
      <c r="G102" s="19">
        <f t="shared" si="8"/>
        <v>4</v>
      </c>
      <c r="H102" s="5" t="s">
        <v>647</v>
      </c>
      <c r="I102" s="6" t="s">
        <v>310</v>
      </c>
      <c r="J102" s="5" t="s">
        <v>77</v>
      </c>
    </row>
    <row r="103" spans="1:10" s="3" customFormat="1" ht="26.4">
      <c r="A103" s="12" t="s">
        <v>288</v>
      </c>
      <c r="B103" s="13" t="s">
        <v>582</v>
      </c>
      <c r="C103" s="13" t="s">
        <v>311</v>
      </c>
      <c r="D103" s="21">
        <v>0.15</v>
      </c>
      <c r="E103" s="21">
        <v>0.25</v>
      </c>
      <c r="F103" s="21">
        <v>0.35</v>
      </c>
      <c r="G103" s="21">
        <f t="shared" si="8"/>
        <v>0.25</v>
      </c>
      <c r="H103" s="13" t="s">
        <v>648</v>
      </c>
      <c r="I103" s="14" t="s">
        <v>312</v>
      </c>
      <c r="J103" s="13" t="s">
        <v>77</v>
      </c>
    </row>
    <row r="104" spans="1:10" s="3" customFormat="1" ht="13.2">
      <c r="A104" s="4" t="s">
        <v>288</v>
      </c>
      <c r="B104" s="5" t="s">
        <v>583</v>
      </c>
      <c r="C104" s="5" t="s">
        <v>311</v>
      </c>
      <c r="D104" s="21">
        <v>0.3</v>
      </c>
      <c r="E104" s="21">
        <v>0.5</v>
      </c>
      <c r="F104" s="21">
        <v>0.6</v>
      </c>
      <c r="G104" s="21">
        <f t="shared" si="8"/>
        <v>0.5</v>
      </c>
      <c r="H104" s="5" t="s">
        <v>649</v>
      </c>
      <c r="I104" s="6" t="s">
        <v>312</v>
      </c>
      <c r="J104" s="5" t="s">
        <v>77</v>
      </c>
    </row>
    <row r="105" spans="1:10" s="3" customFormat="1" ht="26.4">
      <c r="A105" s="12" t="s">
        <v>288</v>
      </c>
      <c r="B105" s="13" t="s">
        <v>584</v>
      </c>
      <c r="C105" s="13" t="s">
        <v>311</v>
      </c>
      <c r="D105" s="21">
        <v>0.6</v>
      </c>
      <c r="E105" s="21">
        <v>0.75</v>
      </c>
      <c r="F105" s="21">
        <v>0.9</v>
      </c>
      <c r="G105" s="21">
        <f t="shared" si="8"/>
        <v>0.75</v>
      </c>
      <c r="H105" s="13" t="s">
        <v>650</v>
      </c>
      <c r="I105" s="14" t="s">
        <v>312</v>
      </c>
      <c r="J105" s="13" t="s">
        <v>77</v>
      </c>
    </row>
    <row r="106" spans="1:10" s="3" customFormat="1" ht="26.4">
      <c r="A106" s="4" t="s">
        <v>288</v>
      </c>
      <c r="B106" s="5" t="s">
        <v>313</v>
      </c>
      <c r="C106" s="5" t="s">
        <v>314</v>
      </c>
      <c r="D106" s="20">
        <v>300000</v>
      </c>
      <c r="E106" s="20">
        <v>450000</v>
      </c>
      <c r="F106" s="20">
        <v>600000</v>
      </c>
      <c r="G106" s="20">
        <f t="shared" si="8"/>
        <v>450000</v>
      </c>
      <c r="H106" s="5" t="s">
        <v>651</v>
      </c>
      <c r="I106" s="6" t="s">
        <v>315</v>
      </c>
      <c r="J106" s="5" t="s">
        <v>77</v>
      </c>
    </row>
    <row r="107" spans="1:10" s="3" customFormat="1" ht="26.4">
      <c r="A107" s="12" t="s">
        <v>288</v>
      </c>
      <c r="B107" s="13" t="s">
        <v>316</v>
      </c>
      <c r="C107" s="13" t="s">
        <v>173</v>
      </c>
      <c r="D107" s="21">
        <v>0.6</v>
      </c>
      <c r="E107" s="21">
        <v>0.8</v>
      </c>
      <c r="F107" s="21">
        <v>1</v>
      </c>
      <c r="G107" s="21">
        <f t="shared" si="8"/>
        <v>0.8</v>
      </c>
      <c r="H107" s="13" t="s">
        <v>317</v>
      </c>
      <c r="I107" s="14" t="s">
        <v>318</v>
      </c>
      <c r="J107" s="13" t="s">
        <v>77</v>
      </c>
    </row>
    <row r="108" spans="1:10" s="3" customFormat="1" ht="26.4">
      <c r="A108" s="4" t="s">
        <v>288</v>
      </c>
      <c r="B108" s="5" t="s">
        <v>319</v>
      </c>
      <c r="C108" s="5" t="s">
        <v>173</v>
      </c>
      <c r="D108" s="21">
        <v>0.12</v>
      </c>
      <c r="E108" s="21">
        <v>0.1</v>
      </c>
      <c r="F108" s="21">
        <v>0.08</v>
      </c>
      <c r="G108" s="21">
        <f t="shared" si="8"/>
        <v>0.1</v>
      </c>
      <c r="H108" s="5" t="s">
        <v>320</v>
      </c>
      <c r="I108" s="6" t="s">
        <v>321</v>
      </c>
      <c r="J108" s="5" t="s">
        <v>308</v>
      </c>
    </row>
    <row r="109" spans="1:10" s="3" customFormat="1" ht="26.4">
      <c r="A109" s="12" t="s">
        <v>288</v>
      </c>
      <c r="B109" s="13" t="s">
        <v>322</v>
      </c>
      <c r="C109" s="13" t="s">
        <v>47</v>
      </c>
      <c r="D109" s="19">
        <v>12</v>
      </c>
      <c r="E109" s="19">
        <v>12</v>
      </c>
      <c r="F109" s="19">
        <v>12</v>
      </c>
      <c r="G109" s="19">
        <f t="shared" si="8"/>
        <v>12</v>
      </c>
      <c r="H109" s="13" t="s">
        <v>323</v>
      </c>
      <c r="I109" s="14" t="s">
        <v>324</v>
      </c>
      <c r="J109" s="13" t="s">
        <v>325</v>
      </c>
    </row>
    <row r="110" spans="1:10" s="3" customFormat="1" ht="26.4">
      <c r="A110" s="4" t="s">
        <v>288</v>
      </c>
      <c r="B110" s="5" t="s">
        <v>326</v>
      </c>
      <c r="C110" s="5" t="s">
        <v>301</v>
      </c>
      <c r="D110" s="29">
        <v>3</v>
      </c>
      <c r="E110" s="29">
        <v>3</v>
      </c>
      <c r="F110" s="29">
        <v>3</v>
      </c>
      <c r="G110" s="29">
        <f t="shared" si="8"/>
        <v>3</v>
      </c>
      <c r="H110" s="5" t="s">
        <v>327</v>
      </c>
      <c r="I110" s="6" t="s">
        <v>328</v>
      </c>
      <c r="J110" s="5" t="s">
        <v>10</v>
      </c>
    </row>
    <row r="111" spans="1:10" s="3" customFormat="1" ht="13.2">
      <c r="A111" s="39" t="s">
        <v>329</v>
      </c>
      <c r="B111" s="40"/>
      <c r="C111" s="40"/>
      <c r="D111" s="40"/>
      <c r="E111" s="40"/>
      <c r="F111" s="40"/>
      <c r="G111" s="40"/>
      <c r="H111" s="40"/>
      <c r="I111" s="40"/>
      <c r="J111" s="40"/>
    </row>
    <row r="112" spans="1:10" s="3" customFormat="1" ht="26.4">
      <c r="A112" s="4" t="s">
        <v>330</v>
      </c>
      <c r="B112" s="5" t="s">
        <v>331</v>
      </c>
      <c r="C112" s="5" t="s">
        <v>173</v>
      </c>
      <c r="D112" s="21">
        <v>0.2</v>
      </c>
      <c r="E112" s="21">
        <v>0.2</v>
      </c>
      <c r="F112" s="21">
        <v>0.2</v>
      </c>
      <c r="G112" s="21">
        <f t="shared" ref="G112:G140" si="9">_xlfn.XLOOKUP($G$5,$D$3:$F$3,D112:F112)</f>
        <v>0.2</v>
      </c>
      <c r="H112" s="5" t="s">
        <v>332</v>
      </c>
      <c r="I112" s="6" t="s">
        <v>333</v>
      </c>
      <c r="J112" s="5" t="s">
        <v>308</v>
      </c>
    </row>
    <row r="113" spans="1:10" s="3" customFormat="1" ht="26.4">
      <c r="A113" s="12" t="s">
        <v>330</v>
      </c>
      <c r="B113" s="13" t="s">
        <v>334</v>
      </c>
      <c r="C113" s="13" t="s">
        <v>335</v>
      </c>
      <c r="D113" s="20">
        <v>2000</v>
      </c>
      <c r="E113" s="20">
        <v>2000</v>
      </c>
      <c r="F113" s="20">
        <v>2000</v>
      </c>
      <c r="G113" s="20">
        <f t="shared" si="9"/>
        <v>2000</v>
      </c>
      <c r="H113" s="13" t="s">
        <v>652</v>
      </c>
      <c r="I113" s="14" t="s">
        <v>333</v>
      </c>
      <c r="J113" s="13" t="s">
        <v>308</v>
      </c>
    </row>
    <row r="114" spans="1:10" s="3" customFormat="1" ht="13.2">
      <c r="A114" s="4" t="s">
        <v>330</v>
      </c>
      <c r="B114" s="5" t="s">
        <v>585</v>
      </c>
      <c r="C114" s="5" t="s">
        <v>159</v>
      </c>
      <c r="D114" s="19">
        <v>1</v>
      </c>
      <c r="E114" s="19">
        <v>1</v>
      </c>
      <c r="F114" s="19">
        <v>1</v>
      </c>
      <c r="G114" s="19">
        <f t="shared" si="9"/>
        <v>1</v>
      </c>
      <c r="H114" s="5" t="s">
        <v>336</v>
      </c>
      <c r="I114" s="6" t="s">
        <v>337</v>
      </c>
      <c r="J114" s="5" t="s">
        <v>330</v>
      </c>
    </row>
    <row r="115" spans="1:10" s="3" customFormat="1" ht="26.4">
      <c r="A115" s="12" t="s">
        <v>330</v>
      </c>
      <c r="B115" s="13" t="s">
        <v>586</v>
      </c>
      <c r="C115" s="13" t="s">
        <v>277</v>
      </c>
      <c r="D115" s="20">
        <v>120000</v>
      </c>
      <c r="E115" s="20">
        <v>120000</v>
      </c>
      <c r="F115" s="20">
        <v>120000</v>
      </c>
      <c r="G115" s="20">
        <f t="shared" si="9"/>
        <v>120000</v>
      </c>
      <c r="H115" s="13" t="s">
        <v>338</v>
      </c>
      <c r="I115" s="14" t="s">
        <v>339</v>
      </c>
      <c r="J115" s="13" t="s">
        <v>308</v>
      </c>
    </row>
    <row r="116" spans="1:10" s="3" customFormat="1" ht="13.2">
      <c r="A116" s="4" t="s">
        <v>330</v>
      </c>
      <c r="B116" s="5" t="s">
        <v>587</v>
      </c>
      <c r="C116" s="5" t="s">
        <v>159</v>
      </c>
      <c r="D116" s="19">
        <v>1</v>
      </c>
      <c r="E116" s="19">
        <v>1</v>
      </c>
      <c r="F116" s="19">
        <v>1</v>
      </c>
      <c r="G116" s="19">
        <f t="shared" si="9"/>
        <v>1</v>
      </c>
      <c r="H116" s="5" t="s">
        <v>340</v>
      </c>
      <c r="I116" s="6" t="s">
        <v>337</v>
      </c>
      <c r="J116" s="5" t="s">
        <v>330</v>
      </c>
    </row>
    <row r="117" spans="1:10" s="3" customFormat="1" ht="13.2">
      <c r="A117" s="12" t="s">
        <v>330</v>
      </c>
      <c r="B117" s="13" t="s">
        <v>588</v>
      </c>
      <c r="C117" s="13" t="s">
        <v>277</v>
      </c>
      <c r="D117" s="20">
        <v>130000</v>
      </c>
      <c r="E117" s="20">
        <v>130000</v>
      </c>
      <c r="F117" s="20">
        <v>130000</v>
      </c>
      <c r="G117" s="20">
        <f t="shared" si="9"/>
        <v>130000</v>
      </c>
      <c r="H117" s="13" t="s">
        <v>341</v>
      </c>
      <c r="I117" s="14" t="s">
        <v>339</v>
      </c>
      <c r="J117" s="13" t="s">
        <v>308</v>
      </c>
    </row>
    <row r="118" spans="1:10" s="3" customFormat="1" ht="13.2">
      <c r="A118" s="4" t="s">
        <v>330</v>
      </c>
      <c r="B118" s="5" t="s">
        <v>589</v>
      </c>
      <c r="C118" s="5" t="s">
        <v>159</v>
      </c>
      <c r="D118" s="19">
        <v>4</v>
      </c>
      <c r="E118" s="19">
        <v>3</v>
      </c>
      <c r="F118" s="19">
        <v>3</v>
      </c>
      <c r="G118" s="19">
        <f t="shared" si="9"/>
        <v>3</v>
      </c>
      <c r="H118" s="5" t="s">
        <v>342</v>
      </c>
      <c r="I118" s="6" t="s">
        <v>343</v>
      </c>
      <c r="J118" s="5" t="s">
        <v>308</v>
      </c>
    </row>
    <row r="119" spans="1:10" s="3" customFormat="1" ht="13.2">
      <c r="A119" s="12" t="s">
        <v>330</v>
      </c>
      <c r="B119" s="13" t="s">
        <v>590</v>
      </c>
      <c r="C119" s="13" t="s">
        <v>277</v>
      </c>
      <c r="D119" s="20">
        <v>150000</v>
      </c>
      <c r="E119" s="20">
        <v>150000</v>
      </c>
      <c r="F119" s="20">
        <v>150000</v>
      </c>
      <c r="G119" s="20">
        <f t="shared" si="9"/>
        <v>150000</v>
      </c>
      <c r="H119" s="13" t="s">
        <v>344</v>
      </c>
      <c r="I119" s="14" t="s">
        <v>345</v>
      </c>
      <c r="J119" s="13" t="s">
        <v>308</v>
      </c>
    </row>
    <row r="120" spans="1:10" s="3" customFormat="1" ht="26.4">
      <c r="A120" s="4" t="s">
        <v>330</v>
      </c>
      <c r="B120" s="5" t="s">
        <v>591</v>
      </c>
      <c r="C120" s="5" t="s">
        <v>159</v>
      </c>
      <c r="D120" s="19">
        <v>5</v>
      </c>
      <c r="E120" s="19">
        <v>4</v>
      </c>
      <c r="F120" s="19">
        <v>4</v>
      </c>
      <c r="G120" s="19">
        <f t="shared" si="9"/>
        <v>4</v>
      </c>
      <c r="H120" s="5" t="s">
        <v>653</v>
      </c>
      <c r="I120" s="6" t="s">
        <v>346</v>
      </c>
      <c r="J120" s="5" t="s">
        <v>347</v>
      </c>
    </row>
    <row r="121" spans="1:10" s="3" customFormat="1" ht="26.4">
      <c r="A121" s="12" t="s">
        <v>330</v>
      </c>
      <c r="B121" s="13" t="s">
        <v>592</v>
      </c>
      <c r="C121" s="13" t="s">
        <v>277</v>
      </c>
      <c r="D121" s="20">
        <v>150000</v>
      </c>
      <c r="E121" s="20">
        <v>150000</v>
      </c>
      <c r="F121" s="20">
        <v>150000</v>
      </c>
      <c r="G121" s="20">
        <f t="shared" si="9"/>
        <v>150000</v>
      </c>
      <c r="H121" s="13" t="s">
        <v>348</v>
      </c>
      <c r="I121" s="14" t="s">
        <v>349</v>
      </c>
      <c r="J121" s="13" t="s">
        <v>308</v>
      </c>
    </row>
    <row r="122" spans="1:10" s="3" customFormat="1" ht="13.2">
      <c r="A122" s="4" t="s">
        <v>330</v>
      </c>
      <c r="B122" s="5" t="s">
        <v>593</v>
      </c>
      <c r="C122" s="5" t="s">
        <v>159</v>
      </c>
      <c r="D122" s="19">
        <v>7</v>
      </c>
      <c r="E122" s="19">
        <v>5</v>
      </c>
      <c r="F122" s="19">
        <v>5</v>
      </c>
      <c r="G122" s="19">
        <f t="shared" si="9"/>
        <v>5</v>
      </c>
      <c r="H122" s="5" t="s">
        <v>350</v>
      </c>
      <c r="I122" s="6" t="s">
        <v>346</v>
      </c>
      <c r="J122" s="5" t="s">
        <v>308</v>
      </c>
    </row>
    <row r="123" spans="1:10" s="3" customFormat="1" ht="13.2">
      <c r="A123" s="12" t="s">
        <v>330</v>
      </c>
      <c r="B123" s="13" t="s">
        <v>594</v>
      </c>
      <c r="C123" s="13" t="s">
        <v>277</v>
      </c>
      <c r="D123" s="20">
        <v>100000</v>
      </c>
      <c r="E123" s="20">
        <v>100000</v>
      </c>
      <c r="F123" s="20">
        <v>100000</v>
      </c>
      <c r="G123" s="20">
        <f t="shared" si="9"/>
        <v>100000</v>
      </c>
      <c r="H123" s="13" t="s">
        <v>351</v>
      </c>
      <c r="I123" s="14" t="s">
        <v>345</v>
      </c>
      <c r="J123" s="13" t="s">
        <v>308</v>
      </c>
    </row>
    <row r="124" spans="1:10" s="3" customFormat="1" ht="13.2">
      <c r="A124" s="4" t="s">
        <v>330</v>
      </c>
      <c r="B124" s="5" t="s">
        <v>595</v>
      </c>
      <c r="C124" s="5" t="s">
        <v>159</v>
      </c>
      <c r="D124" s="19">
        <v>8</v>
      </c>
      <c r="E124" s="19">
        <v>6</v>
      </c>
      <c r="F124" s="19">
        <v>5</v>
      </c>
      <c r="G124" s="19">
        <f t="shared" si="9"/>
        <v>6</v>
      </c>
      <c r="H124" s="5" t="s">
        <v>352</v>
      </c>
      <c r="I124" s="6" t="s">
        <v>353</v>
      </c>
      <c r="J124" s="5" t="s">
        <v>308</v>
      </c>
    </row>
    <row r="125" spans="1:10" s="3" customFormat="1" ht="13.2">
      <c r="A125" s="12" t="s">
        <v>330</v>
      </c>
      <c r="B125" s="101" t="s">
        <v>596</v>
      </c>
      <c r="C125" s="13" t="s">
        <v>277</v>
      </c>
      <c r="D125" s="20">
        <v>150000</v>
      </c>
      <c r="E125" s="20">
        <v>150000</v>
      </c>
      <c r="F125" s="20">
        <v>150000</v>
      </c>
      <c r="G125" s="20">
        <f t="shared" si="9"/>
        <v>150000</v>
      </c>
      <c r="H125" s="13" t="s">
        <v>354</v>
      </c>
      <c r="I125" s="14" t="s">
        <v>345</v>
      </c>
      <c r="J125" s="13" t="s">
        <v>308</v>
      </c>
    </row>
    <row r="126" spans="1:10" s="3" customFormat="1" ht="26.4">
      <c r="A126" s="4" t="s">
        <v>330</v>
      </c>
      <c r="B126" s="100" t="s">
        <v>954</v>
      </c>
      <c r="C126" s="5" t="s">
        <v>159</v>
      </c>
      <c r="D126" s="19">
        <v>9</v>
      </c>
      <c r="E126" s="19">
        <v>8</v>
      </c>
      <c r="F126" s="19">
        <v>9</v>
      </c>
      <c r="G126" s="19">
        <f t="shared" si="9"/>
        <v>8</v>
      </c>
      <c r="H126" s="5" t="s">
        <v>355</v>
      </c>
      <c r="I126" s="6" t="s">
        <v>356</v>
      </c>
      <c r="J126" s="5" t="s">
        <v>9</v>
      </c>
    </row>
    <row r="127" spans="1:10" s="3" customFormat="1" ht="13.2">
      <c r="A127" s="12" t="s">
        <v>330</v>
      </c>
      <c r="B127" s="101" t="s">
        <v>597</v>
      </c>
      <c r="C127" s="13" t="s">
        <v>277</v>
      </c>
      <c r="D127" s="20">
        <v>90000</v>
      </c>
      <c r="E127" s="20">
        <v>85000</v>
      </c>
      <c r="F127" s="20">
        <v>80000</v>
      </c>
      <c r="G127" s="20">
        <f t="shared" si="9"/>
        <v>85000</v>
      </c>
      <c r="H127" s="13" t="s">
        <v>357</v>
      </c>
      <c r="I127" s="14" t="s">
        <v>358</v>
      </c>
      <c r="J127" s="13" t="s">
        <v>9</v>
      </c>
    </row>
    <row r="128" spans="1:10" s="3" customFormat="1" ht="26.4">
      <c r="A128" s="4" t="s">
        <v>330</v>
      </c>
      <c r="B128" s="100" t="s">
        <v>598</v>
      </c>
      <c r="C128" s="5" t="s">
        <v>159</v>
      </c>
      <c r="D128" s="19">
        <v>12</v>
      </c>
      <c r="E128" s="19">
        <v>10</v>
      </c>
      <c r="F128" s="19">
        <v>9</v>
      </c>
      <c r="G128" s="19">
        <f t="shared" si="9"/>
        <v>10</v>
      </c>
      <c r="H128" s="5" t="s">
        <v>359</v>
      </c>
      <c r="I128" s="6" t="s">
        <v>360</v>
      </c>
      <c r="J128" s="5" t="s">
        <v>308</v>
      </c>
    </row>
    <row r="129" spans="1:10" s="3" customFormat="1" ht="13.2">
      <c r="A129" s="12" t="s">
        <v>330</v>
      </c>
      <c r="B129" s="101" t="s">
        <v>599</v>
      </c>
      <c r="C129" s="13" t="s">
        <v>277</v>
      </c>
      <c r="D129" s="20">
        <v>130000</v>
      </c>
      <c r="E129" s="20">
        <v>130000</v>
      </c>
      <c r="F129" s="20">
        <v>130000</v>
      </c>
      <c r="G129" s="20">
        <f t="shared" si="9"/>
        <v>130000</v>
      </c>
      <c r="H129" s="13" t="s">
        <v>361</v>
      </c>
      <c r="I129" s="14" t="s">
        <v>345</v>
      </c>
      <c r="J129" s="13" t="s">
        <v>308</v>
      </c>
    </row>
    <row r="130" spans="1:10" s="3" customFormat="1" ht="26.4">
      <c r="A130" s="4" t="s">
        <v>330</v>
      </c>
      <c r="B130" s="100" t="s">
        <v>600</v>
      </c>
      <c r="C130" s="5" t="s">
        <v>159</v>
      </c>
      <c r="D130" s="19">
        <v>14</v>
      </c>
      <c r="E130" s="19">
        <v>12</v>
      </c>
      <c r="F130" s="19">
        <v>10</v>
      </c>
      <c r="G130" s="19">
        <f t="shared" si="9"/>
        <v>12</v>
      </c>
      <c r="H130" s="5" t="s">
        <v>362</v>
      </c>
      <c r="I130" s="6" t="s">
        <v>363</v>
      </c>
      <c r="J130" s="5" t="s">
        <v>308</v>
      </c>
    </row>
    <row r="131" spans="1:10" s="3" customFormat="1" ht="13.2">
      <c r="A131" s="12" t="s">
        <v>330</v>
      </c>
      <c r="B131" s="101" t="s">
        <v>601</v>
      </c>
      <c r="C131" s="13" t="s">
        <v>277</v>
      </c>
      <c r="D131" s="20">
        <v>140000</v>
      </c>
      <c r="E131" s="20">
        <v>140000</v>
      </c>
      <c r="F131" s="20">
        <v>140000</v>
      </c>
      <c r="G131" s="20">
        <f t="shared" si="9"/>
        <v>140000</v>
      </c>
      <c r="H131" s="13" t="s">
        <v>354</v>
      </c>
      <c r="I131" s="14" t="s">
        <v>345</v>
      </c>
      <c r="J131" s="13" t="s">
        <v>308</v>
      </c>
    </row>
    <row r="132" spans="1:10" s="3" customFormat="1" ht="26.4">
      <c r="A132" s="4" t="s">
        <v>330</v>
      </c>
      <c r="B132" s="100" t="s">
        <v>602</v>
      </c>
      <c r="C132" s="5" t="s">
        <v>159</v>
      </c>
      <c r="D132" s="19">
        <v>12</v>
      </c>
      <c r="E132" s="19">
        <v>9</v>
      </c>
      <c r="F132" s="19">
        <v>7</v>
      </c>
      <c r="G132" s="19">
        <f t="shared" si="9"/>
        <v>9</v>
      </c>
      <c r="H132" s="5" t="s">
        <v>364</v>
      </c>
      <c r="I132" s="6" t="s">
        <v>365</v>
      </c>
      <c r="J132" s="5" t="s">
        <v>209</v>
      </c>
    </row>
    <row r="133" spans="1:10" s="3" customFormat="1" ht="13.2">
      <c r="A133" s="12" t="s">
        <v>330</v>
      </c>
      <c r="B133" s="101" t="s">
        <v>603</v>
      </c>
      <c r="C133" s="13" t="s">
        <v>277</v>
      </c>
      <c r="D133" s="20">
        <v>140000</v>
      </c>
      <c r="E133" s="20">
        <v>140000</v>
      </c>
      <c r="F133" s="20">
        <v>140000</v>
      </c>
      <c r="G133" s="20">
        <f t="shared" si="9"/>
        <v>140000</v>
      </c>
      <c r="H133" s="13" t="s">
        <v>366</v>
      </c>
      <c r="I133" s="14" t="s">
        <v>349</v>
      </c>
      <c r="J133" s="13" t="s">
        <v>308</v>
      </c>
    </row>
    <row r="134" spans="1:10" s="3" customFormat="1" ht="13.2">
      <c r="A134" s="4" t="s">
        <v>330</v>
      </c>
      <c r="B134" s="100" t="s">
        <v>957</v>
      </c>
      <c r="C134" s="5" t="s">
        <v>159</v>
      </c>
      <c r="D134" s="19">
        <v>18</v>
      </c>
      <c r="E134" s="19">
        <v>16</v>
      </c>
      <c r="F134" s="19">
        <v>15</v>
      </c>
      <c r="G134" s="19">
        <f t="shared" si="9"/>
        <v>16</v>
      </c>
      <c r="H134" s="5" t="s">
        <v>367</v>
      </c>
      <c r="I134" s="6" t="s">
        <v>356</v>
      </c>
      <c r="J134" s="5" t="s">
        <v>9</v>
      </c>
    </row>
    <row r="135" spans="1:10" s="3" customFormat="1" ht="13.2">
      <c r="A135" s="12" t="s">
        <v>330</v>
      </c>
      <c r="B135" s="101" t="s">
        <v>604</v>
      </c>
      <c r="C135" s="13" t="s">
        <v>277</v>
      </c>
      <c r="D135" s="20">
        <v>90000</v>
      </c>
      <c r="E135" s="20">
        <v>85000</v>
      </c>
      <c r="F135" s="20">
        <v>80000</v>
      </c>
      <c r="G135" s="20">
        <f t="shared" si="9"/>
        <v>85000</v>
      </c>
      <c r="H135" s="13" t="s">
        <v>605</v>
      </c>
      <c r="I135" s="14" t="s">
        <v>358</v>
      </c>
      <c r="J135" s="13" t="s">
        <v>9</v>
      </c>
    </row>
    <row r="136" spans="1:10" s="3" customFormat="1" ht="26.4">
      <c r="A136" s="4" t="s">
        <v>330</v>
      </c>
      <c r="B136" s="100" t="s">
        <v>606</v>
      </c>
      <c r="C136" s="5" t="s">
        <v>159</v>
      </c>
      <c r="D136" s="19">
        <v>16</v>
      </c>
      <c r="E136" s="19">
        <v>14</v>
      </c>
      <c r="F136" s="19">
        <v>12</v>
      </c>
      <c r="G136" s="19">
        <f t="shared" si="9"/>
        <v>14</v>
      </c>
      <c r="H136" s="5" t="s">
        <v>368</v>
      </c>
      <c r="I136" s="6" t="s">
        <v>369</v>
      </c>
      <c r="J136" s="5" t="s">
        <v>370</v>
      </c>
    </row>
    <row r="137" spans="1:10" s="3" customFormat="1" ht="26.4">
      <c r="A137" s="12" t="s">
        <v>330</v>
      </c>
      <c r="B137" s="101" t="s">
        <v>607</v>
      </c>
      <c r="C137" s="13" t="s">
        <v>159</v>
      </c>
      <c r="D137" s="19">
        <v>20</v>
      </c>
      <c r="E137" s="19">
        <v>18</v>
      </c>
      <c r="F137" s="19">
        <v>16</v>
      </c>
      <c r="G137" s="19">
        <f t="shared" si="9"/>
        <v>18</v>
      </c>
      <c r="H137" s="13" t="s">
        <v>371</v>
      </c>
      <c r="I137" s="14" t="s">
        <v>372</v>
      </c>
      <c r="J137" s="13" t="s">
        <v>370</v>
      </c>
    </row>
    <row r="138" spans="1:10" s="3" customFormat="1" ht="13.2">
      <c r="A138" s="4" t="s">
        <v>330</v>
      </c>
      <c r="B138" s="5" t="s">
        <v>608</v>
      </c>
      <c r="C138" s="5" t="s">
        <v>277</v>
      </c>
      <c r="D138" s="20">
        <v>140000</v>
      </c>
      <c r="E138" s="20">
        <v>140000</v>
      </c>
      <c r="F138" s="20">
        <v>140000</v>
      </c>
      <c r="G138" s="20">
        <f t="shared" si="9"/>
        <v>140000</v>
      </c>
      <c r="H138" s="5" t="s">
        <v>366</v>
      </c>
      <c r="I138" s="6" t="s">
        <v>349</v>
      </c>
      <c r="J138" s="5" t="s">
        <v>308</v>
      </c>
    </row>
    <row r="139" spans="1:10" s="3" customFormat="1" ht="26.4">
      <c r="A139" s="12" t="s">
        <v>330</v>
      </c>
      <c r="B139" s="13" t="s">
        <v>609</v>
      </c>
      <c r="C139" s="13" t="s">
        <v>159</v>
      </c>
      <c r="D139" s="19">
        <v>22</v>
      </c>
      <c r="E139" s="19">
        <v>20</v>
      </c>
      <c r="F139" s="19">
        <v>18</v>
      </c>
      <c r="G139" s="19">
        <f t="shared" si="9"/>
        <v>20</v>
      </c>
      <c r="H139" s="13" t="s">
        <v>373</v>
      </c>
      <c r="I139" s="14" t="s">
        <v>374</v>
      </c>
      <c r="J139" s="13" t="s">
        <v>8</v>
      </c>
    </row>
    <row r="140" spans="1:10" s="3" customFormat="1" ht="26.4">
      <c r="A140" s="4" t="s">
        <v>330</v>
      </c>
      <c r="B140" s="5" t="s">
        <v>610</v>
      </c>
      <c r="C140" s="5" t="s">
        <v>277</v>
      </c>
      <c r="D140" s="20">
        <v>160000</v>
      </c>
      <c r="E140" s="20">
        <v>160000</v>
      </c>
      <c r="F140" s="20">
        <v>160000</v>
      </c>
      <c r="G140" s="20">
        <f t="shared" si="9"/>
        <v>160000</v>
      </c>
      <c r="H140" s="5" t="s">
        <v>375</v>
      </c>
      <c r="I140" s="6" t="s">
        <v>345</v>
      </c>
      <c r="J140" s="5" t="s">
        <v>308</v>
      </c>
    </row>
    <row r="141" spans="1:10" s="3" customFormat="1" ht="13.2">
      <c r="A141" s="39" t="s">
        <v>376</v>
      </c>
      <c r="B141" s="40"/>
      <c r="C141" s="40"/>
      <c r="D141" s="40"/>
      <c r="E141" s="40"/>
      <c r="F141" s="40"/>
      <c r="G141" s="40"/>
      <c r="H141" s="40"/>
      <c r="I141" s="40"/>
      <c r="J141" s="40"/>
    </row>
    <row r="142" spans="1:10" s="3" customFormat="1" ht="13.2">
      <c r="A142" s="4" t="s">
        <v>377</v>
      </c>
      <c r="B142" s="5" t="s">
        <v>378</v>
      </c>
      <c r="C142" s="5" t="s">
        <v>101</v>
      </c>
      <c r="D142" s="20">
        <v>3000</v>
      </c>
      <c r="E142" s="20">
        <v>3000</v>
      </c>
      <c r="F142" s="20">
        <v>3000</v>
      </c>
      <c r="G142" s="20">
        <f t="shared" ref="G142:G151" si="10">_xlfn.XLOOKUP($G$5,$D$3:$F$3,D142:F142)</f>
        <v>3000</v>
      </c>
      <c r="H142" s="5" t="s">
        <v>379</v>
      </c>
      <c r="I142" s="6" t="s">
        <v>380</v>
      </c>
      <c r="J142" s="5" t="s">
        <v>308</v>
      </c>
    </row>
    <row r="143" spans="1:10" s="3" customFormat="1" ht="13.2">
      <c r="A143" s="12" t="s">
        <v>377</v>
      </c>
      <c r="B143" s="13" t="s">
        <v>381</v>
      </c>
      <c r="C143" s="13" t="s">
        <v>159</v>
      </c>
      <c r="D143" s="19">
        <v>8</v>
      </c>
      <c r="E143" s="19">
        <v>6</v>
      </c>
      <c r="F143" s="19">
        <v>6</v>
      </c>
      <c r="G143" s="19">
        <f t="shared" si="10"/>
        <v>6</v>
      </c>
      <c r="H143" s="13" t="s">
        <v>382</v>
      </c>
      <c r="I143" s="14" t="s">
        <v>380</v>
      </c>
      <c r="J143" s="13" t="s">
        <v>308</v>
      </c>
    </row>
    <row r="144" spans="1:10" s="3" customFormat="1" ht="13.2">
      <c r="A144" s="4" t="s">
        <v>377</v>
      </c>
      <c r="B144" s="5" t="s">
        <v>383</v>
      </c>
      <c r="C144" s="5" t="s">
        <v>101</v>
      </c>
      <c r="D144" s="20">
        <v>1500</v>
      </c>
      <c r="E144" s="20">
        <v>1500</v>
      </c>
      <c r="F144" s="20">
        <v>1500</v>
      </c>
      <c r="G144" s="20">
        <f t="shared" si="10"/>
        <v>1500</v>
      </c>
      <c r="H144" s="5" t="s">
        <v>384</v>
      </c>
      <c r="I144" s="6" t="s">
        <v>380</v>
      </c>
      <c r="J144" s="5" t="s">
        <v>308</v>
      </c>
    </row>
    <row r="145" spans="1:10" s="3" customFormat="1" ht="26.4">
      <c r="A145" s="12" t="s">
        <v>377</v>
      </c>
      <c r="B145" s="13" t="s">
        <v>385</v>
      </c>
      <c r="C145" s="13" t="s">
        <v>101</v>
      </c>
      <c r="D145" s="20">
        <v>2500</v>
      </c>
      <c r="E145" s="20">
        <v>2000</v>
      </c>
      <c r="F145" s="20">
        <v>2000</v>
      </c>
      <c r="G145" s="20">
        <f t="shared" si="10"/>
        <v>2000</v>
      </c>
      <c r="H145" s="13" t="s">
        <v>386</v>
      </c>
      <c r="I145" s="14" t="s">
        <v>380</v>
      </c>
      <c r="J145" s="13" t="s">
        <v>8</v>
      </c>
    </row>
    <row r="146" spans="1:10" s="3" customFormat="1" ht="26.4">
      <c r="A146" s="4" t="s">
        <v>377</v>
      </c>
      <c r="B146" s="5" t="s">
        <v>387</v>
      </c>
      <c r="C146" s="5" t="s">
        <v>101</v>
      </c>
      <c r="D146" s="20">
        <v>1000</v>
      </c>
      <c r="E146" s="20">
        <v>1000</v>
      </c>
      <c r="F146" s="20">
        <v>1000</v>
      </c>
      <c r="G146" s="20">
        <f t="shared" si="10"/>
        <v>1000</v>
      </c>
      <c r="H146" s="5" t="s">
        <v>388</v>
      </c>
      <c r="I146" s="6" t="s">
        <v>389</v>
      </c>
      <c r="J146" s="5" t="s">
        <v>8</v>
      </c>
    </row>
    <row r="147" spans="1:10" s="3" customFormat="1" ht="13.2">
      <c r="A147" s="12" t="s">
        <v>377</v>
      </c>
      <c r="B147" s="13" t="s">
        <v>390</v>
      </c>
      <c r="C147" s="13" t="s">
        <v>159</v>
      </c>
      <c r="D147" s="19">
        <v>12</v>
      </c>
      <c r="E147" s="19">
        <v>12</v>
      </c>
      <c r="F147" s="19">
        <v>12</v>
      </c>
      <c r="G147" s="19">
        <f t="shared" si="10"/>
        <v>12</v>
      </c>
      <c r="H147" s="13" t="s">
        <v>391</v>
      </c>
      <c r="I147" s="14" t="s">
        <v>389</v>
      </c>
      <c r="J147" s="13" t="s">
        <v>8</v>
      </c>
    </row>
    <row r="148" spans="1:10" s="3" customFormat="1" ht="26.4">
      <c r="A148" s="4" t="s">
        <v>377</v>
      </c>
      <c r="B148" s="5" t="s">
        <v>392</v>
      </c>
      <c r="C148" s="5" t="s">
        <v>101</v>
      </c>
      <c r="D148" s="20">
        <v>1000</v>
      </c>
      <c r="E148" s="20">
        <v>1500</v>
      </c>
      <c r="F148" s="20">
        <v>2500</v>
      </c>
      <c r="G148" s="20">
        <f t="shared" si="10"/>
        <v>1500</v>
      </c>
      <c r="H148" s="5" t="s">
        <v>393</v>
      </c>
      <c r="I148" s="6" t="s">
        <v>394</v>
      </c>
      <c r="J148" s="5" t="s">
        <v>395</v>
      </c>
    </row>
    <row r="149" spans="1:10" s="3" customFormat="1" ht="13.2">
      <c r="A149" s="12" t="s">
        <v>377</v>
      </c>
      <c r="B149" s="13" t="s">
        <v>396</v>
      </c>
      <c r="C149" s="13" t="s">
        <v>101</v>
      </c>
      <c r="D149" s="20">
        <v>3000</v>
      </c>
      <c r="E149" s="20">
        <v>5000</v>
      </c>
      <c r="F149" s="20">
        <v>8000</v>
      </c>
      <c r="G149" s="20">
        <f t="shared" si="10"/>
        <v>5000</v>
      </c>
      <c r="H149" s="13" t="s">
        <v>397</v>
      </c>
      <c r="I149" s="14" t="s">
        <v>398</v>
      </c>
      <c r="J149" s="13" t="s">
        <v>399</v>
      </c>
    </row>
    <row r="150" spans="1:10" s="3" customFormat="1" ht="26.4">
      <c r="A150" s="4" t="s">
        <v>377</v>
      </c>
      <c r="B150" s="5" t="s">
        <v>400</v>
      </c>
      <c r="C150" s="5" t="s">
        <v>101</v>
      </c>
      <c r="D150" s="20">
        <v>500</v>
      </c>
      <c r="E150" s="20">
        <v>1000</v>
      </c>
      <c r="F150" s="20">
        <v>2000</v>
      </c>
      <c r="G150" s="20">
        <f t="shared" si="10"/>
        <v>1000</v>
      </c>
      <c r="H150" s="5" t="s">
        <v>654</v>
      </c>
      <c r="I150" s="6" t="s">
        <v>401</v>
      </c>
      <c r="J150" s="5" t="s">
        <v>308</v>
      </c>
    </row>
    <row r="151" spans="1:10" s="3" customFormat="1" ht="26.4">
      <c r="A151" s="12" t="s">
        <v>377</v>
      </c>
      <c r="B151" s="13" t="s">
        <v>402</v>
      </c>
      <c r="C151" s="13" t="s">
        <v>101</v>
      </c>
      <c r="D151" s="20">
        <v>1000</v>
      </c>
      <c r="E151" s="20">
        <v>1500</v>
      </c>
      <c r="F151" s="20">
        <v>2500</v>
      </c>
      <c r="G151" s="20">
        <f t="shared" si="10"/>
        <v>1500</v>
      </c>
      <c r="H151" s="13" t="s">
        <v>403</v>
      </c>
      <c r="I151" s="14" t="s">
        <v>404</v>
      </c>
      <c r="J151" s="13" t="s">
        <v>308</v>
      </c>
    </row>
    <row r="152" spans="1:10" s="3" customFormat="1" ht="13.2">
      <c r="A152" s="39" t="s">
        <v>405</v>
      </c>
      <c r="B152" s="40"/>
      <c r="C152" s="40"/>
      <c r="D152" s="40"/>
      <c r="E152" s="40"/>
      <c r="F152" s="40"/>
      <c r="G152" s="40"/>
      <c r="H152" s="40"/>
      <c r="I152" s="40"/>
      <c r="J152" s="40"/>
    </row>
    <row r="153" spans="1:10" s="3" customFormat="1" ht="26.4">
      <c r="A153" s="4" t="s">
        <v>406</v>
      </c>
      <c r="B153" s="5" t="s">
        <v>407</v>
      </c>
      <c r="C153" s="5" t="s">
        <v>64</v>
      </c>
      <c r="D153" s="20">
        <v>250000</v>
      </c>
      <c r="E153" s="20">
        <v>250000</v>
      </c>
      <c r="F153" s="20">
        <v>250000</v>
      </c>
      <c r="G153" s="20">
        <f t="shared" ref="G153:G160" si="11">_xlfn.XLOOKUP($G$5,$D$3:$F$3,D153:F153)</f>
        <v>250000</v>
      </c>
      <c r="H153" s="5" t="s">
        <v>408</v>
      </c>
      <c r="I153" s="6" t="s">
        <v>409</v>
      </c>
      <c r="J153" s="5" t="s">
        <v>410</v>
      </c>
    </row>
    <row r="154" spans="1:10" s="3" customFormat="1" ht="26.4">
      <c r="A154" s="12" t="s">
        <v>406</v>
      </c>
      <c r="B154" s="13" t="s">
        <v>411</v>
      </c>
      <c r="C154" s="13" t="s">
        <v>47</v>
      </c>
      <c r="D154" s="17" t="s">
        <v>412</v>
      </c>
      <c r="E154" s="17" t="s">
        <v>412</v>
      </c>
      <c r="F154" s="17" t="s">
        <v>412</v>
      </c>
      <c r="G154" s="17" t="str">
        <f t="shared" si="11"/>
        <v>&lt;6</v>
      </c>
      <c r="H154" s="13" t="s">
        <v>413</v>
      </c>
      <c r="I154" s="14" t="s">
        <v>66</v>
      </c>
      <c r="J154" s="13" t="s">
        <v>97</v>
      </c>
    </row>
    <row r="155" spans="1:10" s="3" customFormat="1" ht="26.4">
      <c r="A155" s="4" t="s">
        <v>406</v>
      </c>
      <c r="B155" s="5" t="s">
        <v>414</v>
      </c>
      <c r="C155" s="5" t="s">
        <v>47</v>
      </c>
      <c r="D155" s="17" t="s">
        <v>415</v>
      </c>
      <c r="E155" s="17" t="s">
        <v>415</v>
      </c>
      <c r="F155" s="17" t="s">
        <v>415</v>
      </c>
      <c r="G155" s="17" t="str">
        <f t="shared" si="11"/>
        <v>6–12</v>
      </c>
      <c r="H155" s="5" t="s">
        <v>416</v>
      </c>
      <c r="I155" s="6" t="s">
        <v>66</v>
      </c>
      <c r="J155" s="5" t="s">
        <v>97</v>
      </c>
    </row>
    <row r="156" spans="1:10" s="3" customFormat="1" ht="26.4">
      <c r="A156" s="12" t="s">
        <v>406</v>
      </c>
      <c r="B156" s="13" t="s">
        <v>417</v>
      </c>
      <c r="C156" s="13" t="s">
        <v>47</v>
      </c>
      <c r="D156" s="17" t="s">
        <v>418</v>
      </c>
      <c r="E156" s="17" t="s">
        <v>418</v>
      </c>
      <c r="F156" s="17" t="s">
        <v>418</v>
      </c>
      <c r="G156" s="17" t="str">
        <f t="shared" si="11"/>
        <v>&gt;12</v>
      </c>
      <c r="H156" s="13" t="s">
        <v>419</v>
      </c>
      <c r="I156" s="14" t="s">
        <v>66</v>
      </c>
      <c r="J156" s="13" t="s">
        <v>97</v>
      </c>
    </row>
    <row r="157" spans="1:10" s="3" customFormat="1" ht="26.4">
      <c r="A157" s="4" t="s">
        <v>406</v>
      </c>
      <c r="B157" s="5" t="s">
        <v>420</v>
      </c>
      <c r="C157" s="5" t="s">
        <v>135</v>
      </c>
      <c r="D157" s="19">
        <v>5</v>
      </c>
      <c r="E157" s="19">
        <v>3</v>
      </c>
      <c r="F157" s="19">
        <v>2</v>
      </c>
      <c r="G157" s="19">
        <f t="shared" si="11"/>
        <v>3</v>
      </c>
      <c r="H157" s="5" t="s">
        <v>421</v>
      </c>
      <c r="I157" s="6" t="s">
        <v>422</v>
      </c>
      <c r="J157" s="5" t="s">
        <v>129</v>
      </c>
    </row>
    <row r="158" spans="1:10" s="3" customFormat="1" ht="26.4">
      <c r="A158" s="12" t="s">
        <v>406</v>
      </c>
      <c r="B158" s="13" t="s">
        <v>423</v>
      </c>
      <c r="C158" s="13" t="s">
        <v>135</v>
      </c>
      <c r="D158" s="19">
        <v>45</v>
      </c>
      <c r="E158" s="19">
        <v>30</v>
      </c>
      <c r="F158" s="19">
        <v>30</v>
      </c>
      <c r="G158" s="19">
        <f t="shared" si="11"/>
        <v>30</v>
      </c>
      <c r="H158" s="13" t="s">
        <v>424</v>
      </c>
      <c r="I158" s="14" t="s">
        <v>425</v>
      </c>
      <c r="J158" s="13" t="s">
        <v>129</v>
      </c>
    </row>
    <row r="159" spans="1:10" s="3" customFormat="1" ht="26.4">
      <c r="A159" s="4" t="s">
        <v>406</v>
      </c>
      <c r="B159" s="5" t="s">
        <v>426</v>
      </c>
      <c r="C159" s="5" t="s">
        <v>39</v>
      </c>
      <c r="D159" s="10" t="s">
        <v>427</v>
      </c>
      <c r="E159" s="10" t="s">
        <v>427</v>
      </c>
      <c r="F159" s="10" t="s">
        <v>427</v>
      </c>
      <c r="G159" s="10" t="str">
        <f t="shared" si="11"/>
        <v>Monthly</v>
      </c>
      <c r="H159" s="5" t="s">
        <v>428</v>
      </c>
      <c r="I159" s="6" t="s">
        <v>429</v>
      </c>
      <c r="J159" s="5" t="s">
        <v>129</v>
      </c>
    </row>
    <row r="160" spans="1:10" s="3" customFormat="1" ht="13.2">
      <c r="A160" s="12" t="s">
        <v>406</v>
      </c>
      <c r="B160" s="13" t="s">
        <v>430</v>
      </c>
      <c r="C160" s="13" t="s">
        <v>135</v>
      </c>
      <c r="D160" s="19">
        <v>30</v>
      </c>
      <c r="E160" s="19">
        <v>30</v>
      </c>
      <c r="F160" s="19">
        <v>30</v>
      </c>
      <c r="G160" s="19">
        <f t="shared" si="11"/>
        <v>30</v>
      </c>
      <c r="H160" s="13" t="s">
        <v>431</v>
      </c>
      <c r="I160" s="14" t="s">
        <v>432</v>
      </c>
      <c r="J160" s="13" t="s">
        <v>129</v>
      </c>
    </row>
    <row r="161" spans="1:10" s="3" customFormat="1" ht="13.2">
      <c r="A161" s="39" t="s">
        <v>433</v>
      </c>
      <c r="B161" s="40"/>
      <c r="C161" s="40"/>
      <c r="D161" s="40"/>
      <c r="E161" s="40"/>
      <c r="F161" s="40"/>
      <c r="G161" s="40"/>
      <c r="H161" s="40"/>
      <c r="I161" s="40"/>
      <c r="J161" s="40"/>
    </row>
    <row r="162" spans="1:10" s="3" customFormat="1" ht="26.4">
      <c r="A162" s="4" t="s">
        <v>434</v>
      </c>
      <c r="B162" s="5" t="s">
        <v>435</v>
      </c>
      <c r="C162" s="5" t="s">
        <v>47</v>
      </c>
      <c r="D162" s="19">
        <v>6</v>
      </c>
      <c r="E162" s="19">
        <v>6</v>
      </c>
      <c r="F162" s="19">
        <v>6</v>
      </c>
      <c r="G162" s="19">
        <f t="shared" ref="G162:G173" si="12">_xlfn.XLOOKUP($G$5,$D$3:$F$3,D162:F162)</f>
        <v>6</v>
      </c>
      <c r="H162" s="5" t="s">
        <v>436</v>
      </c>
      <c r="I162" s="6" t="s">
        <v>437</v>
      </c>
      <c r="J162" s="5" t="s">
        <v>410</v>
      </c>
    </row>
    <row r="163" spans="1:10" s="3" customFormat="1" ht="26.4">
      <c r="A163" s="12" t="s">
        <v>434</v>
      </c>
      <c r="B163" s="13" t="s">
        <v>438</v>
      </c>
      <c r="C163" s="13" t="s">
        <v>64</v>
      </c>
      <c r="D163" s="20">
        <v>1000000</v>
      </c>
      <c r="E163" s="20">
        <v>1000000</v>
      </c>
      <c r="F163" s="20">
        <v>1000000</v>
      </c>
      <c r="G163" s="20">
        <f t="shared" si="12"/>
        <v>1000000</v>
      </c>
      <c r="H163" s="13" t="s">
        <v>439</v>
      </c>
      <c r="I163" s="14" t="s">
        <v>440</v>
      </c>
      <c r="J163" s="13" t="s">
        <v>441</v>
      </c>
    </row>
    <row r="164" spans="1:10" s="3" customFormat="1" ht="26.4">
      <c r="A164" s="4" t="s">
        <v>434</v>
      </c>
      <c r="B164" s="5" t="s">
        <v>442</v>
      </c>
      <c r="C164" s="5" t="s">
        <v>64</v>
      </c>
      <c r="D164" s="20">
        <v>1500000</v>
      </c>
      <c r="E164" s="20">
        <v>2000000</v>
      </c>
      <c r="F164" s="20">
        <v>2500000</v>
      </c>
      <c r="G164" s="20">
        <f t="shared" si="12"/>
        <v>2000000</v>
      </c>
      <c r="H164" s="5" t="s">
        <v>443</v>
      </c>
      <c r="I164" s="6" t="s">
        <v>611</v>
      </c>
      <c r="J164" s="5" t="s">
        <v>444</v>
      </c>
    </row>
    <row r="165" spans="1:10" s="3" customFormat="1" ht="13.2">
      <c r="A165" s="12" t="s">
        <v>434</v>
      </c>
      <c r="B165" s="13" t="s">
        <v>445</v>
      </c>
      <c r="C165" s="13" t="s">
        <v>64</v>
      </c>
      <c r="D165" s="20">
        <v>4000000</v>
      </c>
      <c r="E165" s="20">
        <v>5000000</v>
      </c>
      <c r="F165" s="20">
        <v>6000000</v>
      </c>
      <c r="G165" s="20">
        <f t="shared" si="12"/>
        <v>5000000</v>
      </c>
      <c r="H165" s="13" t="s">
        <v>446</v>
      </c>
      <c r="I165" s="14" t="s">
        <v>447</v>
      </c>
      <c r="J165" s="13" t="s">
        <v>129</v>
      </c>
    </row>
    <row r="166" spans="1:10" s="3" customFormat="1" ht="52.8">
      <c r="A166" s="4" t="s">
        <v>434</v>
      </c>
      <c r="B166" s="5" t="s">
        <v>448</v>
      </c>
      <c r="C166" s="5" t="s">
        <v>449</v>
      </c>
      <c r="D166" s="29">
        <v>7</v>
      </c>
      <c r="E166" s="29">
        <v>9</v>
      </c>
      <c r="F166" s="29">
        <v>13</v>
      </c>
      <c r="G166" s="29">
        <f t="shared" si="12"/>
        <v>9</v>
      </c>
      <c r="H166" s="5" t="s">
        <v>450</v>
      </c>
      <c r="I166" s="6" t="s">
        <v>451</v>
      </c>
      <c r="J166" s="5" t="s">
        <v>452</v>
      </c>
    </row>
    <row r="167" spans="1:10" s="3" customFormat="1" ht="13.2">
      <c r="A167" s="12" t="s">
        <v>434</v>
      </c>
      <c r="B167" s="13" t="s">
        <v>453</v>
      </c>
      <c r="C167" s="13" t="s">
        <v>64</v>
      </c>
      <c r="D167" s="26">
        <f>+D164*D166</f>
        <v>10500000</v>
      </c>
      <c r="E167" s="26">
        <f t="shared" ref="E167:F167" si="13">+E164*E166</f>
        <v>18000000</v>
      </c>
      <c r="F167" s="26">
        <f t="shared" si="13"/>
        <v>32500000</v>
      </c>
      <c r="G167" s="26">
        <f t="shared" si="12"/>
        <v>18000000</v>
      </c>
      <c r="H167" s="13" t="s">
        <v>454</v>
      </c>
      <c r="I167" s="14" t="s">
        <v>455</v>
      </c>
      <c r="J167" s="13" t="s">
        <v>456</v>
      </c>
    </row>
    <row r="168" spans="1:10" s="3" customFormat="1" ht="13.2">
      <c r="A168" s="4" t="s">
        <v>434</v>
      </c>
      <c r="B168" s="5" t="s">
        <v>457</v>
      </c>
      <c r="C168" s="5" t="s">
        <v>64</v>
      </c>
      <c r="D168" s="26">
        <f>+D167+D165</f>
        <v>14500000</v>
      </c>
      <c r="E168" s="26">
        <f t="shared" ref="E168:F168" si="14">+E167+E165</f>
        <v>23000000</v>
      </c>
      <c r="F168" s="26">
        <f t="shared" si="14"/>
        <v>38500000</v>
      </c>
      <c r="G168" s="26">
        <f t="shared" si="12"/>
        <v>23000000</v>
      </c>
      <c r="H168" s="5" t="s">
        <v>458</v>
      </c>
      <c r="I168" s="6" t="s">
        <v>455</v>
      </c>
      <c r="J168" s="5" t="s">
        <v>456</v>
      </c>
    </row>
    <row r="169" spans="1:10" s="3" customFormat="1" ht="13.2">
      <c r="A169" s="12" t="s">
        <v>434</v>
      </c>
      <c r="B169" s="13" t="s">
        <v>459</v>
      </c>
      <c r="C169" s="13" t="s">
        <v>460</v>
      </c>
      <c r="D169" s="28">
        <f>+D165/D168</f>
        <v>0.27586206896551724</v>
      </c>
      <c r="E169" s="28">
        <f t="shared" ref="E169:F169" si="15">+E165/E168</f>
        <v>0.21739130434782608</v>
      </c>
      <c r="F169" s="28">
        <f t="shared" si="15"/>
        <v>0.15584415584415584</v>
      </c>
      <c r="G169" s="28">
        <f t="shared" si="12"/>
        <v>0.21739130434782608</v>
      </c>
      <c r="H169" s="13" t="s">
        <v>461</v>
      </c>
      <c r="I169" s="14" t="s">
        <v>455</v>
      </c>
      <c r="J169" s="13" t="s">
        <v>456</v>
      </c>
    </row>
    <row r="170" spans="1:10" s="3" customFormat="1" ht="26.4">
      <c r="A170" s="4" t="s">
        <v>434</v>
      </c>
      <c r="B170" s="5" t="s">
        <v>612</v>
      </c>
      <c r="C170" s="5" t="s">
        <v>173</v>
      </c>
      <c r="D170" s="21">
        <v>0.5</v>
      </c>
      <c r="E170" s="21">
        <v>0.5</v>
      </c>
      <c r="F170" s="21">
        <v>0.5</v>
      </c>
      <c r="G170" s="21">
        <f t="shared" si="12"/>
        <v>0.5</v>
      </c>
      <c r="H170" s="5" t="s">
        <v>462</v>
      </c>
      <c r="I170" s="6" t="s">
        <v>463</v>
      </c>
      <c r="J170" s="5" t="s">
        <v>464</v>
      </c>
    </row>
    <row r="171" spans="1:10" s="3" customFormat="1" ht="13.2">
      <c r="A171" s="12" t="s">
        <v>434</v>
      </c>
      <c r="B171" s="13" t="s">
        <v>613</v>
      </c>
      <c r="C171" s="13" t="s">
        <v>173</v>
      </c>
      <c r="D171" s="21">
        <v>0.3</v>
      </c>
      <c r="E171" s="21">
        <v>0.3</v>
      </c>
      <c r="F171" s="21">
        <v>0.3</v>
      </c>
      <c r="G171" s="21">
        <f t="shared" si="12"/>
        <v>0.3</v>
      </c>
      <c r="H171" s="13" t="s">
        <v>465</v>
      </c>
      <c r="I171" s="14" t="s">
        <v>463</v>
      </c>
      <c r="J171" s="13" t="s">
        <v>464</v>
      </c>
    </row>
    <row r="172" spans="1:10" s="3" customFormat="1" ht="13.2">
      <c r="A172" s="4" t="s">
        <v>434</v>
      </c>
      <c r="B172" s="5" t="s">
        <v>614</v>
      </c>
      <c r="C172" s="5" t="s">
        <v>173</v>
      </c>
      <c r="D172" s="21">
        <v>0.2</v>
      </c>
      <c r="E172" s="21">
        <v>0.2</v>
      </c>
      <c r="F172" s="21">
        <v>0.2</v>
      </c>
      <c r="G172" s="21">
        <f t="shared" si="12"/>
        <v>0.2</v>
      </c>
      <c r="H172" s="5" t="s">
        <v>466</v>
      </c>
      <c r="I172" s="6" t="s">
        <v>463</v>
      </c>
      <c r="J172" s="5" t="s">
        <v>464</v>
      </c>
    </row>
    <row r="173" spans="1:10" s="3" customFormat="1" ht="26.4">
      <c r="A173" s="12" t="s">
        <v>434</v>
      </c>
      <c r="B173" s="13" t="s">
        <v>467</v>
      </c>
      <c r="C173" s="13" t="s">
        <v>159</v>
      </c>
      <c r="D173" s="19">
        <v>10</v>
      </c>
      <c r="E173" s="19">
        <v>14</v>
      </c>
      <c r="F173" s="19">
        <v>18</v>
      </c>
      <c r="G173" s="19">
        <f t="shared" si="12"/>
        <v>14</v>
      </c>
      <c r="H173" s="13" t="s">
        <v>468</v>
      </c>
      <c r="I173" s="14" t="s">
        <v>469</v>
      </c>
      <c r="J173" s="13" t="s">
        <v>97</v>
      </c>
    </row>
    <row r="174" spans="1:10" s="3" customFormat="1" ht="13.2">
      <c r="A174" s="39" t="s">
        <v>470</v>
      </c>
      <c r="B174" s="40"/>
      <c r="C174" s="40"/>
      <c r="D174" s="40"/>
      <c r="E174" s="40"/>
      <c r="F174" s="40"/>
      <c r="G174" s="40"/>
      <c r="H174" s="40"/>
      <c r="I174" s="40"/>
      <c r="J174" s="40"/>
    </row>
    <row r="175" spans="1:10" s="3" customFormat="1" ht="26.4">
      <c r="A175" s="4" t="s">
        <v>471</v>
      </c>
      <c r="B175" s="5" t="s">
        <v>615</v>
      </c>
      <c r="C175" s="5" t="s">
        <v>472</v>
      </c>
      <c r="D175" s="31" t="s">
        <v>473</v>
      </c>
      <c r="E175" s="31" t="s">
        <v>473</v>
      </c>
      <c r="F175" s="31" t="s">
        <v>473</v>
      </c>
      <c r="G175" s="31" t="str">
        <f t="shared" ref="G175:G183" si="16">_xlfn.XLOOKUP($G$5,$D$3:$F$3,D175:F175)</f>
        <v>Payback &lt;12 for 3 consec. months</v>
      </c>
      <c r="H175" s="5" t="s">
        <v>474</v>
      </c>
      <c r="I175" s="6" t="s">
        <v>475</v>
      </c>
      <c r="J175" s="5" t="s">
        <v>370</v>
      </c>
    </row>
    <row r="176" spans="1:10" s="3" customFormat="1" ht="26.4">
      <c r="A176" s="12" t="s">
        <v>471</v>
      </c>
      <c r="B176" s="13" t="s">
        <v>476</v>
      </c>
      <c r="C176" s="13" t="s">
        <v>47</v>
      </c>
      <c r="D176" s="19">
        <v>3</v>
      </c>
      <c r="E176" s="19">
        <v>3</v>
      </c>
      <c r="F176" s="19">
        <v>3</v>
      </c>
      <c r="G176" s="19">
        <f t="shared" si="16"/>
        <v>3</v>
      </c>
      <c r="H176" s="13" t="s">
        <v>477</v>
      </c>
      <c r="I176" s="14" t="s">
        <v>478</v>
      </c>
      <c r="J176" s="13" t="s">
        <v>325</v>
      </c>
    </row>
    <row r="177" spans="1:10" s="3" customFormat="1" ht="26.4">
      <c r="A177" s="4" t="s">
        <v>471</v>
      </c>
      <c r="B177" s="5" t="s">
        <v>616</v>
      </c>
      <c r="C177" s="5" t="s">
        <v>472</v>
      </c>
      <c r="D177" s="31" t="s">
        <v>479</v>
      </c>
      <c r="E177" s="31" t="s">
        <v>479</v>
      </c>
      <c r="F177" s="31" t="s">
        <v>479</v>
      </c>
      <c r="G177" s="31" t="str">
        <f t="shared" si="16"/>
        <v>Payback &gt;12 for 3 months</v>
      </c>
      <c r="H177" s="5" t="s">
        <v>480</v>
      </c>
      <c r="I177" s="6" t="s">
        <v>475</v>
      </c>
      <c r="J177" s="5" t="s">
        <v>370</v>
      </c>
    </row>
    <row r="178" spans="1:10" s="3" customFormat="1" ht="66">
      <c r="A178" s="12" t="s">
        <v>471</v>
      </c>
      <c r="B178" s="13" t="s">
        <v>481</v>
      </c>
      <c r="C178" s="13" t="s">
        <v>482</v>
      </c>
      <c r="D178" s="30" t="s">
        <v>655</v>
      </c>
      <c r="E178" s="30" t="s">
        <v>655</v>
      </c>
      <c r="F178" s="30" t="s">
        <v>655</v>
      </c>
      <c r="G178" s="30" t="str">
        <f t="shared" si="16"/>
        <v>=IF(AND(@Pay_M&lt;12,@Pay_M1&lt;12,@Pay_M2&lt;12),"HIRE OK","DELAY")</v>
      </c>
      <c r="H178" s="13" t="s">
        <v>483</v>
      </c>
      <c r="I178" s="14" t="s">
        <v>484</v>
      </c>
      <c r="J178" s="13" t="s">
        <v>370</v>
      </c>
    </row>
    <row r="179" spans="1:10" s="3" customFormat="1" ht="26.4">
      <c r="A179" s="4" t="s">
        <v>471</v>
      </c>
      <c r="B179" s="5" t="s">
        <v>617</v>
      </c>
      <c r="C179" s="5" t="s">
        <v>472</v>
      </c>
      <c r="D179" s="31" t="s">
        <v>485</v>
      </c>
      <c r="E179" s="31" t="s">
        <v>485</v>
      </c>
      <c r="F179" s="31" t="s">
        <v>485</v>
      </c>
      <c r="G179" s="31" t="str">
        <f t="shared" si="16"/>
        <v>Runway &lt;6 mo</v>
      </c>
      <c r="H179" s="5" t="s">
        <v>486</v>
      </c>
      <c r="I179" s="6" t="s">
        <v>487</v>
      </c>
      <c r="J179" s="5" t="s">
        <v>97</v>
      </c>
    </row>
    <row r="180" spans="1:10" s="3" customFormat="1" ht="26.4">
      <c r="A180" s="12" t="s">
        <v>471</v>
      </c>
      <c r="B180" s="13" t="s">
        <v>618</v>
      </c>
      <c r="C180" s="13" t="s">
        <v>472</v>
      </c>
      <c r="D180" s="31" t="s">
        <v>488</v>
      </c>
      <c r="E180" s="31" t="s">
        <v>488</v>
      </c>
      <c r="F180" s="31" t="s">
        <v>488</v>
      </c>
      <c r="G180" s="31" t="str">
        <f t="shared" si="16"/>
        <v>Runway &lt;12 mo</v>
      </c>
      <c r="H180" s="13" t="s">
        <v>489</v>
      </c>
      <c r="I180" s="14" t="s">
        <v>490</v>
      </c>
      <c r="J180" s="13" t="s">
        <v>97</v>
      </c>
    </row>
    <row r="181" spans="1:10" s="3" customFormat="1" ht="26.4">
      <c r="A181" s="4" t="s">
        <v>471</v>
      </c>
      <c r="B181" s="5" t="s">
        <v>619</v>
      </c>
      <c r="C181" s="5" t="s">
        <v>472</v>
      </c>
      <c r="D181" s="31" t="s">
        <v>491</v>
      </c>
      <c r="E181" s="31" t="s">
        <v>491</v>
      </c>
      <c r="F181" s="31" t="s">
        <v>491</v>
      </c>
      <c r="G181" s="31" t="str">
        <f t="shared" si="16"/>
        <v>ARR &gt;$1M</v>
      </c>
      <c r="H181" s="5" t="s">
        <v>492</v>
      </c>
      <c r="I181" s="6" t="s">
        <v>440</v>
      </c>
      <c r="J181" s="5" t="s">
        <v>97</v>
      </c>
    </row>
    <row r="182" spans="1:10" s="3" customFormat="1" ht="26.4">
      <c r="A182" s="12" t="s">
        <v>471</v>
      </c>
      <c r="B182" s="13" t="s">
        <v>620</v>
      </c>
      <c r="C182" s="13" t="s">
        <v>472</v>
      </c>
      <c r="D182" s="31" t="s">
        <v>493</v>
      </c>
      <c r="E182" s="31" t="s">
        <v>493</v>
      </c>
      <c r="F182" s="31" t="s">
        <v>493</v>
      </c>
      <c r="G182" s="31" t="str">
        <f t="shared" si="16"/>
        <v>NRR &gt;110%</v>
      </c>
      <c r="H182" s="13" t="s">
        <v>494</v>
      </c>
      <c r="I182" s="14" t="s">
        <v>231</v>
      </c>
      <c r="J182" s="13" t="s">
        <v>370</v>
      </c>
    </row>
    <row r="183" spans="1:10" s="3" customFormat="1" ht="39.6">
      <c r="A183" s="4" t="s">
        <v>471</v>
      </c>
      <c r="B183" s="5" t="s">
        <v>495</v>
      </c>
      <c r="C183" s="5" t="s">
        <v>482</v>
      </c>
      <c r="D183" s="30" t="s">
        <v>656</v>
      </c>
      <c r="E183" s="30" t="s">
        <v>656</v>
      </c>
      <c r="F183" s="30" t="s">
        <v>656</v>
      </c>
      <c r="G183" s="30" t="str">
        <f t="shared" si="16"/>
        <v>=IF(@ARR&gt;1000000,"SERIES A READY","")</v>
      </c>
      <c r="H183" s="5" t="s">
        <v>496</v>
      </c>
      <c r="I183" s="6" t="s">
        <v>484</v>
      </c>
      <c r="J183" s="5" t="s">
        <v>497</v>
      </c>
    </row>
    <row r="184" spans="1:10" s="3" customFormat="1" ht="13.2">
      <c r="A184" s="39" t="s">
        <v>498</v>
      </c>
      <c r="B184" s="40"/>
      <c r="C184" s="40"/>
      <c r="D184" s="40"/>
      <c r="E184" s="40"/>
      <c r="F184" s="40"/>
      <c r="G184" s="40"/>
      <c r="H184" s="40"/>
      <c r="I184" s="40"/>
      <c r="J184" s="40"/>
    </row>
    <row r="185" spans="1:10" s="3" customFormat="1" ht="26.4">
      <c r="A185" s="4" t="s">
        <v>499</v>
      </c>
      <c r="B185" s="5" t="s">
        <v>621</v>
      </c>
      <c r="C185" s="5" t="s">
        <v>64</v>
      </c>
      <c r="D185" s="11" t="s">
        <v>20</v>
      </c>
      <c r="E185" s="11" t="s">
        <v>22</v>
      </c>
      <c r="F185" s="11" t="s">
        <v>23</v>
      </c>
      <c r="G185" s="11" t="str">
        <f t="shared" ref="G185:G192" si="17">_xlfn.XLOOKUP($G$5,$D$3:$F$3,D185:F185)</f>
        <v>$1.8M</v>
      </c>
      <c r="H185" s="5" t="s">
        <v>622</v>
      </c>
      <c r="I185" s="6" t="s">
        <v>96</v>
      </c>
      <c r="J185" s="5" t="s">
        <v>97</v>
      </c>
    </row>
    <row r="186" spans="1:10" s="3" customFormat="1" ht="26.4">
      <c r="A186" s="12" t="s">
        <v>499</v>
      </c>
      <c r="B186" s="13" t="s">
        <v>623</v>
      </c>
      <c r="C186" s="13" t="s">
        <v>173</v>
      </c>
      <c r="D186" s="31" t="s">
        <v>500</v>
      </c>
      <c r="E186" s="31" t="s">
        <v>501</v>
      </c>
      <c r="F186" s="31" t="s">
        <v>502</v>
      </c>
      <c r="G186" s="31" t="str">
        <f t="shared" si="17"/>
        <v>70%–76%</v>
      </c>
      <c r="H186" s="13" t="s">
        <v>503</v>
      </c>
      <c r="I186" s="14" t="s">
        <v>504</v>
      </c>
      <c r="J186" s="13" t="s">
        <v>97</v>
      </c>
    </row>
    <row r="187" spans="1:10" s="3" customFormat="1" ht="13.2">
      <c r="A187" s="4" t="s">
        <v>499</v>
      </c>
      <c r="B187" s="5" t="s">
        <v>624</v>
      </c>
      <c r="C187" s="5" t="s">
        <v>47</v>
      </c>
      <c r="D187" s="31" t="s">
        <v>505</v>
      </c>
      <c r="E187" s="31" t="s">
        <v>505</v>
      </c>
      <c r="F187" s="31" t="s">
        <v>505</v>
      </c>
      <c r="G187" s="31" t="str">
        <f t="shared" si="17"/>
        <v>&lt;12</v>
      </c>
      <c r="H187" s="5" t="s">
        <v>506</v>
      </c>
      <c r="I187" s="6" t="s">
        <v>507</v>
      </c>
      <c r="J187" s="5" t="s">
        <v>97</v>
      </c>
    </row>
    <row r="188" spans="1:10" s="3" customFormat="1" ht="13.2">
      <c r="A188" s="12" t="s">
        <v>499</v>
      </c>
      <c r="B188" s="13" t="s">
        <v>625</v>
      </c>
      <c r="C188" s="13" t="s">
        <v>301</v>
      </c>
      <c r="D188" s="31" t="s">
        <v>508</v>
      </c>
      <c r="E188" s="31" t="s">
        <v>508</v>
      </c>
      <c r="F188" s="31" t="s">
        <v>508</v>
      </c>
      <c r="G188" s="31" t="str">
        <f t="shared" si="17"/>
        <v>&gt;3x</v>
      </c>
      <c r="H188" s="13" t="s">
        <v>509</v>
      </c>
      <c r="I188" s="14" t="s">
        <v>510</v>
      </c>
      <c r="J188" s="13" t="s">
        <v>97</v>
      </c>
    </row>
    <row r="189" spans="1:10" s="3" customFormat="1" ht="26.4">
      <c r="A189" s="4" t="s">
        <v>499</v>
      </c>
      <c r="B189" s="5" t="s">
        <v>626</v>
      </c>
      <c r="C189" s="5" t="s">
        <v>173</v>
      </c>
      <c r="D189" s="31" t="s">
        <v>511</v>
      </c>
      <c r="E189" s="31" t="s">
        <v>512</v>
      </c>
      <c r="F189" s="31" t="s">
        <v>513</v>
      </c>
      <c r="G189" s="31" t="str">
        <f t="shared" si="17"/>
        <v>&gt;100%</v>
      </c>
      <c r="H189" s="5" t="s">
        <v>514</v>
      </c>
      <c r="I189" s="6" t="s">
        <v>515</v>
      </c>
      <c r="J189" s="5" t="s">
        <v>97</v>
      </c>
    </row>
    <row r="190" spans="1:10" s="3" customFormat="1" ht="13.2">
      <c r="A190" s="12" t="s">
        <v>499</v>
      </c>
      <c r="B190" s="13" t="s">
        <v>627</v>
      </c>
      <c r="C190" s="13" t="s">
        <v>47</v>
      </c>
      <c r="D190" s="31" t="s">
        <v>412</v>
      </c>
      <c r="E190" s="31" t="s">
        <v>412</v>
      </c>
      <c r="F190" s="31" t="s">
        <v>412</v>
      </c>
      <c r="G190" s="31" t="str">
        <f t="shared" si="17"/>
        <v>&lt;6</v>
      </c>
      <c r="H190" s="13" t="s">
        <v>516</v>
      </c>
      <c r="I190" s="14" t="s">
        <v>487</v>
      </c>
      <c r="J190" s="13" t="s">
        <v>97</v>
      </c>
    </row>
    <row r="191" spans="1:10" s="3" customFormat="1" ht="13.2">
      <c r="A191" s="4" t="s">
        <v>499</v>
      </c>
      <c r="B191" s="5" t="s">
        <v>628</v>
      </c>
      <c r="C191" s="5" t="s">
        <v>47</v>
      </c>
      <c r="D191" s="31" t="s">
        <v>415</v>
      </c>
      <c r="E191" s="31" t="s">
        <v>415</v>
      </c>
      <c r="F191" s="31" t="s">
        <v>415</v>
      </c>
      <c r="G191" s="31" t="str">
        <f t="shared" si="17"/>
        <v>6–12</v>
      </c>
      <c r="H191" s="5" t="s">
        <v>517</v>
      </c>
      <c r="I191" s="6" t="s">
        <v>487</v>
      </c>
      <c r="J191" s="5" t="s">
        <v>97</v>
      </c>
    </row>
    <row r="192" spans="1:10" s="3" customFormat="1" ht="13.2">
      <c r="A192" s="12" t="s">
        <v>499</v>
      </c>
      <c r="B192" s="13" t="s">
        <v>629</v>
      </c>
      <c r="C192" s="13" t="s">
        <v>47</v>
      </c>
      <c r="D192" s="31" t="s">
        <v>418</v>
      </c>
      <c r="E192" s="31" t="s">
        <v>418</v>
      </c>
      <c r="F192" s="31" t="s">
        <v>418</v>
      </c>
      <c r="G192" s="31" t="str">
        <f t="shared" si="17"/>
        <v>&gt;12</v>
      </c>
      <c r="H192" s="13" t="s">
        <v>518</v>
      </c>
      <c r="I192" s="14" t="s">
        <v>487</v>
      </c>
      <c r="J192" s="13" t="s">
        <v>97</v>
      </c>
    </row>
    <row r="193" spans="1:10" s="3" customFormat="1" ht="13.2">
      <c r="A193" s="39" t="s">
        <v>519</v>
      </c>
      <c r="B193" s="40"/>
      <c r="C193" s="40"/>
      <c r="D193" s="40"/>
      <c r="E193" s="40"/>
      <c r="F193" s="40"/>
      <c r="G193" s="40"/>
      <c r="H193" s="40"/>
      <c r="I193" s="40"/>
      <c r="J193" s="40"/>
    </row>
    <row r="194" spans="1:10" s="3" customFormat="1" ht="26.4">
      <c r="A194" s="4" t="s">
        <v>520</v>
      </c>
      <c r="B194" s="5" t="s">
        <v>521</v>
      </c>
      <c r="C194" s="5" t="s">
        <v>522</v>
      </c>
      <c r="D194" s="31" t="s">
        <v>523</v>
      </c>
      <c r="E194" s="31" t="s">
        <v>523</v>
      </c>
      <c r="F194" s="31" t="s">
        <v>523</v>
      </c>
      <c r="G194" s="31" t="str">
        <f t="shared" ref="G194:G202" si="18">_xlfn.XLOOKUP($G$5,$D$3:$F$3,D194:F194)</f>
        <v>+1 pp</v>
      </c>
      <c r="H194" s="5" t="s">
        <v>524</v>
      </c>
      <c r="I194" s="6" t="s">
        <v>525</v>
      </c>
      <c r="J194" s="5" t="s">
        <v>526</v>
      </c>
    </row>
    <row r="195" spans="1:10" s="3" customFormat="1" ht="26.4">
      <c r="A195" s="12" t="s">
        <v>520</v>
      </c>
      <c r="B195" s="13" t="s">
        <v>527</v>
      </c>
      <c r="C195" s="13" t="s">
        <v>522</v>
      </c>
      <c r="D195" s="32">
        <v>0.2</v>
      </c>
      <c r="E195" s="32">
        <v>0.2</v>
      </c>
      <c r="F195" s="32">
        <v>0.2</v>
      </c>
      <c r="G195" s="32">
        <f t="shared" si="18"/>
        <v>0.2</v>
      </c>
      <c r="H195" s="13" t="s">
        <v>528</v>
      </c>
      <c r="I195" s="14" t="s">
        <v>529</v>
      </c>
      <c r="J195" s="13" t="s">
        <v>526</v>
      </c>
    </row>
    <row r="196" spans="1:10" s="3" customFormat="1" ht="26.4">
      <c r="A196" s="4" t="s">
        <v>520</v>
      </c>
      <c r="B196" s="5" t="s">
        <v>530</v>
      </c>
      <c r="C196" s="5" t="s">
        <v>522</v>
      </c>
      <c r="D196" s="31" t="s">
        <v>531</v>
      </c>
      <c r="E196" s="31" t="s">
        <v>531</v>
      </c>
      <c r="F196" s="31" t="s">
        <v>531</v>
      </c>
      <c r="G196" s="31" t="str">
        <f t="shared" si="18"/>
        <v>+10 pp</v>
      </c>
      <c r="H196" s="5" t="s">
        <v>532</v>
      </c>
      <c r="I196" s="6" t="s">
        <v>533</v>
      </c>
      <c r="J196" s="5" t="s">
        <v>526</v>
      </c>
    </row>
    <row r="197" spans="1:10" s="3" customFormat="1" ht="13.2">
      <c r="A197" s="12" t="s">
        <v>520</v>
      </c>
      <c r="B197" s="13" t="s">
        <v>534</v>
      </c>
      <c r="C197" s="13" t="s">
        <v>522</v>
      </c>
      <c r="D197" s="21">
        <v>-0.15</v>
      </c>
      <c r="E197" s="21">
        <v>-0.15</v>
      </c>
      <c r="F197" s="21">
        <v>-0.15</v>
      </c>
      <c r="G197" s="21">
        <f t="shared" si="18"/>
        <v>-0.15</v>
      </c>
      <c r="H197" s="13" t="s">
        <v>535</v>
      </c>
      <c r="I197" s="14" t="s">
        <v>536</v>
      </c>
      <c r="J197" s="13" t="s">
        <v>526</v>
      </c>
    </row>
    <row r="198" spans="1:10" s="3" customFormat="1" ht="26.4">
      <c r="A198" s="4" t="s">
        <v>520</v>
      </c>
      <c r="B198" s="5" t="s">
        <v>537</v>
      </c>
      <c r="C198" s="5" t="s">
        <v>522</v>
      </c>
      <c r="D198" s="31" t="s">
        <v>538</v>
      </c>
      <c r="E198" s="31" t="s">
        <v>538</v>
      </c>
      <c r="F198" s="31" t="s">
        <v>538</v>
      </c>
      <c r="G198" s="31" t="str">
        <f t="shared" si="18"/>
        <v>3 mo earlier</v>
      </c>
      <c r="H198" s="5" t="s">
        <v>539</v>
      </c>
      <c r="I198" s="6" t="s">
        <v>540</v>
      </c>
      <c r="J198" s="5" t="s">
        <v>526</v>
      </c>
    </row>
    <row r="199" spans="1:10" s="3" customFormat="1" ht="26.4">
      <c r="A199" s="12" t="s">
        <v>520</v>
      </c>
      <c r="B199" s="13" t="s">
        <v>541</v>
      </c>
      <c r="C199" s="13" t="s">
        <v>522</v>
      </c>
      <c r="D199" s="17" t="s">
        <v>542</v>
      </c>
      <c r="E199" s="17" t="s">
        <v>542</v>
      </c>
      <c r="F199" s="17" t="s">
        <v>542</v>
      </c>
      <c r="G199" s="17" t="str">
        <f t="shared" si="18"/>
        <v>+20 pp</v>
      </c>
      <c r="H199" s="13" t="s">
        <v>543</v>
      </c>
      <c r="I199" s="14" t="s">
        <v>544</v>
      </c>
      <c r="J199" s="13" t="s">
        <v>526</v>
      </c>
    </row>
    <row r="200" spans="1:10" s="3" customFormat="1" ht="13.2">
      <c r="A200" s="4" t="s">
        <v>520</v>
      </c>
      <c r="B200" s="5" t="s">
        <v>545</v>
      </c>
      <c r="C200" s="5" t="s">
        <v>522</v>
      </c>
      <c r="D200" s="24">
        <v>-0.25</v>
      </c>
      <c r="E200" s="24">
        <v>-0.25</v>
      </c>
      <c r="F200" s="24">
        <v>-0.25</v>
      </c>
      <c r="G200" s="24">
        <f t="shared" si="18"/>
        <v>-0.25</v>
      </c>
      <c r="H200" s="5" t="s">
        <v>546</v>
      </c>
      <c r="I200" s="6" t="s">
        <v>547</v>
      </c>
      <c r="J200" s="5" t="s">
        <v>526</v>
      </c>
    </row>
    <row r="201" spans="1:10" s="3" customFormat="1" ht="26.4">
      <c r="A201" s="12" t="s">
        <v>520</v>
      </c>
      <c r="B201" s="13" t="s">
        <v>548</v>
      </c>
      <c r="C201" s="13" t="s">
        <v>522</v>
      </c>
      <c r="D201" s="31" t="s">
        <v>549</v>
      </c>
      <c r="E201" s="31" t="s">
        <v>549</v>
      </c>
      <c r="F201" s="31" t="s">
        <v>549</v>
      </c>
      <c r="G201" s="31" t="str">
        <f t="shared" si="18"/>
        <v>-5 pp</v>
      </c>
      <c r="H201" s="13" t="s">
        <v>550</v>
      </c>
      <c r="I201" s="14" t="s">
        <v>551</v>
      </c>
      <c r="J201" s="13" t="s">
        <v>526</v>
      </c>
    </row>
    <row r="202" spans="1:10" s="3" customFormat="1" ht="26.4">
      <c r="A202" s="4" t="s">
        <v>520</v>
      </c>
      <c r="B202" s="5" t="s">
        <v>552</v>
      </c>
      <c r="C202" s="5" t="s">
        <v>522</v>
      </c>
      <c r="D202" s="31" t="s">
        <v>553</v>
      </c>
      <c r="E202" s="31" t="s">
        <v>553</v>
      </c>
      <c r="F202" s="31" t="s">
        <v>553</v>
      </c>
      <c r="G202" s="31" t="str">
        <f t="shared" si="18"/>
        <v>-10 pp</v>
      </c>
      <c r="H202" s="5" t="s">
        <v>554</v>
      </c>
      <c r="I202" s="6" t="s">
        <v>555</v>
      </c>
      <c r="J202" s="5" t="s">
        <v>526</v>
      </c>
    </row>
    <row r="203" spans="1:10" s="3" customFormat="1" ht="13.2">
      <c r="A203" s="38" t="s">
        <v>556</v>
      </c>
      <c r="B203" s="38"/>
      <c r="C203" s="38"/>
      <c r="D203" s="38"/>
      <c r="E203" s="38"/>
      <c r="F203" s="38"/>
      <c r="G203" s="38"/>
      <c r="H203" s="38"/>
      <c r="I203" s="38"/>
      <c r="J203" s="38"/>
    </row>
  </sheetData>
  <autoFilter ref="A3:J203" xr:uid="{266AB393-4B73-4BB1-BF46-7A9783E21353}"/>
  <mergeCells count="3">
    <mergeCell ref="C2:D2"/>
    <mergeCell ref="E2:F2"/>
    <mergeCell ref="H2:J2"/>
  </mergeCells>
  <dataValidations count="1">
    <dataValidation type="list" allowBlank="1" showInputMessage="1" showErrorMessage="1" sqref="G5" xr:uid="{CF71D201-2DA5-4F65-B484-2D7EFCAE24DE}">
      <formula1>$D$3:$F$3</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386B-3176-42F0-BC54-5F58EF3592DB}">
  <sheetPr>
    <pageSetUpPr fitToPage="1"/>
  </sheetPr>
  <dimension ref="A1:CG103"/>
  <sheetViews>
    <sheetView showGridLines="0" tabSelected="1" zoomScale="60" zoomScaleNormal="60" workbookViewId="0">
      <selection activeCell="AG1" sqref="AG1"/>
    </sheetView>
  </sheetViews>
  <sheetFormatPr defaultRowHeight="14.4"/>
  <cols>
    <col min="1" max="1" width="7" bestFit="1" customWidth="1"/>
    <col min="2" max="2" width="14.6640625" bestFit="1" customWidth="1"/>
    <col min="3" max="3" width="14.77734375" bestFit="1" customWidth="1"/>
    <col min="4" max="4" width="8.88671875" bestFit="1" customWidth="1"/>
    <col min="5" max="5" width="11.44140625" bestFit="1" customWidth="1"/>
    <col min="6" max="6" width="19.44140625" bestFit="1" customWidth="1"/>
    <col min="9" max="9" width="14.77734375" customWidth="1"/>
    <col min="10" max="10" width="13.6640625" bestFit="1" customWidth="1"/>
    <col min="11" max="11" width="23.109375" bestFit="1" customWidth="1"/>
    <col min="14" max="14" width="6.44140625" bestFit="1" customWidth="1"/>
    <col min="15" max="15" width="11" customWidth="1"/>
    <col min="16" max="16" width="10.33203125" customWidth="1"/>
    <col min="17" max="17" width="12.33203125" customWidth="1"/>
    <col min="19" max="19" width="14.88671875" bestFit="1" customWidth="1"/>
    <col min="20" max="20" width="11.109375" bestFit="1" customWidth="1"/>
    <col min="24" max="24" width="14.88671875" bestFit="1" customWidth="1"/>
    <col min="25" max="25" width="11.109375" bestFit="1" customWidth="1"/>
  </cols>
  <sheetData>
    <row r="1" spans="1:29" ht="45.6" customHeight="1">
      <c r="A1" s="322"/>
      <c r="B1" s="322"/>
      <c r="C1" s="322"/>
      <c r="D1" s="322"/>
      <c r="E1" s="322"/>
      <c r="F1" s="322"/>
      <c r="G1" s="322"/>
      <c r="H1" s="322"/>
      <c r="I1" s="322"/>
      <c r="J1" s="323" t="s">
        <v>1328</v>
      </c>
      <c r="K1" s="323"/>
      <c r="L1" s="323"/>
      <c r="M1" s="323"/>
      <c r="N1" s="323"/>
      <c r="O1" s="323"/>
      <c r="P1" s="323"/>
      <c r="Q1" s="323"/>
      <c r="R1" s="323"/>
      <c r="S1" s="323"/>
      <c r="T1" s="322"/>
      <c r="U1" s="322"/>
      <c r="V1" s="322"/>
      <c r="W1" s="322"/>
      <c r="X1" s="322"/>
      <c r="Y1" s="322"/>
      <c r="Z1" s="322"/>
      <c r="AA1" s="322"/>
      <c r="AB1" s="322"/>
      <c r="AC1" s="1"/>
    </row>
    <row r="2" spans="1:29" s="368" customFormat="1" ht="4.8" customHeight="1">
      <c r="A2" s="374"/>
      <c r="B2" s="374"/>
      <c r="C2" s="374"/>
      <c r="D2" s="374"/>
      <c r="E2" s="374"/>
      <c r="F2" s="374"/>
      <c r="G2" s="374"/>
      <c r="H2" s="374"/>
      <c r="I2" s="374"/>
      <c r="J2" s="375"/>
      <c r="K2" s="375"/>
      <c r="L2" s="375"/>
      <c r="M2" s="375"/>
      <c r="N2" s="375"/>
      <c r="O2" s="375"/>
      <c r="P2" s="375"/>
      <c r="Q2" s="375"/>
      <c r="R2" s="375"/>
      <c r="S2" s="375"/>
      <c r="T2" s="374"/>
      <c r="U2" s="374"/>
      <c r="V2" s="374"/>
      <c r="W2" s="374"/>
      <c r="X2" s="374"/>
      <c r="Y2" s="374"/>
      <c r="Z2" s="374"/>
      <c r="AA2" s="374"/>
      <c r="AB2" s="374"/>
      <c r="AC2" s="374"/>
    </row>
    <row r="3" spans="1:29" s="368" customFormat="1" ht="54" customHeight="1">
      <c r="A3" s="431" t="s">
        <v>1326</v>
      </c>
      <c r="B3" s="432"/>
      <c r="C3" s="432"/>
      <c r="D3" s="432"/>
      <c r="E3" s="432"/>
      <c r="F3" s="432"/>
      <c r="G3" s="432"/>
      <c r="H3" s="432"/>
      <c r="I3" s="432"/>
      <c r="J3" s="432"/>
      <c r="K3" s="432"/>
      <c r="L3" s="432"/>
      <c r="M3" s="432"/>
      <c r="N3" s="432"/>
      <c r="O3" s="432"/>
      <c r="P3" s="432"/>
      <c r="Q3" s="432"/>
      <c r="R3" s="432"/>
      <c r="S3" s="432"/>
      <c r="T3" s="432"/>
      <c r="U3" s="432"/>
      <c r="V3" s="432"/>
      <c r="W3" s="432"/>
      <c r="X3" s="432"/>
      <c r="Y3" s="432"/>
      <c r="Z3" s="432"/>
      <c r="AA3" s="432"/>
      <c r="AB3" s="433"/>
      <c r="AC3" s="374"/>
    </row>
    <row r="4" spans="1:29" ht="4.2" customHeight="1">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s="71" customFormat="1" ht="24.6" customHeight="1">
      <c r="A5" s="324" t="s">
        <v>24</v>
      </c>
      <c r="B5" s="325"/>
      <c r="C5" s="325"/>
      <c r="D5" s="325"/>
      <c r="E5" s="325"/>
      <c r="F5" s="325"/>
      <c r="G5" s="326"/>
      <c r="H5" s="324" t="s">
        <v>1274</v>
      </c>
      <c r="I5" s="325"/>
      <c r="J5" s="325"/>
      <c r="K5" s="325"/>
      <c r="L5" s="325"/>
      <c r="M5" s="325"/>
      <c r="N5" s="326"/>
      <c r="O5" s="324" t="s">
        <v>1276</v>
      </c>
      <c r="P5" s="325"/>
      <c r="Q5" s="325"/>
      <c r="R5" s="325"/>
      <c r="S5" s="325"/>
      <c r="T5" s="325"/>
      <c r="U5" s="326"/>
      <c r="V5" s="324" t="s">
        <v>406</v>
      </c>
      <c r="W5" s="325"/>
      <c r="X5" s="325"/>
      <c r="Y5" s="325"/>
      <c r="Z5" s="325"/>
      <c r="AA5" s="325"/>
      <c r="AB5" s="326"/>
      <c r="AC5" s="327"/>
    </row>
    <row r="6" spans="1:29" ht="15.6">
      <c r="A6" s="376" t="s">
        <v>1273</v>
      </c>
      <c r="B6" s="377"/>
      <c r="C6" s="377"/>
      <c r="D6" s="377"/>
      <c r="E6" s="377"/>
      <c r="F6" s="377"/>
      <c r="G6" s="378"/>
      <c r="H6" s="376" t="s">
        <v>1275</v>
      </c>
      <c r="I6" s="377"/>
      <c r="J6" s="377"/>
      <c r="K6" s="377"/>
      <c r="L6" s="377"/>
      <c r="M6" s="377"/>
      <c r="N6" s="378"/>
      <c r="O6" s="376" t="s">
        <v>1277</v>
      </c>
      <c r="P6" s="377"/>
      <c r="Q6" s="377"/>
      <c r="R6" s="377"/>
      <c r="S6" s="377"/>
      <c r="T6" s="377"/>
      <c r="U6" s="378"/>
      <c r="V6" s="376" t="s">
        <v>1278</v>
      </c>
      <c r="W6" s="377"/>
      <c r="X6" s="377"/>
      <c r="Y6" s="377"/>
      <c r="Z6" s="377"/>
      <c r="AA6" s="377"/>
      <c r="AB6" s="378"/>
      <c r="AC6" s="1"/>
    </row>
    <row r="7" spans="1:29" ht="24.6" customHeight="1">
      <c r="A7" s="328">
        <f>(+'3. Revenue Model'!AA94)/10^6</f>
        <v>2.1785868004370266</v>
      </c>
      <c r="B7" s="329"/>
      <c r="C7" s="329"/>
      <c r="D7" s="329"/>
      <c r="E7" s="329"/>
      <c r="F7" s="329"/>
      <c r="G7" s="330"/>
      <c r="H7" s="331">
        <f>+'3. Revenue Model'!AA97</f>
        <v>8.193520749126737E-2</v>
      </c>
      <c r="I7" s="332"/>
      <c r="J7" s="332"/>
      <c r="K7" s="332"/>
      <c r="L7" s="333">
        <f>(+'3. Revenue Model'!AA91-'3. Revenue Model'!Z91)</f>
        <v>13748.740859249083</v>
      </c>
      <c r="M7" s="333"/>
      <c r="N7" s="334"/>
      <c r="O7" s="335">
        <f>+'7. P&amp;L + cash'!AA81</f>
        <v>36838.147528862493</v>
      </c>
      <c r="P7" s="336"/>
      <c r="Q7" s="336"/>
      <c r="R7" s="336"/>
      <c r="S7" s="336"/>
      <c r="T7" s="336"/>
      <c r="U7" s="337"/>
      <c r="V7" s="338">
        <f>+'7. P&amp;L + cash'!AA84</f>
        <v>5026732.0116651999</v>
      </c>
      <c r="W7" s="339"/>
      <c r="X7" s="339"/>
      <c r="Y7" s="339"/>
      <c r="Z7" s="427">
        <f>+'7. P&amp;L + cash'!AA85</f>
        <v>136.4545274087624</v>
      </c>
      <c r="AA7" s="427"/>
      <c r="AB7" s="428"/>
      <c r="AC7" s="1"/>
    </row>
    <row r="8" spans="1:29" ht="24.6" customHeight="1">
      <c r="A8" s="328"/>
      <c r="B8" s="329"/>
      <c r="C8" s="329"/>
      <c r="D8" s="329"/>
      <c r="E8" s="329"/>
      <c r="F8" s="329"/>
      <c r="G8" s="330"/>
      <c r="H8" s="331"/>
      <c r="I8" s="332"/>
      <c r="J8" s="332"/>
      <c r="K8" s="332"/>
      <c r="L8" s="333"/>
      <c r="M8" s="333"/>
      <c r="N8" s="334"/>
      <c r="O8" s="335"/>
      <c r="P8" s="336"/>
      <c r="Q8" s="336"/>
      <c r="R8" s="336"/>
      <c r="S8" s="336"/>
      <c r="T8" s="336"/>
      <c r="U8" s="337"/>
      <c r="V8" s="338"/>
      <c r="W8" s="339"/>
      <c r="X8" s="339"/>
      <c r="Y8" s="339"/>
      <c r="Z8" s="427"/>
      <c r="AA8" s="427"/>
      <c r="AB8" s="428"/>
      <c r="AC8" s="1"/>
    </row>
    <row r="9" spans="1:29" ht="24.6" customHeight="1">
      <c r="A9" s="328"/>
      <c r="B9" s="329"/>
      <c r="C9" s="329"/>
      <c r="D9" s="329"/>
      <c r="E9" s="329"/>
      <c r="F9" s="329"/>
      <c r="G9" s="330"/>
      <c r="H9" s="331"/>
      <c r="I9" s="332"/>
      <c r="J9" s="332"/>
      <c r="K9" s="332"/>
      <c r="L9" s="333"/>
      <c r="M9" s="333"/>
      <c r="N9" s="334"/>
      <c r="O9" s="335"/>
      <c r="P9" s="336"/>
      <c r="Q9" s="336"/>
      <c r="R9" s="336"/>
      <c r="S9" s="336"/>
      <c r="T9" s="336"/>
      <c r="U9" s="337"/>
      <c r="V9" s="338"/>
      <c r="W9" s="339"/>
      <c r="X9" s="339"/>
      <c r="Y9" s="339"/>
      <c r="Z9" s="427"/>
      <c r="AA9" s="427"/>
      <c r="AB9" s="428"/>
      <c r="AC9" s="1"/>
    </row>
    <row r="10" spans="1:29" ht="24.6" customHeight="1">
      <c r="A10" s="340"/>
      <c r="B10" s="340"/>
      <c r="C10" s="340"/>
      <c r="D10" s="340"/>
      <c r="E10" s="340"/>
      <c r="F10" s="340"/>
      <c r="G10" s="341"/>
      <c r="H10" s="342"/>
      <c r="I10" s="340"/>
      <c r="J10" s="340"/>
      <c r="K10" s="340"/>
      <c r="L10" s="340"/>
      <c r="M10" s="340"/>
      <c r="N10" s="341"/>
      <c r="O10" s="343"/>
      <c r="P10" s="344"/>
      <c r="Q10" s="344"/>
      <c r="R10" s="344"/>
      <c r="S10" s="344"/>
      <c r="T10" s="344"/>
      <c r="U10" s="345"/>
      <c r="V10" s="463" t="s">
        <v>1297</v>
      </c>
      <c r="W10" s="464"/>
      <c r="X10" s="464"/>
      <c r="Y10" s="464"/>
      <c r="Z10" s="464"/>
      <c r="AA10" s="464"/>
      <c r="AB10" s="465"/>
      <c r="AC10" s="1"/>
    </row>
    <row r="11" spans="1:29" ht="24.6" customHeight="1">
      <c r="A11" s="340"/>
      <c r="B11" s="340"/>
      <c r="C11" s="340"/>
      <c r="D11" s="340"/>
      <c r="E11" s="340"/>
      <c r="F11" s="340"/>
      <c r="G11" s="341"/>
      <c r="H11" s="342"/>
      <c r="I11" s="340"/>
      <c r="J11" s="340"/>
      <c r="K11" s="340"/>
      <c r="L11" s="340"/>
      <c r="M11" s="340"/>
      <c r="N11" s="341"/>
      <c r="O11" s="343"/>
      <c r="P11" s="344"/>
      <c r="Q11" s="344"/>
      <c r="R11" s="344"/>
      <c r="S11" s="344"/>
      <c r="T11" s="344"/>
      <c r="U11" s="345"/>
      <c r="V11" s="463"/>
      <c r="W11" s="464"/>
      <c r="X11" s="464"/>
      <c r="Y11" s="464"/>
      <c r="Z11" s="464"/>
      <c r="AA11" s="464"/>
      <c r="AB11" s="465"/>
      <c r="AC11" s="1"/>
    </row>
    <row r="12" spans="1:29" ht="24.6" customHeight="1">
      <c r="A12" s="340"/>
      <c r="B12" s="340"/>
      <c r="C12" s="340"/>
      <c r="D12" s="340"/>
      <c r="E12" s="340"/>
      <c r="F12" s="340"/>
      <c r="G12" s="341"/>
      <c r="H12" s="342"/>
      <c r="I12" s="340"/>
      <c r="J12" s="340"/>
      <c r="K12" s="340"/>
      <c r="L12" s="340"/>
      <c r="M12" s="340"/>
      <c r="N12" s="341"/>
      <c r="O12" s="343"/>
      <c r="P12" s="344"/>
      <c r="Q12" s="344"/>
      <c r="R12" s="344"/>
      <c r="S12" s="344"/>
      <c r="T12" s="344"/>
      <c r="U12" s="345"/>
      <c r="V12" s="463"/>
      <c r="W12" s="464"/>
      <c r="X12" s="464"/>
      <c r="Y12" s="464"/>
      <c r="Z12" s="464"/>
      <c r="AA12" s="464"/>
      <c r="AB12" s="465"/>
      <c r="AC12" s="1"/>
    </row>
    <row r="13" spans="1:29" ht="24.6" customHeight="1">
      <c r="A13" s="346"/>
      <c r="B13" s="346"/>
      <c r="C13" s="346"/>
      <c r="D13" s="346"/>
      <c r="E13" s="346"/>
      <c r="F13" s="346"/>
      <c r="G13" s="347"/>
      <c r="H13" s="348"/>
      <c r="I13" s="346"/>
      <c r="J13" s="346"/>
      <c r="K13" s="346"/>
      <c r="L13" s="346"/>
      <c r="M13" s="346"/>
      <c r="N13" s="347"/>
      <c r="O13" s="349"/>
      <c r="P13" s="350"/>
      <c r="Q13" s="350"/>
      <c r="R13" s="350"/>
      <c r="S13" s="350"/>
      <c r="T13" s="350"/>
      <c r="U13" s="351"/>
      <c r="V13" s="466"/>
      <c r="W13" s="467"/>
      <c r="X13" s="467"/>
      <c r="Y13" s="467"/>
      <c r="Z13" s="467"/>
      <c r="AA13" s="467"/>
      <c r="AB13" s="468"/>
      <c r="AC13" s="1"/>
    </row>
    <row r="14" spans="1:29" ht="15.6">
      <c r="A14" s="352"/>
      <c r="B14" s="352"/>
      <c r="C14" s="352"/>
      <c r="D14" s="352"/>
      <c r="E14" s="352"/>
      <c r="F14" s="352"/>
      <c r="G14" s="352"/>
      <c r="H14" s="352"/>
      <c r="I14" s="352"/>
      <c r="J14" s="352"/>
      <c r="K14" s="352"/>
      <c r="L14" s="352"/>
      <c r="M14" s="352"/>
      <c r="N14" s="352"/>
      <c r="O14" s="353"/>
      <c r="P14" s="353"/>
      <c r="Q14" s="353"/>
      <c r="R14" s="353"/>
      <c r="S14" s="353"/>
      <c r="T14" s="353"/>
      <c r="U14" s="353"/>
      <c r="V14" s="379"/>
      <c r="W14" s="353"/>
      <c r="X14" s="353"/>
      <c r="Y14" s="353"/>
      <c r="Z14" s="353"/>
      <c r="AA14" s="353"/>
      <c r="AB14" s="353"/>
      <c r="AC14" s="1"/>
    </row>
    <row r="15" spans="1:29" s="71" customFormat="1" ht="24.6" customHeight="1">
      <c r="A15" s="324" t="s">
        <v>936</v>
      </c>
      <c r="B15" s="325"/>
      <c r="C15" s="325"/>
      <c r="D15" s="325"/>
      <c r="E15" s="325"/>
      <c r="F15" s="325"/>
      <c r="G15" s="326"/>
      <c r="H15" s="324" t="s">
        <v>973</v>
      </c>
      <c r="I15" s="325"/>
      <c r="J15" s="325"/>
      <c r="K15" s="325"/>
      <c r="L15" s="325"/>
      <c r="M15" s="325"/>
      <c r="N15" s="325"/>
      <c r="O15" s="324" t="s">
        <v>1281</v>
      </c>
      <c r="P15" s="325"/>
      <c r="Q15" s="325"/>
      <c r="R15" s="325"/>
      <c r="S15" s="325"/>
      <c r="T15" s="325"/>
      <c r="U15" s="326"/>
      <c r="V15" s="324" t="s">
        <v>441</v>
      </c>
      <c r="W15" s="325"/>
      <c r="X15" s="325"/>
      <c r="Y15" s="325"/>
      <c r="Z15" s="325"/>
      <c r="AA15" s="325"/>
      <c r="AB15" s="326"/>
      <c r="AC15" s="327"/>
    </row>
    <row r="16" spans="1:29" ht="15.6">
      <c r="A16" s="376" t="s">
        <v>1279</v>
      </c>
      <c r="B16" s="377"/>
      <c r="C16" s="377"/>
      <c r="D16" s="377"/>
      <c r="E16" s="377"/>
      <c r="F16" s="377"/>
      <c r="G16" s="378"/>
      <c r="H16" s="376" t="s">
        <v>1280</v>
      </c>
      <c r="I16" s="377"/>
      <c r="J16" s="377"/>
      <c r="K16" s="377"/>
      <c r="L16" s="377"/>
      <c r="M16" s="377"/>
      <c r="N16" s="437"/>
      <c r="O16" s="376" t="s">
        <v>1282</v>
      </c>
      <c r="P16" s="437"/>
      <c r="Q16" s="437"/>
      <c r="R16" s="437"/>
      <c r="S16" s="437"/>
      <c r="T16" s="437"/>
      <c r="U16" s="378"/>
      <c r="V16" s="376" t="s">
        <v>1283</v>
      </c>
      <c r="W16" s="377"/>
      <c r="X16" s="377"/>
      <c r="Y16" s="377"/>
      <c r="Z16" s="377"/>
      <c r="AA16" s="377"/>
      <c r="AB16" s="378"/>
      <c r="AC16" s="1"/>
    </row>
    <row r="17" spans="1:85" ht="24.6" customHeight="1">
      <c r="A17" s="354">
        <f>+'7. P&amp;L + cash'!AA37</f>
        <v>0.73694967780662013</v>
      </c>
      <c r="B17" s="355"/>
      <c r="C17" s="355"/>
      <c r="D17" s="355"/>
      <c r="E17" s="355"/>
      <c r="F17" s="355"/>
      <c r="G17" s="356"/>
      <c r="H17" s="357">
        <f>+'6. Unit Economics'!Y61</f>
        <v>10.547331421849993</v>
      </c>
      <c r="I17" s="358"/>
      <c r="J17" s="358"/>
      <c r="K17" s="358"/>
      <c r="L17" s="358"/>
      <c r="M17" s="358"/>
      <c r="N17" s="438"/>
      <c r="O17" s="359">
        <f>+'4. Headcount'!AA64</f>
        <v>13</v>
      </c>
      <c r="P17" s="439"/>
      <c r="Q17" s="439"/>
      <c r="R17" s="439"/>
      <c r="S17" s="439"/>
      <c r="T17" s="439"/>
      <c r="U17" s="360"/>
      <c r="V17" s="361" t="str">
        <f>IF(Z7&lt;6,"RED",IF(Z7&lt;=12,"AMBER","GREEN"))</f>
        <v>GREEN</v>
      </c>
      <c r="W17" s="362"/>
      <c r="X17" s="362"/>
      <c r="Y17" s="362"/>
      <c r="Z17" s="429" t="str" cm="1">
        <f t="array" ref="Z17">_xlfn.SWITCH(V17,"GREEN","Safe: no fundraising action needed","AMBER","Start investor conversations","RED","Raise now","")</f>
        <v>Safe: no fundraising action needed</v>
      </c>
      <c r="AA17" s="429"/>
      <c r="AB17" s="430"/>
      <c r="AC17" s="1"/>
    </row>
    <row r="18" spans="1:85" ht="24.6" customHeight="1">
      <c r="A18" s="354"/>
      <c r="B18" s="355"/>
      <c r="C18" s="355"/>
      <c r="D18" s="355"/>
      <c r="E18" s="355"/>
      <c r="F18" s="355"/>
      <c r="G18" s="356"/>
      <c r="H18" s="357"/>
      <c r="I18" s="358"/>
      <c r="J18" s="358"/>
      <c r="K18" s="358"/>
      <c r="L18" s="358"/>
      <c r="M18" s="358"/>
      <c r="N18" s="438"/>
      <c r="O18" s="359"/>
      <c r="P18" s="439"/>
      <c r="Q18" s="439"/>
      <c r="R18" s="439"/>
      <c r="S18" s="439"/>
      <c r="T18" s="439"/>
      <c r="U18" s="360"/>
      <c r="V18" s="361"/>
      <c r="W18" s="362"/>
      <c r="X18" s="362"/>
      <c r="Y18" s="362"/>
      <c r="Z18" s="429"/>
      <c r="AA18" s="429"/>
      <c r="AB18" s="430"/>
      <c r="AC18" s="1"/>
    </row>
    <row r="19" spans="1:85" ht="24.6" customHeight="1">
      <c r="A19" s="354"/>
      <c r="B19" s="355"/>
      <c r="C19" s="355"/>
      <c r="D19" s="355"/>
      <c r="E19" s="355"/>
      <c r="F19" s="355"/>
      <c r="G19" s="356"/>
      <c r="H19" s="357"/>
      <c r="I19" s="358"/>
      <c r="J19" s="358"/>
      <c r="K19" s="358"/>
      <c r="L19" s="358"/>
      <c r="M19" s="358"/>
      <c r="N19" s="438"/>
      <c r="O19" s="359"/>
      <c r="P19" s="439"/>
      <c r="Q19" s="439"/>
      <c r="R19" s="439"/>
      <c r="S19" s="439"/>
      <c r="T19" s="439"/>
      <c r="U19" s="360"/>
      <c r="V19" s="361"/>
      <c r="W19" s="362"/>
      <c r="X19" s="362"/>
      <c r="Y19" s="362"/>
      <c r="Z19" s="429"/>
      <c r="AA19" s="429"/>
      <c r="AB19" s="430"/>
      <c r="AC19" s="1"/>
    </row>
    <row r="20" spans="1:85" ht="24.6" customHeight="1">
      <c r="A20" s="459"/>
      <c r="B20" s="459"/>
      <c r="C20" s="459"/>
      <c r="D20" s="459"/>
      <c r="E20" s="459"/>
      <c r="F20" s="459"/>
      <c r="G20" s="460"/>
      <c r="H20" s="363"/>
      <c r="I20" s="364"/>
      <c r="J20" s="364"/>
      <c r="K20" s="364"/>
      <c r="L20" s="364"/>
      <c r="M20" s="364"/>
      <c r="N20" s="434"/>
      <c r="O20" s="440" t="s">
        <v>399</v>
      </c>
      <c r="P20" s="435"/>
      <c r="Q20" s="435"/>
      <c r="R20" s="436">
        <f>+'4. Headcount'!AA59</f>
        <v>5</v>
      </c>
      <c r="S20" s="441"/>
      <c r="T20" s="441"/>
      <c r="U20" s="97"/>
      <c r="V20" s="342"/>
      <c r="W20" s="340"/>
      <c r="X20" s="340"/>
      <c r="Y20" s="340"/>
      <c r="Z20" s="340"/>
      <c r="AA20" s="340"/>
      <c r="AB20" s="341"/>
      <c r="AC20" s="1"/>
    </row>
    <row r="21" spans="1:85" ht="24.6" customHeight="1">
      <c r="A21" s="459"/>
      <c r="B21" s="459"/>
      <c r="C21" s="459"/>
      <c r="D21" s="459"/>
      <c r="E21" s="459"/>
      <c r="F21" s="459"/>
      <c r="G21" s="460"/>
      <c r="H21" s="363"/>
      <c r="I21" s="364"/>
      <c r="J21" s="364"/>
      <c r="K21" s="364"/>
      <c r="L21" s="364"/>
      <c r="M21" s="364"/>
      <c r="N21" s="434"/>
      <c r="O21" s="440" t="s">
        <v>395</v>
      </c>
      <c r="P21" s="435"/>
      <c r="Q21" s="435"/>
      <c r="R21" s="436">
        <f>+'4. Headcount'!AA60</f>
        <v>4</v>
      </c>
      <c r="S21" s="441"/>
      <c r="T21" s="441"/>
      <c r="U21" s="97"/>
      <c r="V21" s="342"/>
      <c r="W21" s="340"/>
      <c r="X21" s="340"/>
      <c r="Y21" s="340"/>
      <c r="Z21" s="340"/>
      <c r="AA21" s="340"/>
      <c r="AB21" s="341"/>
      <c r="AC21" s="1"/>
    </row>
    <row r="22" spans="1:85" ht="24.6" customHeight="1">
      <c r="A22" s="459"/>
      <c r="B22" s="459"/>
      <c r="C22" s="459"/>
      <c r="D22" s="459"/>
      <c r="E22" s="459"/>
      <c r="F22" s="459"/>
      <c r="G22" s="460"/>
      <c r="H22" s="363"/>
      <c r="I22" s="364"/>
      <c r="J22" s="364"/>
      <c r="K22" s="364"/>
      <c r="L22" s="364"/>
      <c r="M22" s="364"/>
      <c r="N22" s="434"/>
      <c r="O22" s="440" t="s">
        <v>8</v>
      </c>
      <c r="P22" s="435"/>
      <c r="Q22" s="435"/>
      <c r="R22" s="436">
        <f>+'4. Headcount'!AA61</f>
        <v>2</v>
      </c>
      <c r="S22" s="441"/>
      <c r="T22" s="441"/>
      <c r="U22" s="97"/>
      <c r="V22" s="342"/>
      <c r="W22" s="340"/>
      <c r="X22" s="340"/>
      <c r="Y22" s="340"/>
      <c r="Z22" s="340"/>
      <c r="AA22" s="340"/>
      <c r="AB22" s="341"/>
      <c r="AC22" s="1"/>
    </row>
    <row r="23" spans="1:85" ht="24.6" customHeight="1">
      <c r="A23" s="461"/>
      <c r="B23" s="461"/>
      <c r="C23" s="461"/>
      <c r="D23" s="461"/>
      <c r="E23" s="461"/>
      <c r="F23" s="461"/>
      <c r="G23" s="462"/>
      <c r="H23" s="365"/>
      <c r="I23" s="366"/>
      <c r="J23" s="366"/>
      <c r="K23" s="366"/>
      <c r="L23" s="366"/>
      <c r="M23" s="366"/>
      <c r="N23" s="366"/>
      <c r="O23" s="442" t="s">
        <v>1327</v>
      </c>
      <c r="P23" s="443"/>
      <c r="Q23" s="443"/>
      <c r="R23" s="444">
        <f>+'4. Headcount'!AA62</f>
        <v>2</v>
      </c>
      <c r="S23" s="98"/>
      <c r="T23" s="98"/>
      <c r="U23" s="99"/>
      <c r="V23" s="348"/>
      <c r="W23" s="346"/>
      <c r="X23" s="346"/>
      <c r="Y23" s="346"/>
      <c r="Z23" s="346"/>
      <c r="AA23" s="346"/>
      <c r="AB23" s="347"/>
      <c r="AC23" s="1"/>
    </row>
    <row r="24" spans="1:8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8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85" s="71" customFormat="1" ht="24.6" customHeight="1">
      <c r="A26" s="324" t="s">
        <v>1296</v>
      </c>
      <c r="B26" s="325"/>
      <c r="C26" s="325"/>
      <c r="D26" s="325"/>
      <c r="E26" s="325"/>
      <c r="F26" s="325"/>
      <c r="G26" s="367"/>
      <c r="H26" s="453"/>
      <c r="I26" s="454" t="s">
        <v>1325</v>
      </c>
      <c r="J26" s="454"/>
      <c r="K26" s="454"/>
      <c r="L26" s="455"/>
      <c r="M26" s="456"/>
      <c r="N26" s="451"/>
      <c r="O26" s="325" t="s">
        <v>1286</v>
      </c>
      <c r="P26" s="325"/>
      <c r="Q26" s="325"/>
      <c r="R26" s="325"/>
      <c r="S26" s="325"/>
      <c r="T26" s="452"/>
      <c r="U26" s="451"/>
      <c r="V26" s="325" t="s">
        <v>1288</v>
      </c>
      <c r="W26" s="325"/>
      <c r="X26" s="325"/>
      <c r="Y26" s="325"/>
      <c r="Z26" s="325"/>
      <c r="AA26" s="325"/>
      <c r="AB26" s="326"/>
      <c r="AC26" s="327"/>
      <c r="BF26" s="89" t="s">
        <v>1296</v>
      </c>
      <c r="BG26" s="90"/>
      <c r="BH26" s="90"/>
      <c r="BI26" s="90"/>
      <c r="BJ26" s="90"/>
      <c r="BK26" s="90"/>
      <c r="BL26" s="72"/>
      <c r="BN26" s="89" t="s">
        <v>1296</v>
      </c>
      <c r="BO26" s="90"/>
      <c r="BP26" s="90"/>
      <c r="BQ26" s="80"/>
      <c r="BR26" s="80"/>
      <c r="BT26" s="87" t="s">
        <v>1286</v>
      </c>
      <c r="BU26" s="87"/>
      <c r="BV26" s="87"/>
      <c r="BW26" s="87"/>
      <c r="BX26" s="87"/>
      <c r="CA26" s="87" t="s">
        <v>1288</v>
      </c>
      <c r="CB26" s="87"/>
      <c r="CC26" s="87"/>
      <c r="CD26" s="87"/>
      <c r="CE26" s="87"/>
      <c r="CF26" s="87"/>
      <c r="CG26" s="88"/>
    </row>
    <row r="27" spans="1:85">
      <c r="A27" s="445"/>
      <c r="B27" s="446"/>
      <c r="C27" s="446"/>
      <c r="D27" s="446"/>
      <c r="E27" s="446"/>
      <c r="F27" s="446"/>
      <c r="G27" s="447"/>
      <c r="H27" s="445"/>
      <c r="I27" s="446"/>
      <c r="J27" s="446"/>
      <c r="K27" s="446"/>
      <c r="L27" s="446"/>
      <c r="M27" s="447"/>
      <c r="N27" s="445"/>
      <c r="O27" s="446"/>
      <c r="P27" s="446"/>
      <c r="Q27" s="446"/>
      <c r="R27" s="446"/>
      <c r="S27" s="446"/>
      <c r="T27" s="447"/>
      <c r="U27" s="445"/>
      <c r="V27" s="446"/>
      <c r="W27" s="446"/>
      <c r="X27" s="446"/>
      <c r="Y27" s="446"/>
      <c r="Z27" s="446"/>
      <c r="AA27" s="446"/>
      <c r="AB27" s="447"/>
      <c r="AC27" s="1"/>
      <c r="BF27" s="91" t="s">
        <v>1285</v>
      </c>
      <c r="BG27" s="92"/>
      <c r="BH27" s="92"/>
      <c r="BI27" s="92"/>
      <c r="BJ27" s="92"/>
      <c r="BK27" s="92"/>
      <c r="BL27" s="68"/>
      <c r="BN27" s="68" t="s">
        <v>1284</v>
      </c>
      <c r="BO27" s="68"/>
      <c r="BP27" s="68"/>
      <c r="BQ27" s="68"/>
      <c r="BT27" s="68" t="s">
        <v>1287</v>
      </c>
      <c r="BV27" s="68"/>
      <c r="BW27" s="68"/>
      <c r="CA27" s="68" t="s">
        <v>1289</v>
      </c>
      <c r="CD27" s="68"/>
      <c r="CE27" s="68"/>
      <c r="CF27" s="68"/>
      <c r="CG27" s="68"/>
    </row>
    <row r="28" spans="1:85">
      <c r="A28" s="445"/>
      <c r="B28" s="446"/>
      <c r="C28" s="446"/>
      <c r="D28" s="446"/>
      <c r="E28" s="446"/>
      <c r="F28" s="446"/>
      <c r="G28" s="447"/>
      <c r="H28" s="445"/>
      <c r="I28" s="446"/>
      <c r="J28" s="446"/>
      <c r="K28" s="446"/>
      <c r="L28" s="446"/>
      <c r="M28" s="447"/>
      <c r="N28" s="445"/>
      <c r="O28" s="446"/>
      <c r="P28" s="446"/>
      <c r="Q28" s="446"/>
      <c r="R28" s="446"/>
      <c r="S28" s="446"/>
      <c r="T28" s="447"/>
      <c r="U28" s="445"/>
      <c r="V28" s="446"/>
      <c r="W28" s="446"/>
      <c r="X28" s="446"/>
      <c r="Y28" s="446"/>
      <c r="Z28" s="446"/>
      <c r="AA28" s="446"/>
      <c r="AB28" s="447"/>
      <c r="AC28" s="1"/>
      <c r="BF28" s="73" t="s">
        <v>159</v>
      </c>
      <c r="BG28" s="73" t="s">
        <v>761</v>
      </c>
      <c r="BH28" s="73" t="s">
        <v>223</v>
      </c>
      <c r="BI28" s="73" t="s">
        <v>1290</v>
      </c>
      <c r="BJ28" s="73" t="s">
        <v>1291</v>
      </c>
      <c r="BK28" s="73" t="s">
        <v>1292</v>
      </c>
      <c r="BN28" s="73" t="s">
        <v>159</v>
      </c>
      <c r="BO28" s="73" t="s">
        <v>1086</v>
      </c>
      <c r="BP28" s="73" t="s">
        <v>1293</v>
      </c>
      <c r="BU28" s="74" t="s">
        <v>159</v>
      </c>
      <c r="BV28" s="74" t="s">
        <v>973</v>
      </c>
      <c r="BW28" s="74" t="s">
        <v>1294</v>
      </c>
      <c r="CB28" s="73" t="s">
        <v>159</v>
      </c>
      <c r="CC28" s="73" t="s">
        <v>936</v>
      </c>
      <c r="CD28" s="73" t="s">
        <v>1295</v>
      </c>
    </row>
    <row r="29" spans="1:85">
      <c r="A29" s="445"/>
      <c r="B29" s="446"/>
      <c r="C29" s="446"/>
      <c r="D29" s="446"/>
      <c r="E29" s="446"/>
      <c r="F29" s="446"/>
      <c r="G29" s="447"/>
      <c r="H29" s="445"/>
      <c r="I29" s="446"/>
      <c r="J29" s="446"/>
      <c r="K29" s="446"/>
      <c r="L29" s="446"/>
      <c r="M29" s="447"/>
      <c r="N29" s="445"/>
      <c r="O29" s="446"/>
      <c r="P29" s="446"/>
      <c r="Q29" s="446"/>
      <c r="R29" s="446"/>
      <c r="S29" s="446"/>
      <c r="T29" s="447"/>
      <c r="U29" s="445"/>
      <c r="V29" s="446"/>
      <c r="W29" s="446"/>
      <c r="X29" s="446"/>
      <c r="Y29" s="446"/>
      <c r="Z29" s="446"/>
      <c r="AA29" s="446"/>
      <c r="AB29" s="447"/>
      <c r="AC29" s="1"/>
      <c r="BF29" s="74">
        <f>ROWS($BF$29:BF29)</f>
        <v>1</v>
      </c>
      <c r="BG29" s="75" cm="1">
        <f t="array" ref="BG29">(INDEX('7. P&amp;L + cash'!$D$20:$AA$20,1,$BF29)+INDEX('3. Revenue Model'!$D$64:$AA$64,1,$BF29))*12</f>
        <v>30672</v>
      </c>
      <c r="BH29" s="75" cm="1">
        <f t="array" ref="BH29">INDEX('7. P&amp;L + cash'!$D$21:$AA$21,1,$BF29)*12</f>
        <v>9630</v>
      </c>
      <c r="BI29" s="75" cm="1">
        <f t="array" ref="BI29">-INDEX('7. P&amp;L + cash'!$D$23:$AA$23,1,$BF29)*12</f>
        <v>0</v>
      </c>
      <c r="BJ29" s="75" cm="1">
        <f t="array" ref="BJ29">-INDEX('7. P&amp;L + cash'!$D$22:$AA$22,1,$BF29)*12</f>
        <v>-4982.3999999999996</v>
      </c>
      <c r="BK29" s="76" cm="1">
        <f t="array" ref="BK29">INDEX('7. P&amp;L + cash'!$D$24:$AA$24,1,$BF29)*12</f>
        <v>35319.600000000006</v>
      </c>
      <c r="BN29" s="74">
        <f>ROWS($BN$29:BN29)</f>
        <v>1</v>
      </c>
      <c r="BO29" s="76" cm="1">
        <f t="array" ref="BO29">INDEX('7. P&amp;L + cash'!$D$84:$AA$84,1,$BN29)</f>
        <v>1512335.4621166666</v>
      </c>
      <c r="BP29" s="77" cm="1">
        <f t="array" ref="BP29">MAX(0,INDEX('7. P&amp;L + cash'!$D$81:$AA$81,1,$BN29)*6)</f>
        <v>0</v>
      </c>
      <c r="BU29" s="74">
        <f>ROWS($BU$29:BU29)</f>
        <v>1</v>
      </c>
      <c r="BV29" s="78" cm="1">
        <f t="array" ref="BV29">INDEX('6. Unit Economics'!$B$61:$Y$61,1,$BU29)</f>
        <v>8.6246530145934965</v>
      </c>
      <c r="BW29" s="78">
        <f>'1. Assumptions'!$G$109</f>
        <v>12</v>
      </c>
      <c r="CB29" s="74">
        <f>ROWS($CB$29:CB29)</f>
        <v>1</v>
      </c>
      <c r="CC29" s="79" cm="1">
        <f t="array" ref="CC29">INDEX('7. P&amp;L + cash'!$D$37:$AA$37,1,$CB29)</f>
        <v>0.81985908490822779</v>
      </c>
      <c r="CD29" s="79">
        <f>'1. Assumptions'!$G$92</f>
        <v>0.74</v>
      </c>
    </row>
    <row r="30" spans="1:85">
      <c r="A30" s="445"/>
      <c r="B30" s="446"/>
      <c r="C30" s="446"/>
      <c r="D30" s="446"/>
      <c r="E30" s="446"/>
      <c r="F30" s="446"/>
      <c r="G30" s="447"/>
      <c r="H30" s="445"/>
      <c r="I30" s="446"/>
      <c r="J30" s="446"/>
      <c r="K30" s="446"/>
      <c r="L30" s="446"/>
      <c r="M30" s="447"/>
      <c r="N30" s="445"/>
      <c r="O30" s="446"/>
      <c r="P30" s="446"/>
      <c r="Q30" s="446"/>
      <c r="R30" s="446"/>
      <c r="S30" s="446"/>
      <c r="T30" s="447"/>
      <c r="U30" s="445"/>
      <c r="V30" s="446"/>
      <c r="W30" s="446"/>
      <c r="X30" s="446"/>
      <c r="Y30" s="446"/>
      <c r="Z30" s="446"/>
      <c r="AA30" s="446"/>
      <c r="AB30" s="447"/>
      <c r="AC30" s="1"/>
      <c r="BF30" s="74">
        <f>ROWS($BF$29:BF30)</f>
        <v>2</v>
      </c>
      <c r="BG30" s="75" cm="1">
        <f t="array" ref="BG30">(INDEX('7. P&amp;L + cash'!$D$20:$AA$20,1,$BF30)+INDEX('3. Revenue Model'!$D$64:$AA$64,1,$BF30))*12</f>
        <v>31125.600000000002</v>
      </c>
      <c r="BH30" s="75" cm="1">
        <f t="array" ref="BH30">INDEX('7. P&amp;L + cash'!$D$21:$AA$21,1,$BF30)*12</f>
        <v>10574.925000000001</v>
      </c>
      <c r="BI30" s="75" cm="1">
        <f t="array" ref="BI30">-INDEX('7. P&amp;L + cash'!$D$23:$AA$23,1,$BF30)*12</f>
        <v>-16372.076667804589</v>
      </c>
      <c r="BJ30" s="75" cm="1">
        <f t="array" ref="BJ30">-INDEX('7. P&amp;L + cash'!$D$22:$AA$22,1,$BF30)*12</f>
        <v>-5335.5960000000005</v>
      </c>
      <c r="BK30" s="76" cm="1">
        <f t="array" ref="BK30">INDEX('7. P&amp;L + cash'!$D$24:$AA$24,1,$BF30)*12</f>
        <v>19992.852332195413</v>
      </c>
      <c r="BN30" s="74">
        <f>ROWS($BN$29:BN30)</f>
        <v>2</v>
      </c>
      <c r="BO30" s="76" cm="1">
        <f t="array" ref="BO30">INDEX('7. P&amp;L + cash'!$D$84:$AA$84,1,$BN30)</f>
        <v>1508196.7243334583</v>
      </c>
      <c r="BP30" s="76" cm="1">
        <f t="array" ref="BP30">MAX(0,INDEX('7. P&amp;L + cash'!$D$81:$AA$81,1,$BN30)*6)</f>
        <v>24832.42669925002</v>
      </c>
      <c r="BU30" s="74">
        <f>ROWS($BU$29:BU30)</f>
        <v>2</v>
      </c>
      <c r="BV30" s="78" cm="1">
        <f t="array" ref="BV30">INDEX('6. Unit Economics'!$B$61:$Y$61,1,$BU30)</f>
        <v>8.8190809319648391</v>
      </c>
      <c r="BW30" s="78">
        <f>'1. Assumptions'!$G$109</f>
        <v>12</v>
      </c>
      <c r="CB30" s="74">
        <f>ROWS($CB$29:CB30)</f>
        <v>2</v>
      </c>
      <c r="CC30" s="79" cm="1">
        <f t="array" ref="CC30">INDEX('7. P&amp;L + cash'!$D$37:$AA$37,1,$CB30)</f>
        <v>0.82012327456166512</v>
      </c>
      <c r="CD30" s="79">
        <f>'1. Assumptions'!$G$92</f>
        <v>0.74</v>
      </c>
    </row>
    <row r="31" spans="1:85">
      <c r="A31" s="445"/>
      <c r="B31" s="446"/>
      <c r="C31" s="446"/>
      <c r="D31" s="446"/>
      <c r="E31" s="446"/>
      <c r="F31" s="446"/>
      <c r="G31" s="447"/>
      <c r="H31" s="445"/>
      <c r="I31" s="446"/>
      <c r="J31" s="446"/>
      <c r="K31" s="446"/>
      <c r="L31" s="446"/>
      <c r="M31" s="447"/>
      <c r="N31" s="445"/>
      <c r="O31" s="446"/>
      <c r="P31" s="446"/>
      <c r="Q31" s="446"/>
      <c r="R31" s="446"/>
      <c r="S31" s="446"/>
      <c r="T31" s="447"/>
      <c r="U31" s="445"/>
      <c r="V31" s="446"/>
      <c r="W31" s="446"/>
      <c r="X31" s="446"/>
      <c r="Y31" s="446"/>
      <c r="Z31" s="446"/>
      <c r="AA31" s="446"/>
      <c r="AB31" s="447"/>
      <c r="AC31" s="1"/>
      <c r="BF31" s="74">
        <f>ROWS($BF$29:BF31)</f>
        <v>3</v>
      </c>
      <c r="BG31" s="75" cm="1">
        <f t="array" ref="BG31">(INDEX('7. P&amp;L + cash'!$D$20:$AA$20,1,$BF31)+INDEX('3. Revenue Model'!$D$64:$AA$64,1,$BF31))*12</f>
        <v>32096.404800000004</v>
      </c>
      <c r="BH31" s="75" cm="1">
        <f t="array" ref="BH31">INDEX('7. P&amp;L + cash'!$D$21:$AA$21,1,$BF31)*12</f>
        <v>11129.634562499999</v>
      </c>
      <c r="BI31" s="75" cm="1">
        <f t="array" ref="BI31">-INDEX('7. P&amp;L + cash'!$D$23:$AA$23,1,$BF31)*12</f>
        <v>-17141.796817168</v>
      </c>
      <c r="BJ31" s="75" cm="1">
        <f t="array" ref="BJ31">-INDEX('7. P&amp;L + cash'!$D$22:$AA$22,1,$BF31)*12</f>
        <v>-5535.5245233219548</v>
      </c>
      <c r="BK31" s="76" cm="1">
        <f t="array" ref="BK31">INDEX('7. P&amp;L + cash'!$D$24:$AA$24,1,$BF31)*12</f>
        <v>20548.718022010045</v>
      </c>
      <c r="BN31" s="74">
        <f>ROWS($BN$29:BN31)</f>
        <v>3</v>
      </c>
      <c r="BO31" s="76" cm="1">
        <f t="array" ref="BO31">INDEX('7. P&amp;L + cash'!$D$84:$AA$84,1,$BN31)</f>
        <v>1490023.7528328798</v>
      </c>
      <c r="BP31" s="76" cm="1">
        <f t="array" ref="BP31">MAX(0,INDEX('7. P&amp;L + cash'!$D$81:$AA$81,1,$BN31)*6)</f>
        <v>109037.82900347142</v>
      </c>
      <c r="BU31" s="74">
        <f>ROWS($BU$29:BU31)</f>
        <v>3</v>
      </c>
      <c r="BV31" s="78" cm="1">
        <f t="array" ref="BV31">INDEX('6. Unit Economics'!$B$61:$Y$61,1,$BU31)</f>
        <v>8.975294022107386</v>
      </c>
      <c r="BW31" s="78">
        <f>'1. Assumptions'!$G$109</f>
        <v>12</v>
      </c>
      <c r="CB31" s="74">
        <f>ROWS($CB$29:CB31)</f>
        <v>3</v>
      </c>
      <c r="CC31" s="79" cm="1">
        <f t="array" ref="CC31">INDEX('7. P&amp;L + cash'!$D$37:$AA$37,1,$CB31)</f>
        <v>0.82048996233543603</v>
      </c>
      <c r="CD31" s="79">
        <f>'1. Assumptions'!$G$92</f>
        <v>0.74</v>
      </c>
    </row>
    <row r="32" spans="1:85">
      <c r="A32" s="445"/>
      <c r="B32" s="446"/>
      <c r="C32" s="446"/>
      <c r="D32" s="446"/>
      <c r="E32" s="446"/>
      <c r="F32" s="446"/>
      <c r="G32" s="447"/>
      <c r="H32" s="445"/>
      <c r="I32" s="446"/>
      <c r="J32" s="446"/>
      <c r="K32" s="446"/>
      <c r="L32" s="446"/>
      <c r="M32" s="447"/>
      <c r="N32" s="445"/>
      <c r="O32" s="446"/>
      <c r="P32" s="446"/>
      <c r="Q32" s="446"/>
      <c r="R32" s="446"/>
      <c r="S32" s="446"/>
      <c r="T32" s="447"/>
      <c r="U32" s="445"/>
      <c r="V32" s="446"/>
      <c r="W32" s="446"/>
      <c r="X32" s="446"/>
      <c r="Y32" s="446"/>
      <c r="Z32" s="446"/>
      <c r="AA32" s="446"/>
      <c r="AB32" s="447"/>
      <c r="AC32" s="1"/>
      <c r="BF32" s="74">
        <f>ROWS($BF$29:BF32)</f>
        <v>4</v>
      </c>
      <c r="BG32" s="75" cm="1">
        <f t="array" ref="BG32">(INDEX('7. P&amp;L + cash'!$D$20:$AA$20,1,$BF32)+INDEX('3. Revenue Model'!$D$64:$AA$64,1,$BF32))*12</f>
        <v>33525.108720000004</v>
      </c>
      <c r="BH32" s="75" cm="1">
        <f t="array" ref="BH32">INDEX('7. P&amp;L + cash'!$D$21:$AA$21,1,$BF32)*12</f>
        <v>11680.755412031251</v>
      </c>
      <c r="BI32" s="75" cm="1">
        <f t="array" ref="BI32">-INDEX('7. P&amp;L + cash'!$D$23:$AA$23,1,$BF32)*12</f>
        <v>-17925.747814021193</v>
      </c>
      <c r="BJ32" s="75" cm="1">
        <f t="array" ref="BJ32">-INDEX('7. P&amp;L + cash'!$D$22:$AA$22,1,$BF32)*12</f>
        <v>-5741.0117035420562</v>
      </c>
      <c r="BK32" s="76" cm="1">
        <f t="array" ref="BK32">INDEX('7. P&amp;L + cash'!$D$24:$AA$24,1,$BF32)*12</f>
        <v>21539.104614468008</v>
      </c>
      <c r="BN32" s="74">
        <f>ROWS($BN$29:BN32)</f>
        <v>4</v>
      </c>
      <c r="BO32" s="76" cm="1">
        <f t="array" ref="BO32">INDEX('7. P&amp;L + cash'!$D$84:$AA$84,1,$BN32)</f>
        <v>1457902.0742307885</v>
      </c>
      <c r="BP32" s="76" cm="1">
        <f t="array" ref="BP32">MAX(0,INDEX('7. P&amp;L + cash'!$D$81:$AA$81,1,$BN32)*6)</f>
        <v>192730.0716125477</v>
      </c>
      <c r="BU32" s="74">
        <f>ROWS($BU$29:BU32)</f>
        <v>4</v>
      </c>
      <c r="BV32" s="78" cm="1">
        <f t="array" ref="BV32">INDEX('6. Unit Economics'!$B$61:$Y$61,1,$BU32)</f>
        <v>9.1004172415383415</v>
      </c>
      <c r="BW32" s="78">
        <f>'1. Assumptions'!$G$109</f>
        <v>12</v>
      </c>
      <c r="CB32" s="74">
        <f>ROWS($CB$29:CB32)</f>
        <v>4</v>
      </c>
      <c r="CC32" s="79" cm="1">
        <f t="array" ref="CC32">INDEX('7. P&amp;L + cash'!$D$37:$AA$37,1,$CB32)</f>
        <v>0.82092287250609863</v>
      </c>
      <c r="CD32" s="79">
        <f>'1. Assumptions'!$G$92</f>
        <v>0.74</v>
      </c>
    </row>
    <row r="33" spans="1:82">
      <c r="A33" s="445"/>
      <c r="B33" s="446"/>
      <c r="C33" s="446"/>
      <c r="D33" s="446"/>
      <c r="E33" s="446"/>
      <c r="F33" s="446"/>
      <c r="G33" s="447"/>
      <c r="H33" s="445"/>
      <c r="I33" s="446"/>
      <c r="J33" s="446"/>
      <c r="K33" s="446"/>
      <c r="L33" s="446"/>
      <c r="M33" s="447"/>
      <c r="N33" s="445"/>
      <c r="O33" s="446"/>
      <c r="P33" s="446"/>
      <c r="Q33" s="446"/>
      <c r="R33" s="446"/>
      <c r="S33" s="446"/>
      <c r="T33" s="447"/>
      <c r="U33" s="445"/>
      <c r="V33" s="446"/>
      <c r="W33" s="446"/>
      <c r="X33" s="446"/>
      <c r="Y33" s="446"/>
      <c r="Z33" s="446"/>
      <c r="AA33" s="446"/>
      <c r="AB33" s="447"/>
      <c r="AC33" s="1"/>
      <c r="BF33" s="74">
        <f>ROWS($BF$29:BF33)</f>
        <v>5</v>
      </c>
      <c r="BG33" s="75" cm="1">
        <f t="array" ref="BG33">(INDEX('7. P&amp;L + cash'!$D$20:$AA$20,1,$BF33)+INDEX('3. Revenue Model'!$D$64:$AA$64,1,$BF33))*12</f>
        <v>35370.395845920008</v>
      </c>
      <c r="BH33" s="75" cm="1">
        <f t="array" ref="BH33">INDEX('7. P&amp;L + cash'!$D$21:$AA$21,1,$BF33)*12</f>
        <v>12246.05952020039</v>
      </c>
      <c r="BI33" s="75" cm="1">
        <f t="array" ref="BI33">-INDEX('7. P&amp;L + cash'!$D$23:$AA$23,1,$BF33)*12</f>
        <v>-18741.374420849847</v>
      </c>
      <c r="BJ33" s="75" cm="1">
        <f t="array" ref="BJ33">-INDEX('7. P&amp;L + cash'!$D$22:$AA$22,1,$BF33)*12</f>
        <v>-5956.4027496867375</v>
      </c>
      <c r="BK33" s="76" cm="1">
        <f t="array" ref="BK33">INDEX('7. P&amp;L + cash'!$D$24:$AA$24,1,$BF33)*12</f>
        <v>22918.678195583816</v>
      </c>
      <c r="BN33" s="74">
        <f>ROWS($BN$29:BN33)</f>
        <v>5</v>
      </c>
      <c r="BO33" s="76" cm="1">
        <f t="array" ref="BO33">INDEX('7. P&amp;L + cash'!$D$84:$AA$84,1,$BN33)</f>
        <v>1416942.7845283854</v>
      </c>
      <c r="BP33" s="76" cm="1">
        <f t="array" ref="BP33">MAX(0,INDEX('7. P&amp;L + cash'!$D$81:$AA$81,1,$BN33)*6)</f>
        <v>245755.73821441885</v>
      </c>
      <c r="BU33" s="74">
        <f>ROWS($BU$29:BU33)</f>
        <v>5</v>
      </c>
      <c r="BV33" s="78" cm="1">
        <f t="array" ref="BV33">INDEX('6. Unit Economics'!$B$61:$Y$61,1,$BU33)</f>
        <v>9.2013772574578478</v>
      </c>
      <c r="BW33" s="78">
        <f>'1. Assumptions'!$G$109</f>
        <v>12</v>
      </c>
      <c r="CB33" s="74">
        <f>ROWS($CB$29:CB33)</f>
        <v>5</v>
      </c>
      <c r="CC33" s="79" cm="1">
        <f t="array" ref="CC33">INDEX('7. P&amp;L + cash'!$D$37:$AA$37,1,$CB33)</f>
        <v>0.82139574493609535</v>
      </c>
      <c r="CD33" s="79">
        <f>'1. Assumptions'!$G$92</f>
        <v>0.74</v>
      </c>
    </row>
    <row r="34" spans="1:82">
      <c r="A34" s="445"/>
      <c r="B34" s="446"/>
      <c r="C34" s="446"/>
      <c r="D34" s="446"/>
      <c r="E34" s="446"/>
      <c r="F34" s="446"/>
      <c r="G34" s="447"/>
      <c r="H34" s="445"/>
      <c r="I34" s="446"/>
      <c r="J34" s="446"/>
      <c r="K34" s="446"/>
      <c r="L34" s="446"/>
      <c r="M34" s="447"/>
      <c r="N34" s="445"/>
      <c r="O34" s="446"/>
      <c r="P34" s="446"/>
      <c r="Q34" s="446"/>
      <c r="R34" s="446"/>
      <c r="S34" s="446"/>
      <c r="T34" s="447"/>
      <c r="U34" s="445"/>
      <c r="V34" s="446"/>
      <c r="W34" s="446"/>
      <c r="X34" s="446"/>
      <c r="Y34" s="446"/>
      <c r="Z34" s="446"/>
      <c r="AA34" s="446"/>
      <c r="AB34" s="447"/>
      <c r="AC34" s="1"/>
      <c r="BF34" s="74">
        <f>ROWS($BF$29:BF34)</f>
        <v>6</v>
      </c>
      <c r="BG34" s="75" cm="1">
        <f t="array" ref="BG34">(INDEX('7. P&amp;L + cash'!$D$20:$AA$20,1,$BF34)+INDEX('3. Revenue Model'!$D$64:$AA$64,1,$BF34))*12</f>
        <v>44793.441153240012</v>
      </c>
      <c r="BH34" s="75" cm="1">
        <f t="array" ref="BH34">INDEX('7. P&amp;L + cash'!$D$21:$AA$21,1,$BF34)*12</f>
        <v>12840.677957774878</v>
      </c>
      <c r="BI34" s="75" cm="1">
        <f t="array" ref="BI34">-INDEX('7. P&amp;L + cash'!$D$23:$AA$23,1,$BF34)*12</f>
        <v>-19604.046820341253</v>
      </c>
      <c r="BJ34" s="75" cm="1">
        <f t="array" ref="BJ34">-INDEX('7. P&amp;L + cash'!$D$22:$AA$22,1,$BF34)*12</f>
        <v>-6185.589531642574</v>
      </c>
      <c r="BK34" s="76" cm="1">
        <f t="array" ref="BK34">INDEX('7. P&amp;L + cash'!$D$24:$AA$24,1,$BF34)*12</f>
        <v>31844.48275903106</v>
      </c>
      <c r="BN34" s="74">
        <f>ROWS($BN$29:BN34)</f>
        <v>6</v>
      </c>
      <c r="BO34" s="76" cm="1">
        <f t="array" ref="BO34">INDEX('7. P&amp;L + cash'!$D$84:$AA$84,1,$BN34)</f>
        <v>1361562.316727173</v>
      </c>
      <c r="BP34" s="76" cm="1">
        <f t="array" ref="BP34">MAX(0,INDEX('7. P&amp;L + cash'!$D$81:$AA$81,1,$BN34)*6)</f>
        <v>332282.80680727423</v>
      </c>
      <c r="BU34" s="74">
        <f>ROWS($BU$29:BU34)</f>
        <v>6</v>
      </c>
      <c r="BV34" s="78" cm="1">
        <f t="array" ref="BV34">INDEX('6. Unit Economics'!$B$61:$Y$61,1,$BU34)</f>
        <v>10.304369742330916</v>
      </c>
      <c r="BW34" s="78">
        <f>'1. Assumptions'!$G$109</f>
        <v>12</v>
      </c>
      <c r="CB34" s="74">
        <f>ROWS($CB$29:CB34)</f>
        <v>6</v>
      </c>
      <c r="CC34" s="79" cm="1">
        <f t="array" ref="CC34">INDEX('7. P&amp;L + cash'!$D$37:$AA$37,1,$CB34)</f>
        <v>0.81963945450971321</v>
      </c>
      <c r="CD34" s="79">
        <f>'1. Assumptions'!$G$92</f>
        <v>0.74</v>
      </c>
    </row>
    <row r="35" spans="1:82">
      <c r="A35" s="445"/>
      <c r="B35" s="446"/>
      <c r="C35" s="446"/>
      <c r="D35" s="446"/>
      <c r="E35" s="446"/>
      <c r="F35" s="446"/>
      <c r="G35" s="447"/>
      <c r="H35" s="445"/>
      <c r="I35" s="446"/>
      <c r="J35" s="446"/>
      <c r="K35" s="446"/>
      <c r="L35" s="446"/>
      <c r="M35" s="447"/>
      <c r="N35" s="445"/>
      <c r="O35" s="446"/>
      <c r="P35" s="446"/>
      <c r="Q35" s="446"/>
      <c r="R35" s="446"/>
      <c r="S35" s="446"/>
      <c r="T35" s="447"/>
      <c r="U35" s="445"/>
      <c r="V35" s="446"/>
      <c r="W35" s="446"/>
      <c r="X35" s="446"/>
      <c r="Y35" s="446"/>
      <c r="Z35" s="446"/>
      <c r="AA35" s="446"/>
      <c r="AB35" s="447"/>
      <c r="AC35" s="1"/>
      <c r="BF35" s="74">
        <f>ROWS($BF$29:BF35)</f>
        <v>7</v>
      </c>
      <c r="BG35" s="75" cm="1">
        <f t="array" ref="BG35">(INDEX('7. P&amp;L + cash'!$D$20:$AA$20,1,$BF35)+INDEX('3. Revenue Model'!$D$64:$AA$64,1,$BF35))*12</f>
        <v>47906.384794089179</v>
      </c>
      <c r="BH35" s="75" cm="1">
        <f t="array" ref="BH35">INDEX('7. P&amp;L + cash'!$D$21:$AA$21,1,$BF35)*12</f>
        <v>13477.819693300269</v>
      </c>
      <c r="BI35" s="75" cm="1">
        <f t="array" ref="BI35">-INDEX('7. P&amp;L + cash'!$D$23:$AA$23,1,$BF35)*12</f>
        <v>-20624.375614825221</v>
      </c>
      <c r="BJ35" s="75" cm="1">
        <f t="array" ref="BJ35">-INDEX('7. P&amp;L + cash'!$D$22:$AA$22,1,$BF35)*12</f>
        <v>-6504.0343592328827</v>
      </c>
      <c r="BK35" s="76" cm="1">
        <f t="array" ref="BK35">INDEX('7. P&amp;L + cash'!$D$24:$AA$24,1,$BF35)*12</f>
        <v>34255.794513331348</v>
      </c>
      <c r="BN35" s="74">
        <f>ROWS($BN$29:BN35)</f>
        <v>7</v>
      </c>
      <c r="BO35" s="76" cm="1">
        <f t="array" ref="BO35">INDEX('7. P&amp;L + cash'!$D$84:$AA$84,1,$BN35)</f>
        <v>1305944.4411794234</v>
      </c>
      <c r="BP35" s="76" cm="1">
        <f t="array" ref="BP35">MAX(0,INDEX('7. P&amp;L + cash'!$D$81:$AA$81,1,$BN35)*6)</f>
        <v>333707.2532864979</v>
      </c>
      <c r="BU35" s="74">
        <f>ROWS($BU$29:BU35)</f>
        <v>7</v>
      </c>
      <c r="BV35" s="78" cm="1">
        <f t="array" ref="BV35">INDEX('6. Unit Economics'!$B$61:$Y$61,1,$BU35)</f>
        <v>10.315444827257348</v>
      </c>
      <c r="BW35" s="78">
        <f>'1. Assumptions'!$G$109</f>
        <v>12</v>
      </c>
      <c r="CB35" s="74">
        <f>ROWS($CB$29:CB35)</f>
        <v>7</v>
      </c>
      <c r="CC35" s="79" cm="1">
        <f t="array" ref="CC35">INDEX('7. P&amp;L + cash'!$D$37:$AA$37,1,$CB35)</f>
        <v>0.8179735679524891</v>
      </c>
      <c r="CD35" s="79">
        <f>'1. Assumptions'!$G$92</f>
        <v>0.74</v>
      </c>
    </row>
    <row r="36" spans="1:82">
      <c r="A36" s="445"/>
      <c r="B36" s="446"/>
      <c r="C36" s="446"/>
      <c r="D36" s="446"/>
      <c r="E36" s="446"/>
      <c r="F36" s="446"/>
      <c r="G36" s="447"/>
      <c r="H36" s="445"/>
      <c r="I36" s="446"/>
      <c r="J36" s="446"/>
      <c r="K36" s="446"/>
      <c r="L36" s="446"/>
      <c r="M36" s="447"/>
      <c r="N36" s="445"/>
      <c r="O36" s="446"/>
      <c r="P36" s="446"/>
      <c r="Q36" s="446"/>
      <c r="R36" s="446"/>
      <c r="S36" s="446"/>
      <c r="T36" s="447"/>
      <c r="U36" s="445"/>
      <c r="V36" s="446"/>
      <c r="W36" s="446"/>
      <c r="X36" s="446"/>
      <c r="Y36" s="446"/>
      <c r="Z36" s="446"/>
      <c r="AA36" s="446"/>
      <c r="AB36" s="447"/>
      <c r="AC36" s="1"/>
      <c r="BF36" s="74">
        <f>ROWS($BF$29:BF36)</f>
        <v>8</v>
      </c>
      <c r="BG36" s="75" cm="1">
        <f t="array" ref="BG36">(INDEX('7. P&amp;L + cash'!$D$20:$AA$20,1,$BF36)+INDEX('3. Revenue Model'!$D$64:$AA$64,1,$BF36))*12</f>
        <v>51424.02601953088</v>
      </c>
      <c r="BH36" s="75" cm="1">
        <f t="array" ref="BH36">INDEX('7. P&amp;L + cash'!$D$21:$AA$21,1,$BF36)*12</f>
        <v>14169.344517422429</v>
      </c>
      <c r="BI36" s="75" cm="1">
        <f t="array" ref="BI36">-INDEX('7. P&amp;L + cash'!$D$23:$AA$23,1,$BF36)*12</f>
        <v>-21724.102961832359</v>
      </c>
      <c r="BJ36" s="75" cm="1">
        <f t="array" ref="BJ36">-INDEX('7. P&amp;L + cash'!$D$22:$AA$22,1,$BF36)*12</f>
        <v>-6846.5923043661969</v>
      </c>
      <c r="BK36" s="76" cm="1">
        <f t="array" ref="BK36">INDEX('7. P&amp;L + cash'!$D$24:$AA$24,1,$BF36)*12</f>
        <v>37022.675270754749</v>
      </c>
      <c r="BN36" s="74">
        <f>ROWS($BN$29:BN36)</f>
        <v>8</v>
      </c>
      <c r="BO36" s="76" cm="1">
        <f t="array" ref="BO36">INDEX('7. P&amp;L + cash'!$D$84:$AA$84,1,$BN36)</f>
        <v>1244676.1563135234</v>
      </c>
      <c r="BP36" s="76" cm="1">
        <f t="array" ref="BP36">MAX(0,INDEX('7. P&amp;L + cash'!$D$81:$AA$81,1,$BN36)*6)</f>
        <v>367609.70919539989</v>
      </c>
      <c r="BU36" s="74">
        <f>ROWS($BU$29:BU36)</f>
        <v>8</v>
      </c>
      <c r="BV36" s="78" cm="1">
        <f t="array" ref="BV36">INDEX('6. Unit Economics'!$B$61:$Y$61,1,$BU36)</f>
        <v>12.392083125213771</v>
      </c>
      <c r="BW36" s="78">
        <f>'1. Assumptions'!$G$109</f>
        <v>12</v>
      </c>
      <c r="CB36" s="74">
        <f>ROWS($CB$29:CB36)</f>
        <v>8</v>
      </c>
      <c r="CC36" s="79" cm="1">
        <f t="array" ref="CC36">INDEX('7. P&amp;L + cash'!$D$37:$AA$37,1,$CB36)</f>
        <v>0.67959487440738942</v>
      </c>
      <c r="CD36" s="79">
        <f>'1. Assumptions'!$G$92</f>
        <v>0.74</v>
      </c>
    </row>
    <row r="37" spans="1:82">
      <c r="A37" s="445"/>
      <c r="B37" s="446"/>
      <c r="C37" s="446"/>
      <c r="D37" s="446"/>
      <c r="E37" s="446"/>
      <c r="F37" s="446"/>
      <c r="G37" s="447"/>
      <c r="H37" s="445"/>
      <c r="I37" s="446"/>
      <c r="J37" s="446"/>
      <c r="K37" s="446"/>
      <c r="L37" s="446"/>
      <c r="M37" s="447"/>
      <c r="N37" s="445"/>
      <c r="O37" s="446"/>
      <c r="P37" s="446"/>
      <c r="Q37" s="446"/>
      <c r="R37" s="446"/>
      <c r="S37" s="446"/>
      <c r="T37" s="447"/>
      <c r="U37" s="445"/>
      <c r="V37" s="446"/>
      <c r="W37" s="446"/>
      <c r="X37" s="446"/>
      <c r="Y37" s="446"/>
      <c r="Z37" s="446"/>
      <c r="AA37" s="446"/>
      <c r="AB37" s="447"/>
      <c r="AC37" s="1"/>
      <c r="BF37" s="74">
        <f>ROWS($BF$29:BF37)</f>
        <v>9</v>
      </c>
      <c r="BG37" s="75" cm="1">
        <f t="array" ref="BG37">(INDEX('7. P&amp;L + cash'!$D$20:$AA$20,1,$BF37)+INDEX('3. Revenue Model'!$D$64:$AA$64,1,$BF37))*12</f>
        <v>55351.781537641291</v>
      </c>
      <c r="BH37" s="75" cm="1">
        <f t="array" ref="BH37">INDEX('7. P&amp;L + cash'!$D$21:$AA$21,1,$BF37)*12</f>
        <v>14926.2234371998</v>
      </c>
      <c r="BI37" s="75" cm="1">
        <f t="array" ref="BI37">-INDEX('7. P&amp;L + cash'!$D$23:$AA$23,1,$BF37)*12</f>
        <v>-22916.0531075283</v>
      </c>
      <c r="BJ37" s="75" cm="1">
        <f t="array" ref="BJ37">-INDEX('7. P&amp;L + cash'!$D$22:$AA$22,1,$BF37)*12</f>
        <v>-7216.8190570737443</v>
      </c>
      <c r="BK37" s="76" cm="1">
        <f t="array" ref="BK37">INDEX('7. P&amp;L + cash'!$D$24:$AA$24,1,$BF37)*12</f>
        <v>40145.132810239054</v>
      </c>
      <c r="BN37" s="74">
        <f>ROWS($BN$29:BN37)</f>
        <v>9</v>
      </c>
      <c r="BO37" s="76" cm="1">
        <f t="array" ref="BO37">INDEX('7. P&amp;L + cash'!$D$84:$AA$84,1,$BN37)</f>
        <v>1172539.7665720116</v>
      </c>
      <c r="BP37" s="76" cm="1">
        <f t="array" ref="BP37">MAX(0,INDEX('7. P&amp;L + cash'!$D$81:$AA$81,1,$BN37)*6)</f>
        <v>432818.33844907</v>
      </c>
      <c r="BU37" s="74">
        <f>ROWS($BU$29:BU37)</f>
        <v>9</v>
      </c>
      <c r="BV37" s="78" cm="1">
        <f t="array" ref="BV37">INDEX('6. Unit Economics'!$B$61:$Y$61,1,$BU37)</f>
        <v>12.20043727380884</v>
      </c>
      <c r="BW37" s="78">
        <f>'1. Assumptions'!$G$109</f>
        <v>12</v>
      </c>
      <c r="CB37" s="74">
        <f>ROWS($CB$29:CB37)</f>
        <v>9</v>
      </c>
      <c r="CC37" s="79" cm="1">
        <f t="array" ref="CC37">INDEX('7. P&amp;L + cash'!$D$37:$AA$37,1,$CB37)</f>
        <v>0.68859868723125639</v>
      </c>
      <c r="CD37" s="79">
        <f>'1. Assumptions'!$G$92</f>
        <v>0.74</v>
      </c>
    </row>
    <row r="38" spans="1:82">
      <c r="A38" s="445"/>
      <c r="B38" s="446"/>
      <c r="C38" s="446"/>
      <c r="D38" s="446"/>
      <c r="E38" s="446"/>
      <c r="F38" s="446"/>
      <c r="G38" s="447"/>
      <c r="H38" s="445"/>
      <c r="I38" s="446"/>
      <c r="J38" s="446"/>
      <c r="K38" s="446"/>
      <c r="L38" s="446"/>
      <c r="M38" s="447"/>
      <c r="N38" s="445"/>
      <c r="O38" s="446"/>
      <c r="P38" s="446"/>
      <c r="Q38" s="446"/>
      <c r="R38" s="446"/>
      <c r="S38" s="446"/>
      <c r="T38" s="447"/>
      <c r="U38" s="445"/>
      <c r="V38" s="446"/>
      <c r="W38" s="446"/>
      <c r="X38" s="446"/>
      <c r="Y38" s="446"/>
      <c r="Z38" s="446"/>
      <c r="AA38" s="446"/>
      <c r="AB38" s="447"/>
      <c r="AC38" s="1"/>
      <c r="BF38" s="74">
        <f>ROWS($BF$29:BF38)</f>
        <v>10</v>
      </c>
      <c r="BG38" s="75" cm="1">
        <f t="array" ref="BG38">(INDEX('7. P&amp;L + cash'!$D$20:$AA$20,1,$BF38)+INDEX('3. Revenue Model'!$D$64:$AA$64,1,$BF38))*12</f>
        <v>59702.306094457534</v>
      </c>
      <c r="BH38" s="75" cm="1">
        <f t="array" ref="BH38">INDEX('7. P&amp;L + cash'!$D$21:$AA$21,1,$BF38)*12</f>
        <v>15758.912668154378</v>
      </c>
      <c r="BI38" s="75" cm="1">
        <f t="array" ref="BI38">-INDEX('7. P&amp;L + cash'!$D$23:$AA$23,1,$BF38)*12</f>
        <v>-24212.872219243807</v>
      </c>
      <c r="BJ38" s="75" cm="1">
        <f t="array" ref="BJ38">-INDEX('7. P&amp;L + cash'!$D$22:$AA$22,1,$BF38)*12</f>
        <v>-7618.2703851761344</v>
      </c>
      <c r="BK38" s="76" cm="1">
        <f t="array" ref="BK38">INDEX('7. P&amp;L + cash'!$D$24:$AA$24,1,$BF38)*12</f>
        <v>43630.076158191965</v>
      </c>
      <c r="BN38" s="74">
        <f>ROWS($BN$29:BN38)</f>
        <v>10</v>
      </c>
      <c r="BO38" s="76" cm="1">
        <f t="array" ref="BO38">INDEX('7. P&amp;L + cash'!$D$84:$AA$84,1,$BN38)</f>
        <v>1090493.3783798253</v>
      </c>
      <c r="BP38" s="76" cm="1">
        <f t="array" ref="BP38">MAX(0,INDEX('7. P&amp;L + cash'!$D$81:$AA$81,1,$BN38)*6)</f>
        <v>492278.32915311819</v>
      </c>
      <c r="BU38" s="74">
        <f>ROWS($BU$29:BU38)</f>
        <v>10</v>
      </c>
      <c r="BV38" s="78" cm="1">
        <f t="array" ref="BV38">INDEX('6. Unit Economics'!$B$61:$Y$61,1,$BU38)</f>
        <v>11.968757791549757</v>
      </c>
      <c r="BW38" s="78">
        <f>'1. Assumptions'!$G$109</f>
        <v>12</v>
      </c>
      <c r="CB38" s="74">
        <f>ROWS($CB$29:CB38)</f>
        <v>10</v>
      </c>
      <c r="CC38" s="79" cm="1">
        <f t="array" ref="CC38">INDEX('7. P&amp;L + cash'!$D$37:$AA$37,1,$CB38)</f>
        <v>0.69725960350791172</v>
      </c>
      <c r="CD38" s="79">
        <f>'1. Assumptions'!$G$92</f>
        <v>0.74</v>
      </c>
    </row>
    <row r="39" spans="1:82">
      <c r="A39" s="445"/>
      <c r="B39" s="446"/>
      <c r="C39" s="446"/>
      <c r="D39" s="446"/>
      <c r="E39" s="446"/>
      <c r="F39" s="446"/>
      <c r="G39" s="447"/>
      <c r="H39" s="445"/>
      <c r="I39" s="446"/>
      <c r="J39" s="446"/>
      <c r="K39" s="446"/>
      <c r="L39" s="446"/>
      <c r="M39" s="447"/>
      <c r="N39" s="445"/>
      <c r="O39" s="446"/>
      <c r="P39" s="446"/>
      <c r="Q39" s="446"/>
      <c r="R39" s="446"/>
      <c r="S39" s="446"/>
      <c r="T39" s="447"/>
      <c r="U39" s="445"/>
      <c r="V39" s="446"/>
      <c r="W39" s="446"/>
      <c r="X39" s="446"/>
      <c r="Y39" s="446"/>
      <c r="Z39" s="446"/>
      <c r="AA39" s="446"/>
      <c r="AB39" s="447"/>
      <c r="AC39" s="1"/>
      <c r="BF39" s="74">
        <f>ROWS($BF$29:BF39)</f>
        <v>11</v>
      </c>
      <c r="BG39" s="75" cm="1">
        <f t="array" ref="BG39">(INDEX('7. P&amp;L + cash'!$D$20:$AA$20,1,$BF39)+INDEX('3. Revenue Model'!$D$64:$AA$64,1,$BF39))*12</f>
        <v>64494.672005724758</v>
      </c>
      <c r="BH39" s="75" cm="1">
        <f t="array" ref="BH39">INDEX('7. P&amp;L + cash'!$D$21:$AA$21,1,$BF39)*12</f>
        <v>16677.661734877402</v>
      </c>
      <c r="BI39" s="75" cm="1">
        <f t="array" ref="BI39">-INDEX('7. P&amp;L + cash'!$D$23:$AA$23,1,$BF39)*12</f>
        <v>-25627.313909598663</v>
      </c>
      <c r="BJ39" s="75" cm="1">
        <f t="array" ref="BJ39">-INDEX('7. P&amp;L + cash'!$D$22:$AA$22,1,$BF39)*12</f>
        <v>-8054.571146758055</v>
      </c>
      <c r="BK39" s="76" cm="1">
        <f t="array" ref="BK39">INDEX('7. P&amp;L + cash'!$D$24:$AA$24,1,$BF39)*12</f>
        <v>47490.448684245443</v>
      </c>
      <c r="BN39" s="74">
        <f>ROWS($BN$29:BN39)</f>
        <v>11</v>
      </c>
      <c r="BO39" s="76" cm="1">
        <f t="array" ref="BO39">INDEX('7. P&amp;L + cash'!$D$84:$AA$84,1,$BN39)</f>
        <v>1011976.7843103755</v>
      </c>
      <c r="BP39" s="76" cm="1">
        <f t="array" ref="BP39">MAX(0,INDEX('7. P&amp;L + cash'!$D$81:$AA$81,1,$BN39)*6)</f>
        <v>471099.56441669865</v>
      </c>
      <c r="BU39" s="74">
        <f>ROWS($BU$29:BU39)</f>
        <v>11</v>
      </c>
      <c r="BV39" s="78" cm="1">
        <f t="array" ref="BV39">INDEX('6. Unit Economics'!$B$61:$Y$61,1,$BU39)</f>
        <v>11.749603380203634</v>
      </c>
      <c r="BW39" s="78">
        <f>'1. Assumptions'!$G$109</f>
        <v>12</v>
      </c>
      <c r="CB39" s="74">
        <f>ROWS($CB$29:CB39)</f>
        <v>11</v>
      </c>
      <c r="CC39" s="79" cm="1">
        <f t="array" ref="CC39">INDEX('7. P&amp;L + cash'!$D$37:$AA$37,1,$CB39)</f>
        <v>0.70557351776589405</v>
      </c>
      <c r="CD39" s="79">
        <f>'1. Assumptions'!$G$92</f>
        <v>0.74</v>
      </c>
    </row>
    <row r="40" spans="1:82">
      <c r="A40" s="445"/>
      <c r="B40" s="446"/>
      <c r="C40" s="446"/>
      <c r="D40" s="446"/>
      <c r="E40" s="446"/>
      <c r="F40" s="446"/>
      <c r="G40" s="447"/>
      <c r="H40" s="445"/>
      <c r="I40" s="446"/>
      <c r="J40" s="446"/>
      <c r="K40" s="446"/>
      <c r="L40" s="446"/>
      <c r="M40" s="447"/>
      <c r="N40" s="445"/>
      <c r="O40" s="446"/>
      <c r="P40" s="446"/>
      <c r="Q40" s="446"/>
      <c r="R40" s="446"/>
      <c r="S40" s="446"/>
      <c r="T40" s="447"/>
      <c r="U40" s="445"/>
      <c r="V40" s="446"/>
      <c r="W40" s="446"/>
      <c r="X40" s="446"/>
      <c r="Y40" s="446"/>
      <c r="Z40" s="446"/>
      <c r="AA40" s="446"/>
      <c r="AB40" s="447"/>
      <c r="AC40" s="1"/>
      <c r="BF40" s="74">
        <f>ROWS($BF$29:BF40)</f>
        <v>12</v>
      </c>
      <c r="BG40" s="75" cm="1">
        <f t="array" ref="BG40">(INDEX('7. P&amp;L + cash'!$D$20:$AA$20,1,$BF40)+INDEX('3. Revenue Model'!$D$64:$AA$64,1,$BF40))*12</f>
        <v>69753.80140667969</v>
      </c>
      <c r="BH40" s="75" cm="1">
        <f t="array" ref="BH40">INDEX('7. P&amp;L + cash'!$D$21:$AA$21,1,$BF40)*12</f>
        <v>17692.771822935156</v>
      </c>
      <c r="BI40" s="75" cm="1">
        <f t="array" ref="BI40">-INDEX('7. P&amp;L + cash'!$D$23:$AA$23,1,$BF40)*12</f>
        <v>-27172.485127039057</v>
      </c>
      <c r="BJ40" s="75" cm="1">
        <f t="array" ref="BJ40">-INDEX('7. P&amp;L + cash'!$D$22:$AA$22,1,$BF40)*12</f>
        <v>-8529.4756336005084</v>
      </c>
      <c r="BK40" s="76" cm="1">
        <f t="array" ref="BK40">INDEX('7. P&amp;L + cash'!$D$24:$AA$24,1,$BF40)*12</f>
        <v>51744.612468975276</v>
      </c>
      <c r="BN40" s="74">
        <f>ROWS($BN$29:BN40)</f>
        <v>12</v>
      </c>
      <c r="BO40" s="76" cm="1">
        <f t="array" ref="BO40">INDEX('7. P&amp;L + cash'!$D$84:$AA$84,1,$BN40)</f>
        <v>923184.26222337573</v>
      </c>
      <c r="BP40" s="76" cm="1">
        <f t="array" ref="BP40">MAX(0,INDEX('7. P&amp;L + cash'!$D$81:$AA$81,1,$BN40)*6)</f>
        <v>532755.13252199837</v>
      </c>
      <c r="BU40" s="74">
        <f>ROWS($BU$29:BU40)</f>
        <v>12</v>
      </c>
      <c r="BV40" s="78" cm="1">
        <f t="array" ref="BV40">INDEX('6. Unit Economics'!$B$61:$Y$61,1,$BU40)</f>
        <v>11.543814308175838</v>
      </c>
      <c r="BW40" s="78">
        <f>'1. Assumptions'!$G$109</f>
        <v>12</v>
      </c>
      <c r="CB40" s="74">
        <f>ROWS($CB$29:CB40)</f>
        <v>12</v>
      </c>
      <c r="CC40" s="79" cm="1">
        <f t="array" ref="CC40">INDEX('7. P&amp;L + cash'!$D$37:$AA$37,1,$CB40)</f>
        <v>0.71353775911037398</v>
      </c>
      <c r="CD40" s="79">
        <f>'1. Assumptions'!$G$92</f>
        <v>0.74</v>
      </c>
    </row>
    <row r="41" spans="1:82">
      <c r="A41" s="445"/>
      <c r="B41" s="446"/>
      <c r="C41" s="446"/>
      <c r="D41" s="446"/>
      <c r="E41" s="446"/>
      <c r="F41" s="446"/>
      <c r="G41" s="447"/>
      <c r="H41" s="445"/>
      <c r="I41" s="446"/>
      <c r="J41" s="446"/>
      <c r="K41" s="446"/>
      <c r="L41" s="446"/>
      <c r="M41" s="447"/>
      <c r="N41" s="445"/>
      <c r="O41" s="446"/>
      <c r="P41" s="446"/>
      <c r="Q41" s="446"/>
      <c r="R41" s="446"/>
      <c r="S41" s="446"/>
      <c r="T41" s="447"/>
      <c r="U41" s="445"/>
      <c r="V41" s="446"/>
      <c r="W41" s="446"/>
      <c r="X41" s="446"/>
      <c r="Y41" s="446"/>
      <c r="Z41" s="446"/>
      <c r="AA41" s="446"/>
      <c r="AB41" s="447"/>
      <c r="AC41" s="1"/>
      <c r="BF41" s="74">
        <f>ROWS($BF$29:BF41)</f>
        <v>13</v>
      </c>
      <c r="BG41" s="75" cm="1">
        <f t="array" ref="BG41">(INDEX('7. P&amp;L + cash'!$D$20:$AA$20,1,$BF41)+INDEX('3. Revenue Model'!$D$64:$AA$64,1,$BF41))*12</f>
        <v>75510.102495154992</v>
      </c>
      <c r="BH41" s="75" cm="1">
        <f t="array" ref="BH41">INDEX('7. P&amp;L + cash'!$D$21:$AA$21,1,$BF41)*12</f>
        <v>18814.817132152442</v>
      </c>
      <c r="BI41" s="75" cm="1">
        <f t="array" ref="BI41">-INDEX('7. P&amp;L + cash'!$D$23:$AA$23,1,$BF41)*12</f>
        <v>-28862.063351143075</v>
      </c>
      <c r="BJ41" s="75" cm="1">
        <f t="array" ref="BJ41">-INDEX('7. P&amp;L + cash'!$D$22:$AA$22,1,$BF41)*12</f>
        <v>-9046.921758290262</v>
      </c>
      <c r="BK41" s="76" cm="1">
        <f t="array" ref="BK41">INDEX('7. P&amp;L + cash'!$D$24:$AA$24,1,$BF41)*12</f>
        <v>56415.934517874106</v>
      </c>
      <c r="BN41" s="74">
        <f>ROWS($BN$29:BN41)</f>
        <v>13</v>
      </c>
      <c r="BO41" s="76" cm="1">
        <f t="array" ref="BO41">INDEX('7. P&amp;L + cash'!$D$84:$AA$84,1,$BN41)</f>
        <v>837680.01577680232</v>
      </c>
      <c r="BP41" s="76" cm="1">
        <f t="array" ref="BP41">MAX(0,INDEX('7. P&amp;L + cash'!$D$81:$AA$81,1,$BN41)*6)</f>
        <v>513025.47867944045</v>
      </c>
      <c r="BU41" s="74">
        <f>ROWS($BU$29:BU41)</f>
        <v>13</v>
      </c>
      <c r="BV41" s="78" cm="1">
        <f t="array" ref="BV41">INDEX('6. Unit Economics'!$B$61:$Y$61,1,$BU41)</f>
        <v>11.351538060653702</v>
      </c>
      <c r="BW41" s="78">
        <f>'1. Assumptions'!$G$109</f>
        <v>12</v>
      </c>
      <c r="CB41" s="74">
        <f>ROWS($CB$29:CB41)</f>
        <v>13</v>
      </c>
      <c r="CC41" s="79" cm="1">
        <f t="array" ref="CC41">INDEX('7. P&amp;L + cash'!$D$37:$AA$37,1,$CB41)</f>
        <v>0.72114943615728833</v>
      </c>
      <c r="CD41" s="79">
        <f>'1. Assumptions'!$G$92</f>
        <v>0.74</v>
      </c>
    </row>
    <row r="42" spans="1:82">
      <c r="A42" s="445"/>
      <c r="B42" s="446"/>
      <c r="C42" s="446"/>
      <c r="D42" s="446"/>
      <c r="E42" s="446"/>
      <c r="F42" s="446"/>
      <c r="G42" s="447"/>
      <c r="H42" s="445"/>
      <c r="I42" s="446"/>
      <c r="J42" s="446"/>
      <c r="K42" s="446"/>
      <c r="L42" s="446"/>
      <c r="M42" s="447"/>
      <c r="N42" s="445"/>
      <c r="O42" s="446"/>
      <c r="P42" s="446"/>
      <c r="Q42" s="446"/>
      <c r="R42" s="446"/>
      <c r="S42" s="446"/>
      <c r="T42" s="447"/>
      <c r="U42" s="445"/>
      <c r="V42" s="446"/>
      <c r="W42" s="446"/>
      <c r="X42" s="446"/>
      <c r="Y42" s="446"/>
      <c r="Z42" s="446"/>
      <c r="AA42" s="446"/>
      <c r="AB42" s="447"/>
      <c r="AC42" s="1"/>
      <c r="BF42" s="74">
        <f>ROWS($BF$29:BF42)</f>
        <v>14</v>
      </c>
      <c r="BG42" s="75" cm="1">
        <f t="array" ref="BG42">(INDEX('7. P&amp;L + cash'!$D$20:$AA$20,1,$BF42)+INDEX('3. Revenue Model'!$D$64:$AA$64,1,$BF42))*12</f>
        <v>81799.272425674862</v>
      </c>
      <c r="BH42" s="75" cm="1">
        <f t="array" ref="BH42">INDEX('7. P&amp;L + cash'!$D$21:$AA$21,1,$BF42)*12</f>
        <v>20054.839350914015</v>
      </c>
      <c r="BI42" s="75" cm="1">
        <f t="array" ref="BI42">-INDEX('7. P&amp;L + cash'!$D$23:$AA$23,1,$BF42)*12</f>
        <v>-30710.49383965923</v>
      </c>
      <c r="BJ42" s="75" cm="1">
        <f t="array" ref="BJ42">-INDEX('7. P&amp;L + cash'!$D$22:$AA$22,1,$BF42)*12</f>
        <v>-9611.081103469005</v>
      </c>
      <c r="BK42" s="76" cm="1">
        <f t="array" ref="BK42">INDEX('7. P&amp;L + cash'!$D$24:$AA$24,1,$BF42)*12</f>
        <v>61532.536833460632</v>
      </c>
      <c r="BN42" s="74">
        <f>ROWS($BN$29:BN42)</f>
        <v>14</v>
      </c>
      <c r="BO42" s="76" cm="1">
        <f t="array" ref="BO42">INDEX('7. P&amp;L + cash'!$D$84:$AA$84,1,$BN42)</f>
        <v>742734.43658203131</v>
      </c>
      <c r="BP42" s="76" cm="1">
        <f t="array" ref="BP42">MAX(0,INDEX('7. P&amp;L + cash'!$D$81:$AA$81,1,$BN42)*6)</f>
        <v>569673.47516862606</v>
      </c>
      <c r="BU42" s="74">
        <f>ROWS($BU$29:BU42)</f>
        <v>14</v>
      </c>
      <c r="BV42" s="78" cm="1">
        <f t="array" ref="BV42">INDEX('6. Unit Economics'!$B$61:$Y$61,1,$BU42)</f>
        <v>11.17245832315645</v>
      </c>
      <c r="BW42" s="78">
        <f>'1. Assumptions'!$G$109</f>
        <v>12</v>
      </c>
      <c r="CB42" s="74">
        <f>ROWS($CB$29:CB42)</f>
        <v>14</v>
      </c>
      <c r="CC42" s="79" cm="1">
        <f t="array" ref="CC42">INDEX('7. P&amp;L + cash'!$D$37:$AA$37,1,$CB42)</f>
        <v>0.72840650935195994</v>
      </c>
      <c r="CD42" s="79">
        <f>'1. Assumptions'!$G$92</f>
        <v>0.74</v>
      </c>
    </row>
    <row r="43" spans="1:82">
      <c r="A43" s="445"/>
      <c r="B43" s="446"/>
      <c r="C43" s="446"/>
      <c r="D43" s="446"/>
      <c r="E43" s="446"/>
      <c r="F43" s="446"/>
      <c r="G43" s="447"/>
      <c r="H43" s="445"/>
      <c r="I43" s="446"/>
      <c r="J43" s="446"/>
      <c r="K43" s="446"/>
      <c r="L43" s="446"/>
      <c r="M43" s="447"/>
      <c r="N43" s="445"/>
      <c r="O43" s="446"/>
      <c r="P43" s="446"/>
      <c r="Q43" s="446"/>
      <c r="R43" s="446"/>
      <c r="S43" s="446"/>
      <c r="T43" s="447"/>
      <c r="U43" s="67"/>
      <c r="V43" s="457"/>
      <c r="W43" s="446"/>
      <c r="X43" s="446"/>
      <c r="Y43" s="446"/>
      <c r="Z43" s="446"/>
      <c r="AA43" s="446"/>
      <c r="AB43" s="447"/>
      <c r="AC43" s="1"/>
      <c r="BF43" s="74">
        <f>ROWS($BF$29:BF43)</f>
        <v>15</v>
      </c>
      <c r="BG43" s="75" cm="1">
        <f t="array" ref="BG43">(INDEX('7. P&amp;L + cash'!$D$20:$AA$20,1,$BF43)+INDEX('3. Revenue Model'!$D$64:$AA$64,1,$BF43))*12</f>
        <v>88662.238455060433</v>
      </c>
      <c r="BH43" s="75" cm="1">
        <f t="array" ref="BH43">INDEX('7. P&amp;L + cash'!$D$21:$AA$21,1,$BF43)*12</f>
        <v>21424.523336787322</v>
      </c>
      <c r="BI43" s="75" cm="1">
        <f t="array" ref="BI43">-INDEX('7. P&amp;L + cash'!$D$23:$AA$23,1,$BF43)*12</f>
        <v>-32733.173985972709</v>
      </c>
      <c r="BJ43" s="75" cm="1">
        <f t="array" ref="BJ43">-INDEX('7. P&amp;L + cash'!$D$22:$AA$22,1,$BF43)*12</f>
        <v>-10226.406471803608</v>
      </c>
      <c r="BK43" s="76" cm="1">
        <f t="array" ref="BK43">INDEX('7. P&amp;L + cash'!$D$24:$AA$24,1,$BF43)*12</f>
        <v>67127.181334071443</v>
      </c>
      <c r="BN43" s="74">
        <f>ROWS($BN$29:BN43)</f>
        <v>15</v>
      </c>
      <c r="BO43" s="76" cm="1">
        <f t="array" ref="BO43">INDEX('7. P&amp;L + cash'!$D$84:$AA$84,1,$BN43)</f>
        <v>652994.09296540951</v>
      </c>
      <c r="BP43" s="76" cm="1">
        <f t="array" ref="BP43">MAX(0,INDEX('7. P&amp;L + cash'!$D$81:$AA$81,1,$BN43)*6)</f>
        <v>538442.06169973081</v>
      </c>
      <c r="BU43" s="74">
        <f>ROWS($BU$29:BU43)</f>
        <v>15</v>
      </c>
      <c r="BV43" s="78" cm="1">
        <f t="array" ref="BV43">INDEX('6. Unit Economics'!$B$61:$Y$61,1,$BU43)</f>
        <v>11.005964690100361</v>
      </c>
      <c r="BW43" s="78">
        <f>'1. Assumptions'!$G$109</f>
        <v>12</v>
      </c>
      <c r="CB43" s="74">
        <f>ROWS($CB$29:CB43)</f>
        <v>15</v>
      </c>
      <c r="CC43" s="79" cm="1">
        <f t="array" ref="CC43">INDEX('7. P&amp;L + cash'!$D$37:$AA$37,1,$CB43)</f>
        <v>0.73530846509945214</v>
      </c>
      <c r="CD43" s="79">
        <f>'1. Assumptions'!$G$92</f>
        <v>0.74</v>
      </c>
    </row>
    <row r="44" spans="1:82" ht="15.6">
      <c r="A44" s="448"/>
      <c r="B44" s="449"/>
      <c r="C44" s="449"/>
      <c r="D44" s="449"/>
      <c r="E44" s="449"/>
      <c r="F44" s="449"/>
      <c r="G44" s="450"/>
      <c r="H44" s="448"/>
      <c r="I44" s="449"/>
      <c r="J44" s="449"/>
      <c r="K44" s="449"/>
      <c r="L44" s="449"/>
      <c r="M44" s="450"/>
      <c r="N44" s="448"/>
      <c r="O44" s="449"/>
      <c r="P44" s="449"/>
      <c r="Q44" s="449"/>
      <c r="R44" s="449"/>
      <c r="S44" s="449"/>
      <c r="T44" s="450"/>
      <c r="U44" s="458" t="s">
        <v>1289</v>
      </c>
      <c r="V44" s="449"/>
      <c r="W44" s="449"/>
      <c r="X44" s="449"/>
      <c r="Y44" s="449"/>
      <c r="Z44" s="449"/>
      <c r="AA44" s="449"/>
      <c r="AB44" s="450"/>
      <c r="AC44" s="1"/>
      <c r="BF44" s="74">
        <f>ROWS($BF$29:BF44)</f>
        <v>16</v>
      </c>
      <c r="BG44" s="75" cm="1">
        <f t="array" ref="BG44">(INDEX('7. P&amp;L + cash'!$D$20:$AA$20,1,$BF44)+INDEX('3. Revenue Model'!$D$64:$AA$64,1,$BF44))*12</f>
        <v>96145.215986413677</v>
      </c>
      <c r="BH44" s="75" cm="1">
        <f t="array" ref="BH44">INDEX('7. P&amp;L + cash'!$D$21:$AA$21,1,$BF44)*12</f>
        <v>22936.360521105373</v>
      </c>
      <c r="BI44" s="75" cm="1">
        <f t="array" ref="BI44">-INDEX('7. P&amp;L + cash'!$D$23:$AA$23,1,$BF44)*12</f>
        <v>-34946.630551923678</v>
      </c>
      <c r="BJ44" s="75" cm="1">
        <f t="array" ref="BJ44">-INDEX('7. P&amp;L + cash'!$D$22:$AA$22,1,$BF44)*12</f>
        <v>-10897.67828514432</v>
      </c>
      <c r="BK44" s="76" cm="1">
        <f t="array" ref="BK44">INDEX('7. P&amp;L + cash'!$D$24:$AA$24,1,$BF44)*12</f>
        <v>73237.267670451052</v>
      </c>
      <c r="BN44" s="74">
        <f>ROWS($BN$29:BN44)</f>
        <v>16</v>
      </c>
      <c r="BO44" s="76" cm="1">
        <f t="array" ref="BO44">INDEX('7. P&amp;L + cash'!$D$84:$AA$84,1,$BN44)</f>
        <v>560318.79583351512</v>
      </c>
      <c r="BP44" s="76" cm="1">
        <f t="array" ref="BP44">MAX(0,INDEX('7. P&amp;L + cash'!$D$81:$AA$81,1,$BN44)*6)</f>
        <v>556051.78279136645</v>
      </c>
      <c r="BU44" s="74">
        <f>ROWS($BU$29:BU44)</f>
        <v>16</v>
      </c>
      <c r="BV44" s="78" cm="1">
        <f t="array" ref="BV44">INDEX('6. Unit Economics'!$B$61:$Y$61,1,$BU44)</f>
        <v>12.206202269708289</v>
      </c>
      <c r="BW44" s="78">
        <f>'1. Assumptions'!$G$109</f>
        <v>12</v>
      </c>
      <c r="CB44" s="74">
        <f>ROWS($CB$29:CB44)</f>
        <v>16</v>
      </c>
      <c r="CC44" s="79" cm="1">
        <f t="array" ref="CC44">INDEX('7. P&amp;L + cash'!$D$37:$AA$37,1,$CB44)</f>
        <v>0.65950822240294249</v>
      </c>
      <c r="CD44" s="79">
        <f>'1. Assumptions'!$G$92</f>
        <v>0.74</v>
      </c>
    </row>
    <row r="45" spans="1:8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BF45" s="74">
        <f>ROWS($BF$29:BF45)</f>
        <v>17</v>
      </c>
      <c r="BG45" s="75" cm="1">
        <f t="array" ref="BG45">(INDEX('7. P&amp;L + cash'!$D$20:$AA$20,1,$BF45)+INDEX('3. Revenue Model'!$D$64:$AA$64,1,$BF45))*12</f>
        <v>104299.86773239402</v>
      </c>
      <c r="BH45" s="75" cm="1">
        <f t="array" ref="BH45">INDEX('7. P&amp;L + cash'!$D$21:$AA$21,1,$BF45)*12</f>
        <v>24603.805353374937</v>
      </c>
      <c r="BI45" s="75" cm="1">
        <f t="array" ref="BI45">-INDEX('7. P&amp;L + cash'!$D$23:$AA$23,1,$BF45)*12</f>
        <v>-37368.694557114446</v>
      </c>
      <c r="BJ45" s="75" cm="1">
        <f t="array" ref="BJ45">-INDEX('7. P&amp;L + cash'!$D$22:$AA$22,1,$BF45)*12</f>
        <v>-11630.05096184883</v>
      </c>
      <c r="BK45" s="76" cm="1">
        <f t="array" ref="BK45">INDEX('7. P&amp;L + cash'!$D$24:$AA$24,1,$BF45)*12</f>
        <v>79904.927566805709</v>
      </c>
      <c r="BN45" s="74">
        <f>ROWS($BN$29:BN45)</f>
        <v>17</v>
      </c>
      <c r="BO45" s="76" cm="1">
        <f t="array" ref="BO45">INDEX('7. P&amp;L + cash'!$D$84:$AA$84,1,$BN45)</f>
        <v>473952.43196457293</v>
      </c>
      <c r="BP45" s="76" cm="1">
        <f t="array" ref="BP45">MAX(0,INDEX('7. P&amp;L + cash'!$D$81:$AA$81,1,$BN45)*6)</f>
        <v>518198.18321365304</v>
      </c>
      <c r="BU45" s="74">
        <f>ROWS($BU$29:BU45)</f>
        <v>17</v>
      </c>
      <c r="BV45" s="78" cm="1">
        <f t="array" ref="BV45">INDEX('6. Unit Economics'!$B$61:$Y$61,1,$BU45)</f>
        <v>11.93168024508666</v>
      </c>
      <c r="BW45" s="78">
        <f>'1. Assumptions'!$G$109</f>
        <v>12</v>
      </c>
      <c r="CB45" s="74">
        <f>ROWS($CB$29:CB45)</f>
        <v>17</v>
      </c>
      <c r="CC45" s="79" cm="1">
        <f t="array" ref="CC45">INDEX('7. P&amp;L + cash'!$D$37:$AA$37,1,$CB45)</f>
        <v>0.67130608439668193</v>
      </c>
      <c r="CD45" s="79">
        <f>'1. Assumptions'!$G$92</f>
        <v>0.74</v>
      </c>
    </row>
    <row r="46" spans="1:8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BF46" s="74">
        <f>ROWS($BF$29:BF46)</f>
        <v>18</v>
      </c>
      <c r="BG46" s="75" cm="1">
        <f t="array" ref="BG46">(INDEX('7. P&amp;L + cash'!$D$20:$AA$20,1,$BF46)+INDEX('3. Revenue Model'!$D$64:$AA$64,1,$BF46))*12</f>
        <v>113183.55265200244</v>
      </c>
      <c r="BH46" s="75" cm="1">
        <f t="array" ref="BH46">INDEX('7. P&amp;L + cash'!$D$21:$AA$21,1,$BF46)*12</f>
        <v>26441.429187069971</v>
      </c>
      <c r="BI46" s="75" cm="1">
        <f t="array" ref="BI46">-INDEX('7. P&amp;L + cash'!$D$23:$AA$23,1,$BF46)*12</f>
        <v>-40018.677866337355</v>
      </c>
      <c r="BJ46" s="75" cm="1">
        <f t="array" ref="BJ46">-INDEX('7. P&amp;L + cash'!$D$22:$AA$22,1,$BF46)*12</f>
        <v>-12429.10023751689</v>
      </c>
      <c r="BK46" s="76" cm="1">
        <f t="array" ref="BK46">INDEX('7. P&amp;L + cash'!$D$24:$AA$24,1,$BF46)*12</f>
        <v>87177.203735218165</v>
      </c>
      <c r="BN46" s="74">
        <f>ROWS($BN$29:BN46)</f>
        <v>18</v>
      </c>
      <c r="BO46" s="76" cm="1">
        <f t="array" ref="BO46">INDEX('7. P&amp;L + cash'!$D$84:$AA$84,1,$BN46)</f>
        <v>394527.59451722878</v>
      </c>
      <c r="BP46" s="76" cm="1">
        <f t="array" ref="BP46">MAX(0,INDEX('7. P&amp;L + cash'!$D$81:$AA$81,1,$BN46)*6)</f>
        <v>476549.02468406491</v>
      </c>
      <c r="BU46" s="74">
        <f>ROWS($BU$29:BU46)</f>
        <v>18</v>
      </c>
      <c r="BV46" s="78" cm="1">
        <f t="array" ref="BV46">INDEX('6. Unit Economics'!$B$61:$Y$61,1,$BU46)</f>
        <v>11.680602587282626</v>
      </c>
      <c r="BW46" s="78">
        <f>'1. Assumptions'!$G$109</f>
        <v>12</v>
      </c>
      <c r="CB46" s="74">
        <f>ROWS($CB$29:CB46)</f>
        <v>18</v>
      </c>
      <c r="CC46" s="79" cm="1">
        <f t="array" ref="CC46">INDEX('7. P&amp;L + cash'!$D$37:$AA$37,1,$CB46)</f>
        <v>0.6824709188534831</v>
      </c>
      <c r="CD46" s="79">
        <f>'1. Assumptions'!$G$92</f>
        <v>0.74</v>
      </c>
    </row>
    <row r="47" spans="1:82">
      <c r="BF47" s="74">
        <f>ROWS($BF$29:BF47)</f>
        <v>19</v>
      </c>
      <c r="BG47" s="75" cm="1">
        <f t="array" ref="BG47">(INDEX('7. P&amp;L + cash'!$D$20:$AA$20,1,$BF47)+INDEX('3. Revenue Model'!$D$64:$AA$64,1,$BF47))*12</f>
        <v>122859.65686701621</v>
      </c>
      <c r="BH47" s="75" cm="1">
        <f t="array" ref="BH47">INDEX('7. P&amp;L + cash'!$D$21:$AA$21,1,$BF47)*12</f>
        <v>28465.075320571057</v>
      </c>
      <c r="BI47" s="75" cm="1">
        <f t="array" ref="BI47">-INDEX('7. P&amp;L + cash'!$D$23:$AA$23,1,$BF47)*12</f>
        <v>-42917.554970535668</v>
      </c>
      <c r="BJ47" s="75" cm="1">
        <f t="array" ref="BJ47">-INDEX('7. P&amp;L + cash'!$D$22:$AA$22,1,$BF47)*12</f>
        <v>-13300.872274869071</v>
      </c>
      <c r="BK47" s="76" cm="1">
        <f t="array" ref="BK47">INDEX('7. P&amp;L + cash'!$D$24:$AA$24,1,$BF47)*12</f>
        <v>95106.304942182527</v>
      </c>
      <c r="BN47" s="74">
        <f>ROWS($BN$29:BN47)</f>
        <v>19</v>
      </c>
      <c r="BO47" s="76" cm="1">
        <f t="array" ref="BO47">INDEX('7. P&amp;L + cash'!$D$84:$AA$84,1,$BN47)</f>
        <v>322737.37984522828</v>
      </c>
      <c r="BP47" s="76" cm="1">
        <f t="array" ref="BP47">MAX(0,INDEX('7. P&amp;L + cash'!$D$81:$AA$81,1,$BN47)*6)</f>
        <v>430741.28803200298</v>
      </c>
      <c r="BU47" s="74">
        <f>ROWS($BU$29:BU47)</f>
        <v>19</v>
      </c>
      <c r="BV47" s="78" cm="1">
        <f t="array" ref="BV47">INDEX('6. Unit Economics'!$B$61:$Y$61,1,$BU47)</f>
        <v>11.450576129268931</v>
      </c>
      <c r="BW47" s="78">
        <f>'1. Assumptions'!$G$109</f>
        <v>12</v>
      </c>
      <c r="CB47" s="74">
        <f>ROWS($CB$29:CB47)</f>
        <v>19</v>
      </c>
      <c r="CC47" s="79" cm="1">
        <f t="array" ref="CC47">INDEX('7. P&amp;L + cash'!$D$37:$AA$37,1,$CB47)</f>
        <v>0.6930128079901503</v>
      </c>
      <c r="CD47" s="79">
        <f>'1. Assumptions'!$G$92</f>
        <v>0.74</v>
      </c>
    </row>
    <row r="48" spans="1:82">
      <c r="BF48" s="74">
        <f>ROWS($BF$29:BF48)</f>
        <v>20</v>
      </c>
      <c r="BG48" s="75" cm="1">
        <f t="array" ref="BG48">(INDEX('7. P&amp;L + cash'!$D$20:$AA$20,1,$BF48)+INDEX('3. Revenue Model'!$D$64:$AA$64,1,$BF48))*12</f>
        <v>133398.00163791337</v>
      </c>
      <c r="BH48" s="75" cm="1">
        <f t="array" ref="BH48">INDEX('7. P&amp;L + cash'!$D$21:$AA$21,1,$BF48)*12</f>
        <v>30692.018398395216</v>
      </c>
      <c r="BI48" s="75" cm="1">
        <f t="array" ref="BI48">-INDEX('7. P&amp;L + cash'!$D$23:$AA$23,1,$BF48)*12</f>
        <v>-46088.153064266509</v>
      </c>
      <c r="BJ48" s="75" cm="1">
        <f t="array" ref="BJ48">-INDEX('7. P&amp;L + cash'!$D$22:$AA$22,1,$BF48)*12</f>
        <v>-14251.935324290896</v>
      </c>
      <c r="BK48" s="76" cm="1">
        <f t="array" ref="BK48">INDEX('7. P&amp;L + cash'!$D$24:$AA$24,1,$BF48)*12</f>
        <v>103749.93164775119</v>
      </c>
      <c r="BN48" s="74">
        <f>ROWS($BN$29:BN48)</f>
        <v>20</v>
      </c>
      <c r="BO48" s="76" cm="1">
        <f t="array" ref="BO48">INDEX('7. P&amp;L + cash'!$D$84:$AA$84,1,$BN48)</f>
        <v>243174.39232203056</v>
      </c>
      <c r="BP48" s="76" cm="1">
        <f t="array" ref="BP48">MAX(0,INDEX('7. P&amp;L + cash'!$D$81:$AA$81,1,$BN48)*6)</f>
        <v>477377.92513918632</v>
      </c>
      <c r="BU48" s="74">
        <f>ROWS($BU$29:BU48)</f>
        <v>20</v>
      </c>
      <c r="BV48" s="78" cm="1">
        <f t="array" ref="BV48">INDEX('6. Unit Economics'!$B$61:$Y$61,1,$BU48)</f>
        <v>11.239429626808922</v>
      </c>
      <c r="BW48" s="78">
        <f>'1. Assumptions'!$G$109</f>
        <v>12</v>
      </c>
      <c r="CB48" s="74">
        <f>ROWS($CB$29:CB48)</f>
        <v>20</v>
      </c>
      <c r="CC48" s="79" cm="1">
        <f t="array" ref="CC48">INDEX('7. P&amp;L + cash'!$D$37:$AA$37,1,$CB48)</f>
        <v>0.70294528161623926</v>
      </c>
      <c r="CD48" s="79">
        <f>'1. Assumptions'!$G$92</f>
        <v>0.74</v>
      </c>
    </row>
    <row r="49" spans="1:82">
      <c r="BF49" s="74">
        <f>ROWS($BF$29:BF49)</f>
        <v>21</v>
      </c>
      <c r="BG49" s="75" cm="1">
        <f t="array" ref="BG49">(INDEX('7. P&amp;L + cash'!$D$20:$AA$20,1,$BF49)+INDEX('3. Revenue Model'!$D$64:$AA$64,1,$BF49))*12</f>
        <v>144875.325833952</v>
      </c>
      <c r="BH49" s="75" cm="1">
        <f t="array" ref="BH49">INDEX('7. P&amp;L + cash'!$D$21:$AA$21,1,$BF49)*12</f>
        <v>33141.131011763719</v>
      </c>
      <c r="BI49" s="75" cm="1">
        <f t="array" ref="BI49">-INDEX('7. P&amp;L + cash'!$D$23:$AA$23,1,$BF49)*12</f>
        <v>-49555.353253452457</v>
      </c>
      <c r="BJ49" s="75" cm="1">
        <f t="array" ref="BJ49">-INDEX('7. P&amp;L + cash'!$D$22:$AA$22,1,$BF49)*12</f>
        <v>-15289.434640768406</v>
      </c>
      <c r="BK49" s="76" cm="1">
        <f t="array" ref="BK49">INDEX('7. P&amp;L + cash'!$D$24:$AA$24,1,$BF49)*12</f>
        <v>113171.66895149485</v>
      </c>
      <c r="BN49" s="74">
        <f>ROWS($BN$29:BN49)</f>
        <v>21</v>
      </c>
      <c r="BO49" s="76" cm="1">
        <f t="array" ref="BO49">INDEX('7. P&amp;L + cash'!$D$84:$AA$84,1,$BN49)</f>
        <v>172837.00494782929</v>
      </c>
      <c r="BP49" s="76" cm="1">
        <f t="array" ref="BP49">MAX(0,INDEX('7. P&amp;L + cash'!$D$81:$AA$81,1,$BN49)*6)</f>
        <v>422024.32424520759</v>
      </c>
      <c r="BU49" s="74">
        <f>ROWS($BU$29:BU49)</f>
        <v>21</v>
      </c>
      <c r="BV49" s="78" cm="1">
        <f t="array" ref="BV49">INDEX('6. Unit Economics'!$B$61:$Y$61,1,$BU49)</f>
        <v>11.045203687533292</v>
      </c>
      <c r="BW49" s="78">
        <f>'1. Assumptions'!$G$109</f>
        <v>12</v>
      </c>
      <c r="CB49" s="74">
        <f>ROWS($CB$29:CB49)</f>
        <v>21</v>
      </c>
      <c r="CC49" s="79" cm="1">
        <f t="array" ref="CC49">INDEX('7. P&amp;L + cash'!$D$37:$AA$37,1,$CB49)</f>
        <v>0.71228493722424824</v>
      </c>
      <c r="CD49" s="79">
        <f>'1. Assumptions'!$G$92</f>
        <v>0.74</v>
      </c>
    </row>
    <row r="50" spans="1:82">
      <c r="BF50" s="74">
        <f>ROWS($BF$29:BF50)</f>
        <v>22</v>
      </c>
      <c r="BG50" s="75" cm="1">
        <f t="array" ref="BG50">(INDEX('7. P&amp;L + cash'!$D$20:$AA$20,1,$BF50)+INDEX('3. Revenue Model'!$D$64:$AA$64,1,$BF50))*12</f>
        <v>157375.84229333512</v>
      </c>
      <c r="BH50" s="75" cm="1">
        <f t="array" ref="BH50">INDEX('7. P&amp;L + cash'!$D$21:$AA$21,1,$BF50)*12</f>
        <v>35833.060085656885</v>
      </c>
      <c r="BI50" s="75" cm="1">
        <f t="array" ref="BI50">-INDEX('7. P&amp;L + cash'!$D$23:$AA$23,1,$BF50)*12</f>
        <v>-53346.305557809013</v>
      </c>
      <c r="BJ50" s="75" cm="1">
        <f t="array" ref="BJ50">-INDEX('7. P&amp;L + cash'!$D$22:$AA$22,1,$BF50)*12</f>
        <v>-16421.151330283355</v>
      </c>
      <c r="BK50" s="76" cm="1">
        <f t="array" ref="BK50">INDEX('7. P&amp;L + cash'!$D$24:$AA$24,1,$BF50)*12</f>
        <v>123441.44549089964</v>
      </c>
      <c r="BN50" s="74">
        <f>ROWS($BN$29:BN50)</f>
        <v>22</v>
      </c>
      <c r="BO50" s="76" cm="1">
        <f t="array" ref="BO50">INDEX('7. P&amp;L + cash'!$D$84:$AA$84,1,$BN50)</f>
        <v>112636.2631522055</v>
      </c>
      <c r="BP50" s="76" cm="1">
        <f t="array" ref="BP50">MAX(0,INDEX('7. P&amp;L + cash'!$D$81:$AA$81,1,$BN50)*6)</f>
        <v>361204.45077374275</v>
      </c>
      <c r="BU50" s="74">
        <f>ROWS($BU$29:BU50)</f>
        <v>22</v>
      </c>
      <c r="BV50" s="78" cm="1">
        <f t="array" ref="BV50">INDEX('6. Unit Economics'!$B$61:$Y$61,1,$BU50)</f>
        <v>10.866136949382417</v>
      </c>
      <c r="BW50" s="78">
        <f>'1. Assumptions'!$G$109</f>
        <v>12</v>
      </c>
      <c r="CB50" s="74">
        <f>ROWS($CB$29:CB50)</f>
        <v>22</v>
      </c>
      <c r="CC50" s="79" cm="1">
        <f t="array" ref="CC50">INDEX('7. P&amp;L + cash'!$D$37:$AA$37,1,$CB50)</f>
        <v>0.72105100317048632</v>
      </c>
      <c r="CD50" s="79">
        <f>'1. Assumptions'!$G$92</f>
        <v>0.74</v>
      </c>
    </row>
    <row r="51" spans="1:82">
      <c r="BF51" s="74">
        <f>ROWS($BF$29:BF51)</f>
        <v>23</v>
      </c>
      <c r="BG51" s="75" cm="1">
        <f t="array" ref="BG51">(INDEX('7. P&amp;L + cash'!$D$20:$AA$20,1,$BF51)+INDEX('3. Revenue Model'!$D$64:$AA$64,1,$BF51))*12</f>
        <v>170991.86913593271</v>
      </c>
      <c r="BH51" s="75" cm="1">
        <f t="array" ref="BH51">INDEX('7. P&amp;L + cash'!$D$21:$AA$21,1,$BF51)*12</f>
        <v>38790.415480014984</v>
      </c>
      <c r="BI51" s="75" cm="1">
        <f t="array" ref="BI51">-INDEX('7. P&amp;L + cash'!$D$23:$AA$23,1,$BF51)*12</f>
        <v>-57490.660284770871</v>
      </c>
      <c r="BJ51" s="75" cm="1">
        <f t="array" ref="BJ51">-INDEX('7. P&amp;L + cash'!$D$22:$AA$22,1,$BF51)*12</f>
        <v>-17655.565785192353</v>
      </c>
      <c r="BK51" s="76" cm="1">
        <f t="array" ref="BK51">INDEX('7. P&amp;L + cash'!$D$24:$AA$24,1,$BF51)*12</f>
        <v>134636.05854598447</v>
      </c>
      <c r="BN51" s="74">
        <f>ROWS($BN$29:BN51)</f>
        <v>23</v>
      </c>
      <c r="BO51" s="76" cm="1">
        <f t="array" ref="BO51">INDEX('7. P&amp;L + cash'!$D$84:$AA$84,1,$BN51)</f>
        <v>5063570.1591940625</v>
      </c>
      <c r="BP51" s="76" cm="1">
        <f t="array" ref="BP51">MAX(0,INDEX('7. P&amp;L + cash'!$D$81:$AA$81,1,$BN51)*6)</f>
        <v>294396.62374885665</v>
      </c>
      <c r="BU51" s="74">
        <f>ROWS($BU$29:BU51)</f>
        <v>23</v>
      </c>
      <c r="BV51" s="78" cm="1">
        <f t="array" ref="BV51">INDEX('6. Unit Economics'!$B$61:$Y$61,1,$BU51)</f>
        <v>10.700650444711787</v>
      </c>
      <c r="BW51" s="78">
        <f>'1. Assumptions'!$G$109</f>
        <v>12</v>
      </c>
      <c r="CB51" s="74">
        <f>ROWS($CB$29:CB51)</f>
        <v>23</v>
      </c>
      <c r="CC51" s="79" cm="1">
        <f t="array" ref="CC51">INDEX('7. P&amp;L + cash'!$D$37:$AA$37,1,$CB51)</f>
        <v>0.72926487897986281</v>
      </c>
      <c r="CD51" s="79">
        <f>'1. Assumptions'!$G$92</f>
        <v>0.74</v>
      </c>
    </row>
    <row r="52" spans="1:82">
      <c r="BF52" s="74">
        <f>ROWS($BF$29:BF52)</f>
        <v>24</v>
      </c>
      <c r="BG52" s="75" cm="1">
        <f t="array" ref="BG52">(INDEX('7. P&amp;L + cash'!$D$20:$AA$20,1,$BF52)+INDEX('3. Revenue Model'!$D$64:$AA$64,1,$BF52))*12</f>
        <v>185824.53854116501</v>
      </c>
      <c r="BH52" s="75" cm="1">
        <f t="array" ref="BH52">INDEX('7. P&amp;L + cash'!$D$21:$AA$21,1,$BF52)*12</f>
        <v>42037.973148999408</v>
      </c>
      <c r="BI52" s="75" cm="1">
        <f t="array" ref="BI52">-INDEX('7. P&amp;L + cash'!$D$23:$AA$23,1,$BF52)*12</f>
        <v>-62020.818332403767</v>
      </c>
      <c r="BJ52" s="75" cm="1">
        <f t="array" ref="BJ52">-INDEX('7. P&amp;L + cash'!$D$22:$AA$22,1,$BF52)*12</f>
        <v>-19001.926370652196</v>
      </c>
      <c r="BK52" s="76" cm="1">
        <f t="array" ref="BK52">INDEX('7. P&amp;L + cash'!$D$24:$AA$24,1,$BF52)*12</f>
        <v>146839.76698710848</v>
      </c>
      <c r="BN52" s="74">
        <f>ROWS($BN$29:BN52)</f>
        <v>24</v>
      </c>
      <c r="BO52" s="76" cm="1">
        <f t="array" ref="BO52">INDEX('7. P&amp;L + cash'!$D$84:$AA$84,1,$BN52)</f>
        <v>5026732.0116651999</v>
      </c>
      <c r="BP52" s="76" cm="1">
        <f t="array" ref="BP52">MAX(0,INDEX('7. P&amp;L + cash'!$D$81:$AA$81,1,$BN52)*6)</f>
        <v>221028.88517317496</v>
      </c>
      <c r="BU52" s="74">
        <f>ROWS($BU$29:BU52)</f>
        <v>24</v>
      </c>
      <c r="BV52" s="78" cm="1">
        <f t="array" ref="BV52">INDEX('6. Unit Economics'!$B$61:$Y$61,1,$BU52)</f>
        <v>10.547331421849993</v>
      </c>
      <c r="BW52" s="78">
        <f>'1. Assumptions'!$G$109</f>
        <v>12</v>
      </c>
      <c r="CB52" s="74">
        <f>ROWS($CB$29:CB52)</f>
        <v>24</v>
      </c>
      <c r="CC52" s="79" cm="1">
        <f t="array" ref="CC52">INDEX('7. P&amp;L + cash'!$D$37:$AA$37,1,$CB52)</f>
        <v>0.73694967780662013</v>
      </c>
      <c r="CD52" s="79">
        <f>'1. Assumptions'!$G$92</f>
        <v>0.74</v>
      </c>
    </row>
    <row r="53" spans="1:82">
      <c r="A53" s="67"/>
    </row>
    <row r="54" spans="1:82">
      <c r="A54" s="67"/>
    </row>
    <row r="55" spans="1:82">
      <c r="A55" s="67"/>
      <c r="AB55" s="369"/>
      <c r="AC55" s="369"/>
      <c r="AD55" s="369"/>
    </row>
    <row r="56" spans="1:82">
      <c r="A56" s="67"/>
      <c r="AB56" s="369"/>
      <c r="AC56" s="369"/>
      <c r="AD56" s="369"/>
    </row>
    <row r="57" spans="1:82">
      <c r="A57" s="67"/>
      <c r="AB57" s="369"/>
      <c r="AC57" s="369"/>
      <c r="AD57" s="369"/>
    </row>
    <row r="58" spans="1:82">
      <c r="A58" s="67"/>
      <c r="AB58" s="369"/>
      <c r="AC58" s="369"/>
      <c r="AD58" s="369"/>
    </row>
    <row r="59" spans="1:82">
      <c r="A59" s="67"/>
      <c r="AB59" s="369"/>
      <c r="AC59" s="369"/>
      <c r="AD59" s="369"/>
    </row>
    <row r="60" spans="1:82">
      <c r="A60" s="67"/>
      <c r="AB60" s="369"/>
      <c r="AC60" s="369"/>
      <c r="AD60" s="369"/>
    </row>
    <row r="61" spans="1:82">
      <c r="A61" s="67"/>
      <c r="AB61" s="369"/>
      <c r="AC61" s="369"/>
      <c r="AD61" s="369"/>
    </row>
    <row r="62" spans="1:82">
      <c r="A62" s="67"/>
      <c r="AB62" s="369"/>
      <c r="AC62" s="369"/>
      <c r="AD62" s="369"/>
    </row>
    <row r="63" spans="1:82">
      <c r="A63" s="67"/>
      <c r="AB63" s="369"/>
      <c r="AC63" s="369"/>
      <c r="AD63" s="369"/>
    </row>
    <row r="64" spans="1:82">
      <c r="A64" s="67"/>
      <c r="AB64" s="369"/>
      <c r="AC64" s="369"/>
      <c r="AD64" s="369"/>
    </row>
    <row r="65" spans="1:30">
      <c r="A65" s="67"/>
      <c r="AB65" s="369"/>
      <c r="AC65" s="369"/>
      <c r="AD65" s="369"/>
    </row>
    <row r="66" spans="1:30">
      <c r="A66" s="67"/>
      <c r="AB66" s="369"/>
      <c r="AC66" s="369"/>
      <c r="AD66" s="369"/>
    </row>
    <row r="67" spans="1:30">
      <c r="A67" s="67"/>
      <c r="AB67" s="369"/>
      <c r="AC67" s="369"/>
      <c r="AD67" s="369"/>
    </row>
    <row r="68" spans="1:30">
      <c r="A68" s="67"/>
      <c r="AB68" s="369"/>
      <c r="AC68" s="369"/>
      <c r="AD68" s="369"/>
    </row>
    <row r="69" spans="1:30">
      <c r="A69" s="67"/>
      <c r="AB69" s="369"/>
      <c r="AC69" s="369"/>
      <c r="AD69" s="369"/>
    </row>
    <row r="70" spans="1:30">
      <c r="D70" s="70"/>
      <c r="E70" s="70"/>
      <c r="F70" s="70"/>
      <c r="G70" s="70"/>
      <c r="H70" s="70"/>
      <c r="I70" s="70"/>
      <c r="J70" s="70"/>
      <c r="K70" s="70"/>
      <c r="L70" s="70"/>
      <c r="M70" s="70"/>
      <c r="Q70" s="70"/>
      <c r="R70" s="70"/>
      <c r="S70" s="70"/>
      <c r="T70" s="70"/>
      <c r="U70" s="70"/>
      <c r="V70" s="70"/>
      <c r="W70" s="70"/>
      <c r="X70" s="70"/>
      <c r="Y70" s="70"/>
      <c r="Z70" s="70"/>
      <c r="AA70" s="70"/>
      <c r="AB70" s="370"/>
      <c r="AC70" s="369"/>
      <c r="AD70" s="369"/>
    </row>
    <row r="71" spans="1:30">
      <c r="D71" s="68"/>
      <c r="E71" s="68"/>
      <c r="F71" s="68"/>
      <c r="G71" s="68"/>
      <c r="H71" s="68"/>
      <c r="I71" s="68"/>
      <c r="J71" s="68"/>
      <c r="K71" s="68"/>
      <c r="L71" s="68"/>
      <c r="M71" s="68"/>
      <c r="Q71" s="68"/>
      <c r="R71" s="68"/>
      <c r="S71" s="68"/>
      <c r="T71" s="68"/>
      <c r="U71" s="68"/>
      <c r="V71" s="68"/>
      <c r="W71" s="68"/>
      <c r="X71" s="68"/>
      <c r="Y71" s="68"/>
      <c r="Z71" s="68"/>
      <c r="AA71" s="68"/>
      <c r="AB71" s="371"/>
      <c r="AC71" s="369"/>
      <c r="AD71" s="369"/>
    </row>
    <row r="72" spans="1:30">
      <c r="AB72" s="369"/>
      <c r="AC72" s="369"/>
      <c r="AD72" s="369"/>
    </row>
    <row r="73" spans="1:30">
      <c r="AB73" s="369"/>
      <c r="AC73" s="369"/>
      <c r="AD73" s="369"/>
    </row>
    <row r="74" spans="1:30">
      <c r="AB74" s="369"/>
      <c r="AC74" s="369"/>
      <c r="AD74" s="369"/>
    </row>
    <row r="75" spans="1:30">
      <c r="AB75" s="369"/>
      <c r="AC75" s="369"/>
      <c r="AD75" s="369"/>
    </row>
    <row r="76" spans="1:30">
      <c r="AB76" s="369"/>
      <c r="AC76" s="369"/>
      <c r="AD76" s="369"/>
    </row>
    <row r="77" spans="1:30">
      <c r="AB77" s="369"/>
      <c r="AC77" s="369"/>
      <c r="AD77" s="369"/>
    </row>
    <row r="78" spans="1:30">
      <c r="AB78" s="369"/>
      <c r="AC78" s="369"/>
      <c r="AD78" s="369"/>
    </row>
    <row r="79" spans="1:30">
      <c r="AB79" s="369"/>
      <c r="AC79" s="369"/>
      <c r="AD79" s="369"/>
    </row>
    <row r="97" spans="15:16">
      <c r="O97" s="69"/>
      <c r="P97" s="69"/>
    </row>
    <row r="98" spans="15:16">
      <c r="O98" s="69"/>
      <c r="P98" s="69"/>
    </row>
    <row r="99" spans="15:16">
      <c r="O99" s="69"/>
      <c r="P99" s="69"/>
    </row>
    <row r="100" spans="15:16">
      <c r="O100" s="69"/>
      <c r="P100" s="69"/>
    </row>
    <row r="101" spans="15:16">
      <c r="O101" s="69"/>
      <c r="P101" s="69"/>
    </row>
    <row r="102" spans="15:16">
      <c r="O102" s="69"/>
      <c r="P102" s="69"/>
    </row>
    <row r="103" spans="15:16">
      <c r="O103" s="69"/>
      <c r="P103" s="69"/>
    </row>
  </sheetData>
  <mergeCells count="49">
    <mergeCell ref="BF27:BK27"/>
    <mergeCell ref="V26:AB26"/>
    <mergeCell ref="O26:S26"/>
    <mergeCell ref="A3:AB3"/>
    <mergeCell ref="O23:Q23"/>
    <mergeCell ref="O22:Q22"/>
    <mergeCell ref="O20:Q20"/>
    <mergeCell ref="O21:Q21"/>
    <mergeCell ref="A20:G23"/>
    <mergeCell ref="H20:N23"/>
    <mergeCell ref="V20:AB23"/>
    <mergeCell ref="A26:F26"/>
    <mergeCell ref="A16:G16"/>
    <mergeCell ref="H16:N16"/>
    <mergeCell ref="O16:U16"/>
    <mergeCell ref="V16:AB16"/>
    <mergeCell ref="A17:G19"/>
    <mergeCell ref="H17:N19"/>
    <mergeCell ref="O17:U19"/>
    <mergeCell ref="V17:Y19"/>
    <mergeCell ref="Z17:AB19"/>
    <mergeCell ref="A15:G15"/>
    <mergeCell ref="H15:N15"/>
    <mergeCell ref="O15:U15"/>
    <mergeCell ref="V15:AB15"/>
    <mergeCell ref="H7:K9"/>
    <mergeCell ref="L7:N9"/>
    <mergeCell ref="H10:N13"/>
    <mergeCell ref="V7:Y9"/>
    <mergeCell ref="Z7:AB9"/>
    <mergeCell ref="V10:AB13"/>
    <mergeCell ref="A5:G5"/>
    <mergeCell ref="A10:G13"/>
    <mergeCell ref="A6:G6"/>
    <mergeCell ref="H5:N5"/>
    <mergeCell ref="H6:N6"/>
    <mergeCell ref="A7:G9"/>
    <mergeCell ref="BT26:BX26"/>
    <mergeCell ref="CA26:CG26"/>
    <mergeCell ref="J1:S1"/>
    <mergeCell ref="I26:K26"/>
    <mergeCell ref="BF26:BK26"/>
    <mergeCell ref="BN26:BP26"/>
    <mergeCell ref="O5:U5"/>
    <mergeCell ref="O6:U6"/>
    <mergeCell ref="O10:U13"/>
    <mergeCell ref="O7:U9"/>
    <mergeCell ref="V5:AB5"/>
    <mergeCell ref="V6:AB6"/>
  </mergeCells>
  <conditionalFormatting sqref="V17:Y19">
    <cfRule type="containsText" dxfId="22" priority="1" operator="containsText" text="RED">
      <formula>NOT(ISERROR(SEARCH("RED",V17)))</formula>
    </cfRule>
    <cfRule type="containsText" dxfId="21" priority="2" operator="containsText" text="AMBER">
      <formula>NOT(ISERROR(SEARCH("AMBER",V17)))</formula>
    </cfRule>
    <cfRule type="containsText" dxfId="20" priority="3" operator="containsText" text="GREEN">
      <formula>NOT(ISERROR(SEARCH("GREEN",V17)))</formula>
    </cfRule>
    <cfRule type="containsText" dxfId="19" priority="4" operator="containsText" text="GREEN">
      <formula>NOT(ISERROR(SEARCH("GREEN",V17)))</formula>
    </cfRule>
  </conditionalFormatting>
  <pageMargins left="0.7" right="0.7" top="0.75" bottom="0.75" header="0.3" footer="0.3"/>
  <pageSetup paperSize="9" scale="12" orientation="portrait" r:id="rId1"/>
  <drawing r:id="rId2"/>
  <extLst>
    <ext xmlns:x14="http://schemas.microsoft.com/office/spreadsheetml/2009/9/main" uri="{05C60535-1F16-4fd2-B633-F4F36F0B64E0}">
      <x14:sparklineGroups xmlns:xm="http://schemas.microsoft.com/office/excel/2006/main">
        <x14:sparklineGroup displayEmptyCellsAs="gap" xr2:uid="{09D4A780-56FA-4855-944A-A25E515B20C7}">
          <x14:colorSeries rgb="FF376092"/>
          <x14:colorNegative rgb="FFD00000"/>
          <x14:colorAxis rgb="FF000000"/>
          <x14:colorMarkers rgb="FFD00000"/>
          <x14:colorFirst rgb="FFD00000"/>
          <x14:colorLast rgb="FFD00000"/>
          <x14:colorHigh rgb="FFD00000"/>
          <x14:colorLow rgb="FFD00000"/>
          <x14:sparklines>
            <x14:sparkline>
              <xm:f>'7. P&amp;L + cash'!D37:AA37</xm:f>
              <xm:sqref>A20</xm:sqref>
            </x14:sparkline>
          </x14:sparklines>
        </x14:sparklineGroup>
        <x14:sparklineGroup displayEmptyCellsAs="gap" xr2:uid="{6413F32C-EDC9-4A66-A826-FE30BF1899A3}">
          <x14:colorSeries rgb="FF376092"/>
          <x14:colorNegative rgb="FFD00000"/>
          <x14:colorAxis rgb="FF000000"/>
          <x14:colorMarkers rgb="FFD00000"/>
          <x14:colorFirst rgb="FFD00000"/>
          <x14:colorLast rgb="FFD00000"/>
          <x14:colorHigh rgb="FFD00000"/>
          <x14:colorLow rgb="FFD00000"/>
          <x14:sparklines>
            <x14:sparkline>
              <xm:f>'6. Unit Economics'!B61:Y61</xm:f>
              <xm:sqref>H20</xm:sqref>
            </x14:sparkline>
          </x14:sparklines>
        </x14:sparklineGroup>
        <x14:sparklineGroup displayEmptyCellsAs="gap" xr2:uid="{8940EB3B-1463-48D8-BF2E-C29CB38036F2}">
          <x14:colorSeries rgb="FF376092"/>
          <x14:colorNegative rgb="FFD00000"/>
          <x14:colorAxis rgb="FF000000"/>
          <x14:colorMarkers rgb="FFD00000"/>
          <x14:colorFirst rgb="FFD00000"/>
          <x14:colorLast rgb="FFD00000"/>
          <x14:colorHigh rgb="FFD00000"/>
          <x14:colorLow rgb="FFD00000"/>
          <x14:sparklines>
            <x14:sparkline>
              <xm:f>'7. P&amp;L + cash'!D84:AA84</xm:f>
              <xm:sqref>V10</xm:sqref>
            </x14:sparkline>
          </x14:sparklines>
        </x14:sparklineGroup>
        <x14:sparklineGroup displayEmptyCellsAs="gap" xr2:uid="{2A6B0312-554C-4389-A58E-FE07B17ACA16}">
          <x14:colorSeries rgb="FF376092"/>
          <x14:colorNegative rgb="FFD00000"/>
          <x14:colorAxis rgb="FF000000"/>
          <x14:colorMarkers rgb="FFD00000"/>
          <x14:colorFirst rgb="FFD00000"/>
          <x14:colorLast rgb="FFD00000"/>
          <x14:colorHigh rgb="FFD00000"/>
          <x14:colorLow rgb="FFD00000"/>
          <x14:sparklines>
            <x14:sparkline>
              <xm:f>'7. P&amp;L + cash'!D81:AA81</xm:f>
              <xm:sqref>O10</xm:sqref>
            </x14:sparkline>
          </x14:sparklines>
        </x14:sparklineGroup>
        <x14:sparklineGroup displayEmptyCellsAs="gap" xr2:uid="{0E6EEE28-701F-4D36-BAED-D2C28E485D6A}">
          <x14:colorSeries rgb="FF376092"/>
          <x14:colorNegative rgb="FFD00000"/>
          <x14:colorAxis rgb="FF000000"/>
          <x14:colorMarkers rgb="FFD00000"/>
          <x14:colorFirst rgb="FFD00000"/>
          <x14:colorLast rgb="FFD00000"/>
          <x14:colorHigh rgb="FFD00000"/>
          <x14:colorLow rgb="FFD00000"/>
          <x14:sparklines>
            <x14:sparkline>
              <xm:f>'3. Revenue Model'!D97:AA97</xm:f>
              <xm:sqref>H10</xm:sqref>
            </x14:sparkline>
          </x14:sparklines>
        </x14:sparklineGroup>
        <x14:sparklineGroup displayEmptyCellsAs="gap" xr2:uid="{82BC3AD3-F65B-4112-BA09-6CBB80CFC071}">
          <x14:colorSeries rgb="FF376092"/>
          <x14:colorNegative rgb="FFD00000"/>
          <x14:colorAxis rgb="FF000000"/>
          <x14:colorMarkers rgb="FFD00000"/>
          <x14:colorFirst rgb="FFD00000"/>
          <x14:colorLast rgb="FFD00000"/>
          <x14:colorHigh rgb="FFD00000"/>
          <x14:colorLow rgb="FFD00000"/>
          <x14:sparklines>
            <x14:sparkline>
              <xm:f>'3. Revenue Model'!D94:AA94</xm:f>
              <xm:sqref>A10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CB96-9EC9-4466-84C7-6438ADFF74D6}">
  <dimension ref="A1:AD118"/>
  <sheetViews>
    <sheetView showGridLines="0" workbookViewId="0">
      <pane xSplit="3" ySplit="3" topLeftCell="D4" activePane="bottomRight" state="frozen"/>
      <selection activeCell="A6" sqref="A6"/>
      <selection pane="topRight" activeCell="A6" sqref="A6"/>
      <selection pane="bottomLeft" activeCell="A6" sqref="A6"/>
      <selection pane="bottomRight" activeCell="D4" sqref="D4"/>
    </sheetView>
  </sheetViews>
  <sheetFormatPr defaultRowHeight="14.4"/>
  <cols>
    <col min="1" max="1" width="24.109375" customWidth="1"/>
    <col min="2" max="2" width="27.33203125" customWidth="1"/>
    <col min="3" max="3" width="17.6640625" customWidth="1"/>
    <col min="4" max="4" width="10" bestFit="1" customWidth="1"/>
    <col min="5" max="5" width="9.109375" customWidth="1"/>
    <col min="6" max="16" width="9" bestFit="1" customWidth="1"/>
    <col min="17" max="27" width="10.109375" bestFit="1" customWidth="1"/>
    <col min="29" max="29" width="43" customWidth="1"/>
  </cols>
  <sheetData>
    <row r="1" spans="1:29" ht="48" customHeight="1">
      <c r="A1" s="51" t="s">
        <v>1298</v>
      </c>
      <c r="B1" s="50"/>
      <c r="C1" s="50"/>
      <c r="D1" s="50"/>
      <c r="E1" s="44"/>
      <c r="F1" s="34" t="s">
        <v>658</v>
      </c>
      <c r="G1" s="35" t="s">
        <v>659</v>
      </c>
      <c r="H1" s="36" t="s">
        <v>660</v>
      </c>
      <c r="I1" s="37" t="s">
        <v>661</v>
      </c>
    </row>
    <row r="2" spans="1:29" s="3" customFormat="1" ht="39.6">
      <c r="A2" s="104" t="s">
        <v>662</v>
      </c>
      <c r="B2" s="104" t="s">
        <v>663</v>
      </c>
      <c r="C2" s="104" t="s">
        <v>32</v>
      </c>
      <c r="D2" s="104" t="s">
        <v>664</v>
      </c>
      <c r="E2" s="104" t="s">
        <v>665</v>
      </c>
      <c r="F2" s="104" t="s">
        <v>666</v>
      </c>
      <c r="G2" s="104" t="s">
        <v>667</v>
      </c>
      <c r="H2" s="104" t="s">
        <v>668</v>
      </c>
      <c r="I2" s="104" t="s">
        <v>669</v>
      </c>
      <c r="J2" s="104" t="s">
        <v>670</v>
      </c>
      <c r="K2" s="104" t="s">
        <v>671</v>
      </c>
      <c r="L2" s="104" t="s">
        <v>672</v>
      </c>
      <c r="M2" s="104" t="s">
        <v>673</v>
      </c>
      <c r="N2" s="104" t="s">
        <v>674</v>
      </c>
      <c r="O2" s="104" t="s">
        <v>675</v>
      </c>
      <c r="P2" s="104" t="s">
        <v>676</v>
      </c>
      <c r="Q2" s="104" t="s">
        <v>677</v>
      </c>
      <c r="R2" s="104" t="s">
        <v>678</v>
      </c>
      <c r="S2" s="104" t="s">
        <v>679</v>
      </c>
      <c r="T2" s="104" t="s">
        <v>680</v>
      </c>
      <c r="U2" s="104" t="s">
        <v>681</v>
      </c>
      <c r="V2" s="104" t="s">
        <v>682</v>
      </c>
      <c r="W2" s="104" t="s">
        <v>683</v>
      </c>
      <c r="X2" s="104" t="s">
        <v>684</v>
      </c>
      <c r="Y2" s="104" t="s">
        <v>685</v>
      </c>
      <c r="Z2" s="104" t="s">
        <v>686</v>
      </c>
      <c r="AA2" s="104" t="s">
        <v>687</v>
      </c>
      <c r="AB2" s="104" t="s">
        <v>688</v>
      </c>
      <c r="AC2" s="104" t="s">
        <v>689</v>
      </c>
    </row>
    <row r="3" spans="1:29" s="106" customFormat="1" ht="15" customHeight="1">
      <c r="A3" s="105" t="s">
        <v>690</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row>
    <row r="4" spans="1:29" s="3" customFormat="1" ht="13.2">
      <c r="A4" s="107" t="s">
        <v>691</v>
      </c>
      <c r="B4" s="107" t="s">
        <v>38</v>
      </c>
      <c r="C4" s="108" t="s">
        <v>39</v>
      </c>
      <c r="D4" s="109" t="str">
        <f>INDEX('1. Assumptions'!$G:$G,MATCH("Selected Scenario",'1. Assumptions'!$B:$B,0))</f>
        <v>Base</v>
      </c>
      <c r="E4" s="109" t="str">
        <f>INDEX('1. Assumptions'!$G:$G,MATCH("Selected Scenario",'1. Assumptions'!$B:$B,0))</f>
        <v>Base</v>
      </c>
      <c r="F4" s="109" t="str">
        <f>INDEX('1. Assumptions'!$G:$G,MATCH("Selected Scenario",'1. Assumptions'!$B:$B,0))</f>
        <v>Base</v>
      </c>
      <c r="G4" s="109" t="str">
        <f>INDEX('1. Assumptions'!$G:$G,MATCH("Selected Scenario",'1. Assumptions'!$B:$B,0))</f>
        <v>Base</v>
      </c>
      <c r="H4" s="109" t="str">
        <f>INDEX('1. Assumptions'!$G:$G,MATCH("Selected Scenario",'1. Assumptions'!$B:$B,0))</f>
        <v>Base</v>
      </c>
      <c r="I4" s="109" t="str">
        <f>INDEX('1. Assumptions'!$G:$G,MATCH("Selected Scenario",'1. Assumptions'!$B:$B,0))</f>
        <v>Base</v>
      </c>
      <c r="J4" s="109" t="str">
        <f>INDEX('1. Assumptions'!$G:$G,MATCH("Selected Scenario",'1. Assumptions'!$B:$B,0))</f>
        <v>Base</v>
      </c>
      <c r="K4" s="109" t="str">
        <f>INDEX('1. Assumptions'!$G:$G,MATCH("Selected Scenario",'1. Assumptions'!$B:$B,0))</f>
        <v>Base</v>
      </c>
      <c r="L4" s="109" t="str">
        <f>INDEX('1. Assumptions'!$G:$G,MATCH("Selected Scenario",'1. Assumptions'!$B:$B,0))</f>
        <v>Base</v>
      </c>
      <c r="M4" s="109" t="str">
        <f>INDEX('1. Assumptions'!$G:$G,MATCH("Selected Scenario",'1. Assumptions'!$B:$B,0))</f>
        <v>Base</v>
      </c>
      <c r="N4" s="109" t="str">
        <f>INDEX('1. Assumptions'!$G:$G,MATCH("Selected Scenario",'1. Assumptions'!$B:$B,0))</f>
        <v>Base</v>
      </c>
      <c r="O4" s="109" t="str">
        <f>INDEX('1. Assumptions'!$G:$G,MATCH("Selected Scenario",'1. Assumptions'!$B:$B,0))</f>
        <v>Base</v>
      </c>
      <c r="P4" s="109" t="str">
        <f>INDEX('1. Assumptions'!$G:$G,MATCH("Selected Scenario",'1. Assumptions'!$B:$B,0))</f>
        <v>Base</v>
      </c>
      <c r="Q4" s="109" t="str">
        <f>INDEX('1. Assumptions'!$G:$G,MATCH("Selected Scenario",'1. Assumptions'!$B:$B,0))</f>
        <v>Base</v>
      </c>
      <c r="R4" s="109" t="str">
        <f>INDEX('1. Assumptions'!$G:$G,MATCH("Selected Scenario",'1. Assumptions'!$B:$B,0))</f>
        <v>Base</v>
      </c>
      <c r="S4" s="109" t="str">
        <f>INDEX('1. Assumptions'!$G:$G,MATCH("Selected Scenario",'1. Assumptions'!$B:$B,0))</f>
        <v>Base</v>
      </c>
      <c r="T4" s="109" t="str">
        <f>INDEX('1. Assumptions'!$G:$G,MATCH("Selected Scenario",'1. Assumptions'!$B:$B,0))</f>
        <v>Base</v>
      </c>
      <c r="U4" s="109" t="str">
        <f>INDEX('1. Assumptions'!$G:$G,MATCH("Selected Scenario",'1. Assumptions'!$B:$B,0))</f>
        <v>Base</v>
      </c>
      <c r="V4" s="109" t="str">
        <f>INDEX('1. Assumptions'!$G:$G,MATCH("Selected Scenario",'1. Assumptions'!$B:$B,0))</f>
        <v>Base</v>
      </c>
      <c r="W4" s="109" t="str">
        <f>INDEX('1. Assumptions'!$G:$G,MATCH("Selected Scenario",'1. Assumptions'!$B:$B,0))</f>
        <v>Base</v>
      </c>
      <c r="X4" s="109" t="str">
        <f>INDEX('1. Assumptions'!$G:$G,MATCH("Selected Scenario",'1. Assumptions'!$B:$B,0))</f>
        <v>Base</v>
      </c>
      <c r="Y4" s="109" t="str">
        <f>INDEX('1. Assumptions'!$G:$G,MATCH("Selected Scenario",'1. Assumptions'!$B:$B,0))</f>
        <v>Base</v>
      </c>
      <c r="Z4" s="109" t="str">
        <f>INDEX('1. Assumptions'!$G:$G,MATCH("Selected Scenario",'1. Assumptions'!$B:$B,0))</f>
        <v>Base</v>
      </c>
      <c r="AA4" s="109" t="str">
        <f>INDEX('1. Assumptions'!$G:$G,MATCH("Selected Scenario",'1. Assumptions'!$B:$B,0))</f>
        <v>Base</v>
      </c>
      <c r="AC4" s="110" t="s">
        <v>692</v>
      </c>
    </row>
    <row r="5" spans="1:29" s="3" customFormat="1" ht="13.2">
      <c r="A5" s="111" t="s">
        <v>693</v>
      </c>
      <c r="B5" s="111" t="s">
        <v>694</v>
      </c>
      <c r="C5" s="110" t="s">
        <v>159</v>
      </c>
      <c r="D5" s="112">
        <v>1</v>
      </c>
      <c r="E5" s="113">
        <f t="shared" ref="E5:AA5" si="0">D5+1</f>
        <v>2</v>
      </c>
      <c r="F5" s="113">
        <f t="shared" si="0"/>
        <v>3</v>
      </c>
      <c r="G5" s="113">
        <f t="shared" si="0"/>
        <v>4</v>
      </c>
      <c r="H5" s="113">
        <f t="shared" si="0"/>
        <v>5</v>
      </c>
      <c r="I5" s="113">
        <f t="shared" si="0"/>
        <v>6</v>
      </c>
      <c r="J5" s="113">
        <f t="shared" si="0"/>
        <v>7</v>
      </c>
      <c r="K5" s="113">
        <f t="shared" si="0"/>
        <v>8</v>
      </c>
      <c r="L5" s="113">
        <f t="shared" si="0"/>
        <v>9</v>
      </c>
      <c r="M5" s="113">
        <f t="shared" si="0"/>
        <v>10</v>
      </c>
      <c r="N5" s="113">
        <f t="shared" si="0"/>
        <v>11</v>
      </c>
      <c r="O5" s="113">
        <f t="shared" si="0"/>
        <v>12</v>
      </c>
      <c r="P5" s="113">
        <f t="shared" si="0"/>
        <v>13</v>
      </c>
      <c r="Q5" s="113">
        <f t="shared" si="0"/>
        <v>14</v>
      </c>
      <c r="R5" s="113">
        <f t="shared" si="0"/>
        <v>15</v>
      </c>
      <c r="S5" s="113">
        <f t="shared" si="0"/>
        <v>16</v>
      </c>
      <c r="T5" s="113">
        <f t="shared" si="0"/>
        <v>17</v>
      </c>
      <c r="U5" s="113">
        <f t="shared" si="0"/>
        <v>18</v>
      </c>
      <c r="V5" s="113">
        <f t="shared" si="0"/>
        <v>19</v>
      </c>
      <c r="W5" s="113">
        <f t="shared" si="0"/>
        <v>20</v>
      </c>
      <c r="X5" s="113">
        <f t="shared" si="0"/>
        <v>21</v>
      </c>
      <c r="Y5" s="113">
        <f t="shared" si="0"/>
        <v>22</v>
      </c>
      <c r="Z5" s="113">
        <f t="shared" si="0"/>
        <v>23</v>
      </c>
      <c r="AA5" s="113">
        <f t="shared" si="0"/>
        <v>24</v>
      </c>
    </row>
    <row r="6" spans="1:29" s="3" customFormat="1" ht="26.4">
      <c r="A6" s="111" t="s">
        <v>693</v>
      </c>
      <c r="B6" s="111" t="s">
        <v>695</v>
      </c>
      <c r="C6" s="110" t="s">
        <v>44</v>
      </c>
      <c r="D6" s="114">
        <f>EDATE(INDEX('1. Assumptions'!$G:$G,MATCH("Start Date",'1. Assumptions'!$B:$B,0)),D5-1)</f>
        <v>46023</v>
      </c>
      <c r="E6" s="114">
        <f>EDATE(INDEX('1. Assumptions'!$G:$G,MATCH("Start Date",'1. Assumptions'!$B:$B,0)),E5-1)</f>
        <v>46054</v>
      </c>
      <c r="F6" s="114">
        <f>EDATE(INDEX('1. Assumptions'!$G:$G,MATCH("Start Date",'1. Assumptions'!$B:$B,0)),F5-1)</f>
        <v>46082</v>
      </c>
      <c r="G6" s="114">
        <f>EDATE(INDEX('1. Assumptions'!$G:$G,MATCH("Start Date",'1. Assumptions'!$B:$B,0)),G5-1)</f>
        <v>46113</v>
      </c>
      <c r="H6" s="114">
        <f>EDATE(INDEX('1. Assumptions'!$G:$G,MATCH("Start Date",'1. Assumptions'!$B:$B,0)),H5-1)</f>
        <v>46143</v>
      </c>
      <c r="I6" s="114">
        <f>EDATE(INDEX('1. Assumptions'!$G:$G,MATCH("Start Date",'1. Assumptions'!$B:$B,0)),I5-1)</f>
        <v>46174</v>
      </c>
      <c r="J6" s="114">
        <f>EDATE(INDEX('1. Assumptions'!$G:$G,MATCH("Start Date",'1. Assumptions'!$B:$B,0)),J5-1)</f>
        <v>46204</v>
      </c>
      <c r="K6" s="114">
        <f>EDATE(INDEX('1. Assumptions'!$G:$G,MATCH("Start Date",'1. Assumptions'!$B:$B,0)),K5-1)</f>
        <v>46235</v>
      </c>
      <c r="L6" s="114">
        <f>EDATE(INDEX('1. Assumptions'!$G:$G,MATCH("Start Date",'1. Assumptions'!$B:$B,0)),L5-1)</f>
        <v>46266</v>
      </c>
      <c r="M6" s="114">
        <f>EDATE(INDEX('1. Assumptions'!$G:$G,MATCH("Start Date",'1. Assumptions'!$B:$B,0)),M5-1)</f>
        <v>46296</v>
      </c>
      <c r="N6" s="114">
        <f>EDATE(INDEX('1. Assumptions'!$G:$G,MATCH("Start Date",'1. Assumptions'!$B:$B,0)),N5-1)</f>
        <v>46327</v>
      </c>
      <c r="O6" s="114">
        <f>EDATE(INDEX('1. Assumptions'!$G:$G,MATCH("Start Date",'1. Assumptions'!$B:$B,0)),O5-1)</f>
        <v>46357</v>
      </c>
      <c r="P6" s="114">
        <f>EDATE(INDEX('1. Assumptions'!$G:$G,MATCH("Start Date",'1. Assumptions'!$B:$B,0)),P5-1)</f>
        <v>46388</v>
      </c>
      <c r="Q6" s="114">
        <f>EDATE(INDEX('1. Assumptions'!$G:$G,MATCH("Start Date",'1. Assumptions'!$B:$B,0)),Q5-1)</f>
        <v>46419</v>
      </c>
      <c r="R6" s="114">
        <f>EDATE(INDEX('1. Assumptions'!$G:$G,MATCH("Start Date",'1. Assumptions'!$B:$B,0)),R5-1)</f>
        <v>46447</v>
      </c>
      <c r="S6" s="114">
        <f>EDATE(INDEX('1. Assumptions'!$G:$G,MATCH("Start Date",'1. Assumptions'!$B:$B,0)),S5-1)</f>
        <v>46478</v>
      </c>
      <c r="T6" s="114">
        <f>EDATE(INDEX('1. Assumptions'!$G:$G,MATCH("Start Date",'1. Assumptions'!$B:$B,0)),T5-1)</f>
        <v>46508</v>
      </c>
      <c r="U6" s="114">
        <f>EDATE(INDEX('1. Assumptions'!$G:$G,MATCH("Start Date",'1. Assumptions'!$B:$B,0)),U5-1)</f>
        <v>46539</v>
      </c>
      <c r="V6" s="114">
        <f>EDATE(INDEX('1. Assumptions'!$G:$G,MATCH("Start Date",'1. Assumptions'!$B:$B,0)),V5-1)</f>
        <v>46569</v>
      </c>
      <c r="W6" s="114">
        <f>EDATE(INDEX('1. Assumptions'!$G:$G,MATCH("Start Date",'1. Assumptions'!$B:$B,0)),W5-1)</f>
        <v>46600</v>
      </c>
      <c r="X6" s="114">
        <f>EDATE(INDEX('1. Assumptions'!$G:$G,MATCH("Start Date",'1. Assumptions'!$B:$B,0)),X5-1)</f>
        <v>46631</v>
      </c>
      <c r="Y6" s="114">
        <f>EDATE(INDEX('1. Assumptions'!$G:$G,MATCH("Start Date",'1. Assumptions'!$B:$B,0)),Y5-1)</f>
        <v>46661</v>
      </c>
      <c r="Z6" s="114">
        <f>EDATE(INDEX('1. Assumptions'!$G:$G,MATCH("Start Date",'1. Assumptions'!$B:$B,0)),Z5-1)</f>
        <v>46692</v>
      </c>
      <c r="AA6" s="114">
        <f>EDATE(INDEX('1. Assumptions'!$G:$G,MATCH("Start Date",'1. Assumptions'!$B:$B,0)),AA5-1)</f>
        <v>46722</v>
      </c>
      <c r="AC6" s="110" t="s">
        <v>696</v>
      </c>
    </row>
    <row r="7" spans="1:29" s="3" customFormat="1" ht="13.2">
      <c r="A7" s="115"/>
      <c r="B7" s="115"/>
      <c r="C7" s="115"/>
    </row>
    <row r="8" spans="1:29" s="106" customFormat="1" ht="15" customHeight="1">
      <c r="A8" s="105" t="s">
        <v>697</v>
      </c>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row>
    <row r="9" spans="1:29" s="3" customFormat="1" ht="26.4">
      <c r="A9" s="111" t="s">
        <v>698</v>
      </c>
      <c r="B9" s="111" t="s">
        <v>699</v>
      </c>
      <c r="C9" s="110" t="s">
        <v>74</v>
      </c>
      <c r="D9" s="116">
        <f>INDEX('1. Assumptions'!$G:$G,MATCH("Starting Free Users",'1. Assumptions'!$B:$B,0))*INDEX('1. Assumptions'!$G:$G,MATCH("Free User Activation Rate",'1. Assumptions'!B:B,0))</f>
        <v>800</v>
      </c>
      <c r="E9" s="116">
        <f t="shared" ref="E9:AA9" si="1">D14</f>
        <v>784</v>
      </c>
      <c r="F9" s="116">
        <f t="shared" si="1"/>
        <v>787.52</v>
      </c>
      <c r="G9" s="116">
        <f t="shared" si="1"/>
        <v>807.86559999999997</v>
      </c>
      <c r="H9" s="116">
        <f t="shared" si="1"/>
        <v>843.09516800000017</v>
      </c>
      <c r="I9" s="116">
        <f t="shared" si="1"/>
        <v>891.87023104000025</v>
      </c>
      <c r="J9" s="116">
        <f t="shared" si="1"/>
        <v>953.34038021120034</v>
      </c>
      <c r="K9" s="116">
        <f t="shared" si="1"/>
        <v>1027.0552565647367</v>
      </c>
      <c r="L9" s="116">
        <f t="shared" si="1"/>
        <v>1112.897836120495</v>
      </c>
      <c r="M9" s="116">
        <f t="shared" si="1"/>
        <v>1211.0345217739866</v>
      </c>
      <c r="N9" s="116">
        <f t="shared" si="1"/>
        <v>1321.87855754371</v>
      </c>
      <c r="O9" s="116">
        <f t="shared" si="1"/>
        <v>1446.0640685000944</v>
      </c>
      <c r="P9" s="116">
        <f t="shared" si="1"/>
        <v>1584.4286464076743</v>
      </c>
      <c r="Q9" s="116">
        <f t="shared" si="1"/>
        <v>1738.0028844733463</v>
      </c>
      <c r="R9" s="116">
        <f t="shared" si="1"/>
        <v>1908.0056441921065</v>
      </c>
      <c r="S9" s="116">
        <f t="shared" si="1"/>
        <v>2095.8441362030294</v>
      </c>
      <c r="T9" s="116">
        <f t="shared" si="1"/>
        <v>2303.1181333448681</v>
      </c>
      <c r="U9" s="116">
        <f t="shared" si="1"/>
        <v>2531.6278218261527</v>
      </c>
      <c r="V9" s="116">
        <f t="shared" si="1"/>
        <v>2783.38494662327</v>
      </c>
      <c r="W9" s="116">
        <f t="shared" si="1"/>
        <v>3060.6270285249093</v>
      </c>
      <c r="X9" s="116">
        <f t="shared" si="1"/>
        <v>3365.8345294240635</v>
      </c>
      <c r="Y9" s="116">
        <f t="shared" si="1"/>
        <v>3701.7509248428673</v>
      </c>
      <c r="Z9" s="116">
        <f t="shared" si="1"/>
        <v>4071.4057124587443</v>
      </c>
      <c r="AA9" s="116">
        <f t="shared" si="1"/>
        <v>4478.1404459072592</v>
      </c>
      <c r="AC9" s="110" t="s">
        <v>700</v>
      </c>
    </row>
    <row r="10" spans="1:29" s="3" customFormat="1" ht="26.4">
      <c r="A10" s="110" t="s">
        <v>698</v>
      </c>
      <c r="B10" s="110" t="s">
        <v>701</v>
      </c>
      <c r="C10" s="110" t="s">
        <v>74</v>
      </c>
      <c r="D10" s="116">
        <f>INDEX('1. Assumptions'!$G:$G,MATCH("New Free Users ; M1",'1. Assumptions'!$B:$B,0))</f>
        <v>400</v>
      </c>
      <c r="E10" s="116">
        <f>D10*(1+INDEX('1. Assumptions'!$G:$G,MATCH("Free User Monthly Growth Rate (MoM)",'1. Assumptions'!$B:$B,0)))</f>
        <v>440.00000000000006</v>
      </c>
      <c r="F10" s="116">
        <f>E10*(1+INDEX('1. Assumptions'!$G:$G,MATCH("Free User Monthly Growth Rate (MoM)",'1. Assumptions'!$B:$B,0)))</f>
        <v>484.00000000000011</v>
      </c>
      <c r="G10" s="116">
        <f>F10*(1+INDEX('1. Assumptions'!$G:$G,MATCH("Free User Monthly Growth Rate (MoM)",'1. Assumptions'!$B:$B,0)))</f>
        <v>532.4000000000002</v>
      </c>
      <c r="H10" s="116">
        <f>G10*(1+INDEX('1. Assumptions'!$G:$G,MATCH("Free User Monthly Growth Rate (MoM)",'1. Assumptions'!$B:$B,0)))</f>
        <v>585.64000000000033</v>
      </c>
      <c r="I10" s="116">
        <f>H10*(1+INDEX('1. Assumptions'!$G:$G,MATCH("Free User Monthly Growth Rate (MoM)",'1. Assumptions'!$B:$B,0)))</f>
        <v>644.20400000000041</v>
      </c>
      <c r="J10" s="116">
        <f>I10*(1+INDEX('1. Assumptions'!$G:$G,MATCH("Free User Monthly Growth Rate (MoM)",'1. Assumptions'!$B:$B,0)))</f>
        <v>708.62440000000049</v>
      </c>
      <c r="K10" s="116">
        <f>J10*(1+INDEX('1. Assumptions'!$G:$G,MATCH("Free User Monthly Growth Rate (MoM)",'1. Assumptions'!$B:$B,0)))</f>
        <v>779.4868400000006</v>
      </c>
      <c r="L10" s="116">
        <f>K10*(1+INDEX('1. Assumptions'!$G:$G,MATCH("Free User Monthly Growth Rate (MoM)",'1. Assumptions'!$B:$B,0)))</f>
        <v>857.43552400000078</v>
      </c>
      <c r="M10" s="116">
        <f>L10*(1+INDEX('1. Assumptions'!$G:$G,MATCH("Free User Monthly Growth Rate (MoM)",'1. Assumptions'!$B:$B,0)))</f>
        <v>943.17907640000089</v>
      </c>
      <c r="N10" s="116">
        <f>M10*(1+INDEX('1. Assumptions'!$G:$G,MATCH("Free User Monthly Growth Rate (MoM)",'1. Assumptions'!$B:$B,0)))</f>
        <v>1037.4969840400011</v>
      </c>
      <c r="O10" s="116">
        <f>N10*(1+INDEX('1. Assumptions'!$G:$G,MATCH("Free User Monthly Growth Rate (MoM)",'1. Assumptions'!$B:$B,0)))</f>
        <v>1141.2466824440012</v>
      </c>
      <c r="P10" s="116">
        <f>O10*(1+INDEX('1. Assumptions'!$G:$G,MATCH("Free User Monthly Growth Rate (MoM)",'1. Assumptions'!$B:$B,0)))</f>
        <v>1255.3713506884014</v>
      </c>
      <c r="Q10" s="116">
        <f>P10*(1+INDEX('1. Assumptions'!$G:$G,MATCH("Free User Monthly Growth Rate (MoM)",'1. Assumptions'!$B:$B,0)))</f>
        <v>1380.9084857572416</v>
      </c>
      <c r="R10" s="116">
        <f>Q10*(1+INDEX('1. Assumptions'!$G:$G,MATCH("Free User Monthly Growth Rate (MoM)",'1. Assumptions'!$B:$B,0)))</f>
        <v>1518.9993343329659</v>
      </c>
      <c r="S10" s="116">
        <f>R10*(1+INDEX('1. Assumptions'!$G:$G,MATCH("Free User Monthly Growth Rate (MoM)",'1. Assumptions'!$B:$B,0)))</f>
        <v>1670.8992677662625</v>
      </c>
      <c r="T10" s="116">
        <f>S10*(1+INDEX('1. Assumptions'!$G:$G,MATCH("Free User Monthly Growth Rate (MoM)",'1. Assumptions'!$B:$B,0)))</f>
        <v>1837.989194542889</v>
      </c>
      <c r="U10" s="116">
        <f>T10*(1+INDEX('1. Assumptions'!$G:$G,MATCH("Free User Monthly Growth Rate (MoM)",'1. Assumptions'!$B:$B,0)))</f>
        <v>2021.788113997178</v>
      </c>
      <c r="V10" s="116">
        <f>U10*(1+INDEX('1. Assumptions'!$G:$G,MATCH("Free User Monthly Growth Rate (MoM)",'1. Assumptions'!$B:$B,0)))</f>
        <v>2223.9669253968959</v>
      </c>
      <c r="W10" s="116">
        <f>V10*(1+INDEX('1. Assumptions'!$G:$G,MATCH("Free User Monthly Growth Rate (MoM)",'1. Assumptions'!$B:$B,0)))</f>
        <v>2446.3636179365858</v>
      </c>
      <c r="X10" s="116">
        <f>W10*(1+INDEX('1. Assumptions'!$G:$G,MATCH("Free User Monthly Growth Rate (MoM)",'1. Assumptions'!$B:$B,0)))</f>
        <v>2690.9999797302444</v>
      </c>
      <c r="Y10" s="116">
        <f>X10*(1+INDEX('1. Assumptions'!$G:$G,MATCH("Free User Monthly Growth Rate (MoM)",'1. Assumptions'!$B:$B,0)))</f>
        <v>2960.0999777032689</v>
      </c>
      <c r="Z10" s="116">
        <f>Y10*(1+INDEX('1. Assumptions'!$G:$G,MATCH("Free User Monthly Growth Rate (MoM)",'1. Assumptions'!$B:$B,0)))</f>
        <v>3256.109975473596</v>
      </c>
      <c r="AA10" s="116">
        <f>Z10*(1+INDEX('1. Assumptions'!$G:$G,MATCH("Free User Monthly Growth Rate (MoM)",'1. Assumptions'!$B:$B,0)))</f>
        <v>3581.7209730209561</v>
      </c>
      <c r="AC10" s="110" t="s">
        <v>702</v>
      </c>
    </row>
    <row r="11" spans="1:29" s="3" customFormat="1" ht="13.2">
      <c r="A11" s="110" t="s">
        <v>698</v>
      </c>
      <c r="B11" s="110" t="s">
        <v>703</v>
      </c>
      <c r="C11" s="110" t="s">
        <v>74</v>
      </c>
      <c r="D11" s="116">
        <f>D10*INDEX('1. Assumptions'!$G:$G,MATCH("Free User Activation Rate",'1. Assumptions'!$B:$B,0))</f>
        <v>160</v>
      </c>
      <c r="E11" s="116">
        <f>E10*INDEX('1. Assumptions'!$G:$G,MATCH("Free User Activation Rate",'1. Assumptions'!$B:$B,0))</f>
        <v>176.00000000000003</v>
      </c>
      <c r="F11" s="116">
        <f>F10*INDEX('1. Assumptions'!$G:$G,MATCH("Free User Activation Rate",'1. Assumptions'!$B:$B,0))</f>
        <v>193.60000000000005</v>
      </c>
      <c r="G11" s="116">
        <f>G10*INDEX('1. Assumptions'!$G:$G,MATCH("Free User Activation Rate",'1. Assumptions'!$B:$B,0))</f>
        <v>212.96000000000009</v>
      </c>
      <c r="H11" s="116">
        <f>H10*INDEX('1. Assumptions'!$G:$G,MATCH("Free User Activation Rate",'1. Assumptions'!$B:$B,0))</f>
        <v>234.25600000000014</v>
      </c>
      <c r="I11" s="116">
        <f>I10*INDEX('1. Assumptions'!$G:$G,MATCH("Free User Activation Rate",'1. Assumptions'!$B:$B,0))</f>
        <v>257.68160000000017</v>
      </c>
      <c r="J11" s="116">
        <f>J10*INDEX('1. Assumptions'!$G:$G,MATCH("Free User Activation Rate",'1. Assumptions'!$B:$B,0))</f>
        <v>283.4497600000002</v>
      </c>
      <c r="K11" s="116">
        <f>K10*INDEX('1. Assumptions'!$G:$G,MATCH("Free User Activation Rate",'1. Assumptions'!$B:$B,0))</f>
        <v>311.79473600000028</v>
      </c>
      <c r="L11" s="116">
        <f>L10*INDEX('1. Assumptions'!$G:$G,MATCH("Free User Activation Rate",'1. Assumptions'!$B:$B,0))</f>
        <v>342.97420960000034</v>
      </c>
      <c r="M11" s="116">
        <f>M10*INDEX('1. Assumptions'!$G:$G,MATCH("Free User Activation Rate",'1. Assumptions'!$B:$B,0))</f>
        <v>377.2716305600004</v>
      </c>
      <c r="N11" s="116">
        <f>N10*INDEX('1. Assumptions'!$G:$G,MATCH("Free User Activation Rate",'1. Assumptions'!$B:$B,0))</f>
        <v>414.99879361600046</v>
      </c>
      <c r="O11" s="116">
        <f>O10*INDEX('1. Assumptions'!$G:$G,MATCH("Free User Activation Rate",'1. Assumptions'!$B:$B,0))</f>
        <v>456.49867297760051</v>
      </c>
      <c r="P11" s="116">
        <f>P10*INDEX('1. Assumptions'!$G:$G,MATCH("Free User Activation Rate",'1. Assumptions'!$B:$B,0))</f>
        <v>502.14854027536057</v>
      </c>
      <c r="Q11" s="116">
        <f>Q10*INDEX('1. Assumptions'!$G:$G,MATCH("Free User Activation Rate",'1. Assumptions'!$B:$B,0))</f>
        <v>552.36339430289661</v>
      </c>
      <c r="R11" s="116">
        <f>R10*INDEX('1. Assumptions'!$G:$G,MATCH("Free User Activation Rate",'1. Assumptions'!$B:$B,0))</f>
        <v>607.59973373318633</v>
      </c>
      <c r="S11" s="116">
        <f>S10*INDEX('1. Assumptions'!$G:$G,MATCH("Free User Activation Rate",'1. Assumptions'!$B:$B,0))</f>
        <v>668.35970710650508</v>
      </c>
      <c r="T11" s="116">
        <f>T10*INDEX('1. Assumptions'!$G:$G,MATCH("Free User Activation Rate",'1. Assumptions'!$B:$B,0))</f>
        <v>735.19567781715568</v>
      </c>
      <c r="U11" s="116">
        <f>U10*INDEX('1. Assumptions'!$G:$G,MATCH("Free User Activation Rate",'1. Assumptions'!$B:$B,0))</f>
        <v>808.71524559887121</v>
      </c>
      <c r="V11" s="116">
        <f>V10*INDEX('1. Assumptions'!$G:$G,MATCH("Free User Activation Rate",'1. Assumptions'!$B:$B,0))</f>
        <v>889.58677015875844</v>
      </c>
      <c r="W11" s="116">
        <f>W10*INDEX('1. Assumptions'!$G:$G,MATCH("Free User Activation Rate",'1. Assumptions'!$B:$B,0))</f>
        <v>978.54544717463432</v>
      </c>
      <c r="X11" s="116">
        <f>X10*INDEX('1. Assumptions'!$G:$G,MATCH("Free User Activation Rate",'1. Assumptions'!$B:$B,0))</f>
        <v>1076.3999918920979</v>
      </c>
      <c r="Y11" s="116">
        <f>Y10*INDEX('1. Assumptions'!$G:$G,MATCH("Free User Activation Rate",'1. Assumptions'!$B:$B,0))</f>
        <v>1184.0399910813076</v>
      </c>
      <c r="Z11" s="116">
        <f>Z10*INDEX('1. Assumptions'!$G:$G,MATCH("Free User Activation Rate",'1. Assumptions'!$B:$B,0))</f>
        <v>1302.4439901894384</v>
      </c>
      <c r="AA11" s="116">
        <f>AA10*INDEX('1. Assumptions'!$G:$G,MATCH("Free User Activation Rate",'1. Assumptions'!$B:$B,0))</f>
        <v>1432.6883892083824</v>
      </c>
    </row>
    <row r="12" spans="1:29" s="3" customFormat="1" ht="26.4">
      <c r="A12" s="110" t="s">
        <v>698</v>
      </c>
      <c r="B12" s="110" t="s">
        <v>704</v>
      </c>
      <c r="C12" s="110" t="s">
        <v>79</v>
      </c>
      <c r="D12" s="116">
        <f>D9*INDEX('1. Assumptions'!$G:$G,MATCH("Free-to-Starter Conversion",'1. Assumptions'!$B:$B,0))</f>
        <v>32</v>
      </c>
      <c r="E12" s="116">
        <f>E9*INDEX('1. Assumptions'!$G:$G,MATCH("Free-to-Starter Conversion",'1. Assumptions'!$B:$B,0))</f>
        <v>31.36</v>
      </c>
      <c r="F12" s="116">
        <f>F9*INDEX('1. Assumptions'!$G:$G,MATCH("Free-to-Starter Conversion",'1. Assumptions'!$B:$B,0))</f>
        <v>31.500800000000002</v>
      </c>
      <c r="G12" s="116">
        <f>G9*INDEX('1. Assumptions'!$G:$G,MATCH("Free-to-Starter Conversion",'1. Assumptions'!$B:$B,0))</f>
        <v>32.314624000000002</v>
      </c>
      <c r="H12" s="116">
        <f>H9*INDEX('1. Assumptions'!$G:$G,MATCH("Free-to-Starter Conversion",'1. Assumptions'!$B:$B,0))</f>
        <v>33.723806720000006</v>
      </c>
      <c r="I12" s="116">
        <f>I9*INDEX('1. Assumptions'!$G:$G,MATCH("Free-to-Starter Conversion",'1. Assumptions'!$B:$B,0))</f>
        <v>35.674809241600009</v>
      </c>
      <c r="J12" s="116">
        <f>J9*INDEX('1. Assumptions'!$G:$G,MATCH("Free-to-Starter Conversion",'1. Assumptions'!$B:$B,0))</f>
        <v>38.133615208448013</v>
      </c>
      <c r="K12" s="116">
        <f>K9*INDEX('1. Assumptions'!$G:$G,MATCH("Free-to-Starter Conversion",'1. Assumptions'!$B:$B,0))</f>
        <v>41.08221026258947</v>
      </c>
      <c r="L12" s="116">
        <f>L9*INDEX('1. Assumptions'!$G:$G,MATCH("Free-to-Starter Conversion",'1. Assumptions'!$B:$B,0))</f>
        <v>44.515913444819802</v>
      </c>
      <c r="M12" s="116">
        <f>M9*INDEX('1. Assumptions'!$G:$G,MATCH("Free-to-Starter Conversion",'1. Assumptions'!$B:$B,0))</f>
        <v>48.441380870959463</v>
      </c>
      <c r="N12" s="116">
        <f>N9*INDEX('1. Assumptions'!$G:$G,MATCH("Free-to-Starter Conversion",'1. Assumptions'!$B:$B,0))</f>
        <v>52.875142301748404</v>
      </c>
      <c r="O12" s="116">
        <f>O9*INDEX('1. Assumptions'!$G:$G,MATCH("Free-to-Starter Conversion",'1. Assumptions'!$B:$B,0))</f>
        <v>57.842562740003778</v>
      </c>
      <c r="P12" s="116">
        <f>P9*INDEX('1. Assumptions'!$G:$G,MATCH("Free-to-Starter Conversion",'1. Assumptions'!$B:$B,0))</f>
        <v>63.377145856306974</v>
      </c>
      <c r="Q12" s="116">
        <f>Q9*INDEX('1. Assumptions'!$G:$G,MATCH("Free-to-Starter Conversion",'1. Assumptions'!$B:$B,0))</f>
        <v>69.520115378933852</v>
      </c>
      <c r="R12" s="116">
        <f>R9*INDEX('1. Assumptions'!$G:$G,MATCH("Free-to-Starter Conversion",'1. Assumptions'!$B:$B,0))</f>
        <v>76.320225767684263</v>
      </c>
      <c r="S12" s="116">
        <f>S9*INDEX('1. Assumptions'!$G:$G,MATCH("Free-to-Starter Conversion",'1. Assumptions'!$B:$B,0))</f>
        <v>83.833765448121184</v>
      </c>
      <c r="T12" s="116">
        <f>T9*INDEX('1. Assumptions'!$G:$G,MATCH("Free-to-Starter Conversion",'1. Assumptions'!$B:$B,0))</f>
        <v>92.124725333794728</v>
      </c>
      <c r="U12" s="116">
        <f>U9*INDEX('1. Assumptions'!$G:$G,MATCH("Free-to-Starter Conversion",'1. Assumptions'!$B:$B,0))</f>
        <v>101.26511287304611</v>
      </c>
      <c r="V12" s="116">
        <f>V9*INDEX('1. Assumptions'!$G:$G,MATCH("Free-to-Starter Conversion",'1. Assumptions'!$B:$B,0))</f>
        <v>111.3353978649308</v>
      </c>
      <c r="W12" s="116">
        <f>W9*INDEX('1. Assumptions'!$G:$G,MATCH("Free-to-Starter Conversion",'1. Assumptions'!$B:$B,0))</f>
        <v>122.42508114099637</v>
      </c>
      <c r="X12" s="116">
        <f>X9*INDEX('1. Assumptions'!$G:$G,MATCH("Free-to-Starter Conversion",'1. Assumptions'!$B:$B,0))</f>
        <v>134.63338117696253</v>
      </c>
      <c r="Y12" s="116">
        <f>Y9*INDEX('1. Assumptions'!$G:$G,MATCH("Free-to-Starter Conversion",'1. Assumptions'!$B:$B,0))</f>
        <v>148.07003699371469</v>
      </c>
      <c r="Z12" s="116">
        <f>Z9*INDEX('1. Assumptions'!$G:$G,MATCH("Free-to-Starter Conversion",'1. Assumptions'!$B:$B,0))</f>
        <v>162.85622849834976</v>
      </c>
      <c r="AA12" s="116">
        <f>AA9*INDEX('1. Assumptions'!$G:$G,MATCH("Free-to-Starter Conversion",'1. Assumptions'!$B:$B,0))</f>
        <v>179.12561783629036</v>
      </c>
      <c r="AC12" s="110" t="s">
        <v>705</v>
      </c>
    </row>
    <row r="13" spans="1:29" s="3" customFormat="1" ht="13.2">
      <c r="A13" s="110" t="s">
        <v>698</v>
      </c>
      <c r="B13" s="110" t="s">
        <v>706</v>
      </c>
      <c r="C13" s="110" t="s">
        <v>74</v>
      </c>
      <c r="D13" s="116">
        <f>D9*INDEX('1. Assumptions'!$G:$G,MATCH("Free User Decay Rate (dormancy)",'1. Assumptions'!$B:$B,0))</f>
        <v>144</v>
      </c>
      <c r="E13" s="116">
        <f>E9*INDEX('1. Assumptions'!$G:$G,MATCH("Free User Decay Rate (dormancy)",'1. Assumptions'!$B:$B,0))</f>
        <v>141.12</v>
      </c>
      <c r="F13" s="116">
        <f>F9*INDEX('1. Assumptions'!$G:$G,MATCH("Free User Decay Rate (dormancy)",'1. Assumptions'!$B:$B,0))</f>
        <v>141.75359999999998</v>
      </c>
      <c r="G13" s="116">
        <f>G9*INDEX('1. Assumptions'!$G:$G,MATCH("Free User Decay Rate (dormancy)",'1. Assumptions'!$B:$B,0))</f>
        <v>145.415808</v>
      </c>
      <c r="H13" s="116">
        <f>H9*INDEX('1. Assumptions'!$G:$G,MATCH("Free User Decay Rate (dormancy)",'1. Assumptions'!$B:$B,0))</f>
        <v>151.75713024000004</v>
      </c>
      <c r="I13" s="116">
        <f>I9*INDEX('1. Assumptions'!$G:$G,MATCH("Free User Decay Rate (dormancy)",'1. Assumptions'!$B:$B,0))</f>
        <v>160.53664158720005</v>
      </c>
      <c r="J13" s="116">
        <f>J9*INDEX('1. Assumptions'!$G:$G,MATCH("Free User Decay Rate (dormancy)",'1. Assumptions'!$B:$B,0))</f>
        <v>171.60126843801606</v>
      </c>
      <c r="K13" s="116">
        <f>K9*INDEX('1. Assumptions'!$G:$G,MATCH("Free User Decay Rate (dormancy)",'1. Assumptions'!$B:$B,0))</f>
        <v>184.86994618165261</v>
      </c>
      <c r="L13" s="116">
        <f>L9*INDEX('1. Assumptions'!$G:$G,MATCH("Free User Decay Rate (dormancy)",'1. Assumptions'!$B:$B,0))</f>
        <v>200.32161050168909</v>
      </c>
      <c r="M13" s="116">
        <f>M9*INDEX('1. Assumptions'!$G:$G,MATCH("Free User Decay Rate (dormancy)",'1. Assumptions'!$B:$B,0))</f>
        <v>217.98621391931758</v>
      </c>
      <c r="N13" s="116">
        <f>N9*INDEX('1. Assumptions'!$G:$G,MATCH("Free User Decay Rate (dormancy)",'1. Assumptions'!$B:$B,0))</f>
        <v>237.93814035786781</v>
      </c>
      <c r="O13" s="116">
        <f>O9*INDEX('1. Assumptions'!$G:$G,MATCH("Free User Decay Rate (dormancy)",'1. Assumptions'!$B:$B,0))</f>
        <v>260.29153233001699</v>
      </c>
      <c r="P13" s="116">
        <f>P9*INDEX('1. Assumptions'!$G:$G,MATCH("Free User Decay Rate (dormancy)",'1. Assumptions'!$B:$B,0))</f>
        <v>285.19715635338133</v>
      </c>
      <c r="Q13" s="116">
        <f>Q9*INDEX('1. Assumptions'!$G:$G,MATCH("Free User Decay Rate (dormancy)",'1. Assumptions'!$B:$B,0))</f>
        <v>312.84051920520233</v>
      </c>
      <c r="R13" s="116">
        <f>R9*INDEX('1. Assumptions'!$G:$G,MATCH("Free User Decay Rate (dormancy)",'1. Assumptions'!$B:$B,0))</f>
        <v>343.44101595457914</v>
      </c>
      <c r="S13" s="116">
        <f>S9*INDEX('1. Assumptions'!$G:$G,MATCH("Free User Decay Rate (dormancy)",'1. Assumptions'!$B:$B,0))</f>
        <v>377.25194451654528</v>
      </c>
      <c r="T13" s="116">
        <f>T9*INDEX('1. Assumptions'!$G:$G,MATCH("Free User Decay Rate (dormancy)",'1. Assumptions'!$B:$B,0))</f>
        <v>414.56126400207626</v>
      </c>
      <c r="U13" s="116">
        <f>U9*INDEX('1. Assumptions'!$G:$G,MATCH("Free User Decay Rate (dormancy)",'1. Assumptions'!$B:$B,0))</f>
        <v>455.69300792870746</v>
      </c>
      <c r="V13" s="116">
        <f>V9*INDEX('1. Assumptions'!$G:$G,MATCH("Free User Decay Rate (dormancy)",'1. Assumptions'!$B:$B,0))</f>
        <v>501.00929039218857</v>
      </c>
      <c r="W13" s="116">
        <f>W9*INDEX('1. Assumptions'!$G:$G,MATCH("Free User Decay Rate (dormancy)",'1. Assumptions'!$B:$B,0))</f>
        <v>550.9128651344837</v>
      </c>
      <c r="X13" s="116">
        <f>X9*INDEX('1. Assumptions'!$G:$G,MATCH("Free User Decay Rate (dormancy)",'1. Assumptions'!$B:$B,0))</f>
        <v>605.85021529633138</v>
      </c>
      <c r="Y13" s="116">
        <f>Y9*INDEX('1. Assumptions'!$G:$G,MATCH("Free User Decay Rate (dormancy)",'1. Assumptions'!$B:$B,0))</f>
        <v>666.31516647171611</v>
      </c>
      <c r="Z13" s="116">
        <f>Z9*INDEX('1. Assumptions'!$G:$G,MATCH("Free User Decay Rate (dormancy)",'1. Assumptions'!$B:$B,0))</f>
        <v>732.85302824257394</v>
      </c>
      <c r="AA13" s="116">
        <f>AA9*INDEX('1. Assumptions'!$G:$G,MATCH("Free User Decay Rate (dormancy)",'1. Assumptions'!$B:$B,0))</f>
        <v>806.06528026330659</v>
      </c>
    </row>
    <row r="14" spans="1:29" s="3" customFormat="1" ht="26.4">
      <c r="A14" s="107" t="s">
        <v>698</v>
      </c>
      <c r="B14" s="107" t="s">
        <v>707</v>
      </c>
      <c r="C14" s="107" t="s">
        <v>74</v>
      </c>
      <c r="D14" s="117">
        <f t="shared" ref="D14:AA14" si="2">D9+D11-D12-D13</f>
        <v>784</v>
      </c>
      <c r="E14" s="117">
        <f t="shared" si="2"/>
        <v>787.52</v>
      </c>
      <c r="F14" s="117">
        <f t="shared" si="2"/>
        <v>807.86559999999997</v>
      </c>
      <c r="G14" s="117">
        <f t="shared" si="2"/>
        <v>843.09516800000017</v>
      </c>
      <c r="H14" s="117">
        <f t="shared" si="2"/>
        <v>891.87023104000025</v>
      </c>
      <c r="I14" s="117">
        <f t="shared" si="2"/>
        <v>953.34038021120034</v>
      </c>
      <c r="J14" s="117">
        <f t="shared" si="2"/>
        <v>1027.0552565647367</v>
      </c>
      <c r="K14" s="117">
        <f t="shared" si="2"/>
        <v>1112.897836120495</v>
      </c>
      <c r="L14" s="117">
        <f t="shared" si="2"/>
        <v>1211.0345217739866</v>
      </c>
      <c r="M14" s="117">
        <f t="shared" si="2"/>
        <v>1321.87855754371</v>
      </c>
      <c r="N14" s="117">
        <f t="shared" si="2"/>
        <v>1446.0640685000944</v>
      </c>
      <c r="O14" s="117">
        <f t="shared" si="2"/>
        <v>1584.4286464076743</v>
      </c>
      <c r="P14" s="117">
        <f t="shared" si="2"/>
        <v>1738.0028844733463</v>
      </c>
      <c r="Q14" s="117">
        <f t="shared" si="2"/>
        <v>1908.0056441921065</v>
      </c>
      <c r="R14" s="117">
        <f t="shared" si="2"/>
        <v>2095.8441362030294</v>
      </c>
      <c r="S14" s="117">
        <f t="shared" si="2"/>
        <v>2303.1181333448681</v>
      </c>
      <c r="T14" s="117">
        <f t="shared" si="2"/>
        <v>2531.6278218261527</v>
      </c>
      <c r="U14" s="117">
        <f t="shared" si="2"/>
        <v>2783.38494662327</v>
      </c>
      <c r="V14" s="117">
        <f t="shared" si="2"/>
        <v>3060.6270285249093</v>
      </c>
      <c r="W14" s="117">
        <f t="shared" si="2"/>
        <v>3365.8345294240635</v>
      </c>
      <c r="X14" s="117">
        <f t="shared" si="2"/>
        <v>3701.7509248428673</v>
      </c>
      <c r="Y14" s="117">
        <f t="shared" si="2"/>
        <v>4071.4057124587443</v>
      </c>
      <c r="Z14" s="117">
        <f t="shared" si="2"/>
        <v>4478.1404459072592</v>
      </c>
      <c r="AA14" s="117">
        <f t="shared" si="2"/>
        <v>4925.6379370160448</v>
      </c>
      <c r="AC14" s="110" t="s">
        <v>708</v>
      </c>
    </row>
    <row r="15" spans="1:29" s="3" customFormat="1" ht="13.2">
      <c r="A15" s="115"/>
      <c r="B15" s="115"/>
      <c r="C15" s="115"/>
    </row>
    <row r="16" spans="1:29" s="106" customFormat="1" ht="15" customHeight="1">
      <c r="A16" s="105" t="s">
        <v>709</v>
      </c>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row>
    <row r="17" spans="1:29" s="3" customFormat="1" ht="26.4">
      <c r="A17" s="110" t="s">
        <v>183</v>
      </c>
      <c r="B17" s="110" t="s">
        <v>710</v>
      </c>
      <c r="C17" s="110" t="s">
        <v>79</v>
      </c>
      <c r="D17" s="116">
        <f>INDEX('1. Assumptions'!$G:$G,MATCH("New Starter Logos ; M1",'1. Assumptions'!$B:$B,0))</f>
        <v>8</v>
      </c>
      <c r="E17" s="116">
        <f>D17*(1+INDEX('1. Assumptions'!$G:$G,MATCH("Monthly New Logo Growth Rate (MoM)",'1. Assumptions'!$B:$B,0)))</f>
        <v>8.56</v>
      </c>
      <c r="F17" s="116">
        <f>E17*(1+INDEX('1. Assumptions'!$G:$G,MATCH("Monthly New Logo Growth Rate (MoM)",'1. Assumptions'!$B:$B,0)))</f>
        <v>9.1592000000000002</v>
      </c>
      <c r="G17" s="116">
        <f>F17*(1+INDEX('1. Assumptions'!$G:$G,MATCH("Monthly New Logo Growth Rate (MoM)",'1. Assumptions'!$B:$B,0)))</f>
        <v>9.8003440000000008</v>
      </c>
      <c r="H17" s="116">
        <f>G17*(1+INDEX('1. Assumptions'!$G:$G,MATCH("Monthly New Logo Growth Rate (MoM)",'1. Assumptions'!$B:$B,0)))</f>
        <v>10.486368080000002</v>
      </c>
      <c r="I17" s="116">
        <f>H17*(1+INDEX('1. Assumptions'!$G:$G,MATCH("Monthly New Logo Growth Rate (MoM)",'1. Assumptions'!$B:$B,0)))</f>
        <v>11.220413845600003</v>
      </c>
      <c r="J17" s="116">
        <f>I17*(1+INDEX('1. Assumptions'!$G:$G,MATCH("Monthly New Logo Growth Rate (MoM)",'1. Assumptions'!$B:$B,0)))</f>
        <v>12.005842814792004</v>
      </c>
      <c r="K17" s="116">
        <f>J17*(1+INDEX('1. Assumptions'!$G:$G,MATCH("Monthly New Logo Growth Rate (MoM)",'1. Assumptions'!$B:$B,0)))</f>
        <v>12.846251811827445</v>
      </c>
      <c r="L17" s="116">
        <f>K17*(1+INDEX('1. Assumptions'!$G:$G,MATCH("Monthly New Logo Growth Rate (MoM)",'1. Assumptions'!$B:$B,0)))</f>
        <v>13.745489438655367</v>
      </c>
      <c r="M17" s="116">
        <f>L17*(1+INDEX('1. Assumptions'!$G:$G,MATCH("Monthly New Logo Growth Rate (MoM)",'1. Assumptions'!$B:$B,0)))</f>
        <v>14.707673699361244</v>
      </c>
      <c r="N17" s="116">
        <f>M17*(1+INDEX('1. Assumptions'!$G:$G,MATCH("Monthly New Logo Growth Rate (MoM)",'1. Assumptions'!$B:$B,0)))</f>
        <v>15.737210858316532</v>
      </c>
      <c r="O17" s="116">
        <f>N17*(1+INDEX('1. Assumptions'!$G:$G,MATCH("Monthly New Logo Growth Rate (MoM)",'1. Assumptions'!$B:$B,0)))</f>
        <v>16.838815618398691</v>
      </c>
      <c r="P17" s="116">
        <f>O17*(1+INDEX('1. Assumptions'!$G:$G,MATCH("Monthly New Logo Growth Rate (MoM)",'1. Assumptions'!$B:$B,0)))</f>
        <v>18.017532711686599</v>
      </c>
      <c r="Q17" s="116">
        <f>P17*(1+INDEX('1. Assumptions'!$G:$G,MATCH("Monthly New Logo Growth Rate (MoM)",'1. Assumptions'!$B:$B,0)))</f>
        <v>19.278760001504661</v>
      </c>
      <c r="R17" s="116">
        <f>Q17*(1+INDEX('1. Assumptions'!$G:$G,MATCH("Monthly New Logo Growth Rate (MoM)",'1. Assumptions'!$B:$B,0)))</f>
        <v>20.628273201609989</v>
      </c>
      <c r="S17" s="116">
        <f>R17*(1+INDEX('1. Assumptions'!$G:$G,MATCH("Monthly New Logo Growth Rate (MoM)",'1. Assumptions'!$B:$B,0)))</f>
        <v>22.07225232572269</v>
      </c>
      <c r="T17" s="116">
        <f>S17*(1+INDEX('1. Assumptions'!$G:$G,MATCH("Monthly New Logo Growth Rate (MoM)",'1. Assumptions'!$B:$B,0)))</f>
        <v>23.617309988523282</v>
      </c>
      <c r="U17" s="116">
        <f>T17*(1+INDEX('1. Assumptions'!$G:$G,MATCH("Monthly New Logo Growth Rate (MoM)",'1. Assumptions'!$B:$B,0)))</f>
        <v>25.270521687719913</v>
      </c>
      <c r="V17" s="116">
        <f>U17*(1+INDEX('1. Assumptions'!$G:$G,MATCH("Monthly New Logo Growth Rate (MoM)",'1. Assumptions'!$B:$B,0)))</f>
        <v>27.03945820586031</v>
      </c>
      <c r="W17" s="116">
        <f>V17*(1+INDEX('1. Assumptions'!$G:$G,MATCH("Monthly New Logo Growth Rate (MoM)",'1. Assumptions'!$B:$B,0)))</f>
        <v>28.932220280270535</v>
      </c>
      <c r="X17" s="116">
        <f>W17*(1+INDEX('1. Assumptions'!$G:$G,MATCH("Monthly New Logo Growth Rate (MoM)",'1. Assumptions'!$B:$B,0)))</f>
        <v>30.957475699889475</v>
      </c>
      <c r="Y17" s="116">
        <f>X17*(1+INDEX('1. Assumptions'!$G:$G,MATCH("Monthly New Logo Growth Rate (MoM)",'1. Assumptions'!$B:$B,0)))</f>
        <v>33.124498998881741</v>
      </c>
      <c r="Z17" s="116">
        <f>Y17*(1+INDEX('1. Assumptions'!$G:$G,MATCH("Monthly New Logo Growth Rate (MoM)",'1. Assumptions'!$B:$B,0)))</f>
        <v>35.443213928803466</v>
      </c>
      <c r="AA17" s="116">
        <f>Z17*(1+INDEX('1. Assumptions'!$G:$G,MATCH("Monthly New Logo Growth Rate (MoM)",'1. Assumptions'!$B:$B,0)))</f>
        <v>37.924238903819713</v>
      </c>
    </row>
    <row r="18" spans="1:29" s="3" customFormat="1" ht="13.2">
      <c r="A18" s="110" t="s">
        <v>183</v>
      </c>
      <c r="B18" s="110" t="s">
        <v>711</v>
      </c>
      <c r="C18" s="110" t="s">
        <v>79</v>
      </c>
      <c r="D18" s="116">
        <f>INDEX('1. Assumptions'!$G:$G,MATCH("New Growth Logos ; M1",'1. Assumptions'!$B:$B,0))</f>
        <v>4</v>
      </c>
      <c r="E18" s="116">
        <f>D18*(1+INDEX('1. Assumptions'!$G:$G,MATCH("Monthly New Logo Growth Rate (MoM)",'1. Assumptions'!$B:$B,0)))</f>
        <v>4.28</v>
      </c>
      <c r="F18" s="116">
        <f>E18*(1+INDEX('1. Assumptions'!$G:$G,MATCH("Monthly New Logo Growth Rate (MoM)",'1. Assumptions'!$B:$B,0)))</f>
        <v>4.5796000000000001</v>
      </c>
      <c r="G18" s="116">
        <f>F18*(1+INDEX('1. Assumptions'!$G:$G,MATCH("Monthly New Logo Growth Rate (MoM)",'1. Assumptions'!$B:$B,0)))</f>
        <v>4.9001720000000004</v>
      </c>
      <c r="H18" s="116">
        <f>G18*(1+INDEX('1. Assumptions'!$G:$G,MATCH("Monthly New Logo Growth Rate (MoM)",'1. Assumptions'!$B:$B,0)))</f>
        <v>5.2431840400000009</v>
      </c>
      <c r="I18" s="116">
        <f>H18*(1+INDEX('1. Assumptions'!$G:$G,MATCH("Monthly New Logo Growth Rate (MoM)",'1. Assumptions'!$B:$B,0)))</f>
        <v>5.6102069228000015</v>
      </c>
      <c r="J18" s="116">
        <f>I18*(1+INDEX('1. Assumptions'!$G:$G,MATCH("Monthly New Logo Growth Rate (MoM)",'1. Assumptions'!$B:$B,0)))</f>
        <v>6.002921407396002</v>
      </c>
      <c r="K18" s="116">
        <f>J18*(1+INDEX('1. Assumptions'!$G:$G,MATCH("Monthly New Logo Growth Rate (MoM)",'1. Assumptions'!$B:$B,0)))</f>
        <v>6.4231259059137225</v>
      </c>
      <c r="L18" s="116">
        <f>K18*(1+INDEX('1. Assumptions'!$G:$G,MATCH("Monthly New Logo Growth Rate (MoM)",'1. Assumptions'!$B:$B,0)))</f>
        <v>6.8727447193276836</v>
      </c>
      <c r="M18" s="116">
        <f>L18*(1+INDEX('1. Assumptions'!$G:$G,MATCH("Monthly New Logo Growth Rate (MoM)",'1. Assumptions'!$B:$B,0)))</f>
        <v>7.3538368496806221</v>
      </c>
      <c r="N18" s="116">
        <f>M18*(1+INDEX('1. Assumptions'!$G:$G,MATCH("Monthly New Logo Growth Rate (MoM)",'1. Assumptions'!$B:$B,0)))</f>
        <v>7.8686054291582659</v>
      </c>
      <c r="O18" s="116">
        <f>N18*(1+INDEX('1. Assumptions'!$G:$G,MATCH("Monthly New Logo Growth Rate (MoM)",'1. Assumptions'!$B:$B,0)))</f>
        <v>8.4194078091993454</v>
      </c>
      <c r="P18" s="116">
        <f>O18*(1+INDEX('1. Assumptions'!$G:$G,MATCH("Monthly New Logo Growth Rate (MoM)",'1. Assumptions'!$B:$B,0)))</f>
        <v>9.0087663558432993</v>
      </c>
      <c r="Q18" s="116">
        <f>P18*(1+INDEX('1. Assumptions'!$G:$G,MATCH("Monthly New Logo Growth Rate (MoM)",'1. Assumptions'!$B:$B,0)))</f>
        <v>9.6393800007523307</v>
      </c>
      <c r="R18" s="116">
        <f>Q18*(1+INDEX('1. Assumptions'!$G:$G,MATCH("Monthly New Logo Growth Rate (MoM)",'1. Assumptions'!$B:$B,0)))</f>
        <v>10.314136600804995</v>
      </c>
      <c r="S18" s="116">
        <f>R18*(1+INDEX('1. Assumptions'!$G:$G,MATCH("Monthly New Logo Growth Rate (MoM)",'1. Assumptions'!$B:$B,0)))</f>
        <v>11.036126162861345</v>
      </c>
      <c r="T18" s="116">
        <f>S18*(1+INDEX('1. Assumptions'!$G:$G,MATCH("Monthly New Logo Growth Rate (MoM)",'1. Assumptions'!$B:$B,0)))</f>
        <v>11.808654994261641</v>
      </c>
      <c r="U18" s="116">
        <f>T18*(1+INDEX('1. Assumptions'!$G:$G,MATCH("Monthly New Logo Growth Rate (MoM)",'1. Assumptions'!$B:$B,0)))</f>
        <v>12.635260843859957</v>
      </c>
      <c r="V18" s="116">
        <f>U18*(1+INDEX('1. Assumptions'!$G:$G,MATCH("Monthly New Logo Growth Rate (MoM)",'1. Assumptions'!$B:$B,0)))</f>
        <v>13.519729102930155</v>
      </c>
      <c r="W18" s="116">
        <f>V18*(1+INDEX('1. Assumptions'!$G:$G,MATCH("Monthly New Logo Growth Rate (MoM)",'1. Assumptions'!$B:$B,0)))</f>
        <v>14.466110140135267</v>
      </c>
      <c r="X18" s="116">
        <f>W18*(1+INDEX('1. Assumptions'!$G:$G,MATCH("Monthly New Logo Growth Rate (MoM)",'1. Assumptions'!$B:$B,0)))</f>
        <v>15.478737849944737</v>
      </c>
      <c r="Y18" s="116">
        <f>X18*(1+INDEX('1. Assumptions'!$G:$G,MATCH("Monthly New Logo Growth Rate (MoM)",'1. Assumptions'!$B:$B,0)))</f>
        <v>16.56224949944087</v>
      </c>
      <c r="Z18" s="116">
        <f>Y18*(1+INDEX('1. Assumptions'!$G:$G,MATCH("Monthly New Logo Growth Rate (MoM)",'1. Assumptions'!$B:$B,0)))</f>
        <v>17.721606964401733</v>
      </c>
      <c r="AA18" s="116">
        <f>Z18*(1+INDEX('1. Assumptions'!$G:$G,MATCH("Monthly New Logo Growth Rate (MoM)",'1. Assumptions'!$B:$B,0)))</f>
        <v>18.962119451909857</v>
      </c>
    </row>
    <row r="19" spans="1:29" s="3" customFormat="1" ht="26.4">
      <c r="A19" s="110" t="s">
        <v>183</v>
      </c>
      <c r="B19" s="110" t="s">
        <v>712</v>
      </c>
      <c r="C19" s="110" t="s">
        <v>79</v>
      </c>
      <c r="D19" s="116">
        <f>IF(1&lt;INDEX('1. Assumptions'!$G:$G,MATCH("Enterprise Motion Start Month",'1. Assumptions'!$B:$B,0)),0,INDEX('1. Assumptions'!$G:$G,MATCH("New Enterprise Logos ; M6+",'1. Assumptions'!$B:$B,0)))</f>
        <v>0</v>
      </c>
      <c r="E19" s="116">
        <f>IF(E5&lt;INDEX('1. Assumptions'!$G:$G,MATCH("Enterprise Motion Start Month",'1. Assumptions'!$B:$B,0)),0,INDEX('1. Assumptions'!$G:$G,MATCH("New Enterprise Logos ; M6+",'1. Assumptions'!$B:$B,0))*(1+INDEX('1. Assumptions'!$G:$G,MATCH("Monthly New Logo Growth Rate (MoM)",'1. Assumptions'!$B:$B,0)))^(E5-INDEX('1. Assumptions'!$G:$G,MATCH("Enterprise Motion Start Month",'1. Assumptions'!$B:$B,0))))</f>
        <v>0</v>
      </c>
      <c r="F19" s="116">
        <f>IF(F5&lt;INDEX('1. Assumptions'!$G:$G,MATCH("Enterprise Motion Start Month",'1. Assumptions'!$B:$B,0)),0,INDEX('1. Assumptions'!$G:$G,MATCH("New Enterprise Logos ; M6+",'1. Assumptions'!$B:$B,0))*(1+INDEX('1. Assumptions'!$G:$G,MATCH("Monthly New Logo Growth Rate (MoM)",'1. Assumptions'!$B:$B,0)))^(F5-INDEX('1. Assumptions'!$G:$G,MATCH("Enterprise Motion Start Month",'1. Assumptions'!$B:$B,0))))</f>
        <v>0</v>
      </c>
      <c r="G19" s="116">
        <f>IF(G5&lt;INDEX('1. Assumptions'!$G:$G,MATCH("Enterprise Motion Start Month",'1. Assumptions'!$B:$B,0)),0,INDEX('1. Assumptions'!$G:$G,MATCH("New Enterprise Logos ; M6+",'1. Assumptions'!$B:$B,0))*(1+INDEX('1. Assumptions'!$G:$G,MATCH("Monthly New Logo Growth Rate (MoM)",'1. Assumptions'!$B:$B,0)))^(G5-INDEX('1. Assumptions'!$G:$G,MATCH("Enterprise Motion Start Month",'1. Assumptions'!$B:$B,0))))</f>
        <v>0</v>
      </c>
      <c r="H19" s="116">
        <f>IF(H5&lt;INDEX('1. Assumptions'!$G:$G,MATCH("Enterprise Motion Start Month",'1. Assumptions'!$B:$B,0)),0,INDEX('1. Assumptions'!$G:$G,MATCH("New Enterprise Logos ; M6+",'1. Assumptions'!$B:$B,0))*(1+INDEX('1. Assumptions'!$G:$G,MATCH("Monthly New Logo Growth Rate (MoM)",'1. Assumptions'!$B:$B,0)))^(H5-INDEX('1. Assumptions'!$G:$G,MATCH("Enterprise Motion Start Month",'1. Assumptions'!$B:$B,0))))</f>
        <v>0</v>
      </c>
      <c r="I19" s="116">
        <f>IF(I5&lt;INDEX('1. Assumptions'!$G:$G,MATCH("Enterprise Motion Start Month",'1. Assumptions'!$B:$B,0)),0,INDEX('1. Assumptions'!$G:$G,MATCH("New Enterprise Logos ; M6+",'1. Assumptions'!$B:$B,0))*(1+INDEX('1. Assumptions'!$G:$G,MATCH("Monthly New Logo Growth Rate (MoM)",'1. Assumptions'!$B:$B,0)))^(I5-INDEX('1. Assumptions'!$G:$G,MATCH("Enterprise Motion Start Month",'1. Assumptions'!$B:$B,0))))</f>
        <v>1</v>
      </c>
      <c r="J19" s="116">
        <f>IF(J5&lt;INDEX('1. Assumptions'!$G:$G,MATCH("Enterprise Motion Start Month",'1. Assumptions'!$B:$B,0)),0,INDEX('1. Assumptions'!$G:$G,MATCH("New Enterprise Logos ; M6+",'1. Assumptions'!$B:$B,0))*(1+INDEX('1. Assumptions'!$G:$G,MATCH("Monthly New Logo Growth Rate (MoM)",'1. Assumptions'!$B:$B,0)))^(J5-INDEX('1. Assumptions'!$G:$G,MATCH("Enterprise Motion Start Month",'1. Assumptions'!$B:$B,0))))</f>
        <v>1.07</v>
      </c>
      <c r="K19" s="116">
        <f>IF(K5&lt;INDEX('1. Assumptions'!$G:$G,MATCH("Enterprise Motion Start Month",'1. Assumptions'!$B:$B,0)),0,INDEX('1. Assumptions'!$G:$G,MATCH("New Enterprise Logos ; M6+",'1. Assumptions'!$B:$B,0))*(1+INDEX('1. Assumptions'!$G:$G,MATCH("Monthly New Logo Growth Rate (MoM)",'1. Assumptions'!$B:$B,0)))^(K5-INDEX('1. Assumptions'!$G:$G,MATCH("Enterprise Motion Start Month",'1. Assumptions'!$B:$B,0))))</f>
        <v>1.1449</v>
      </c>
      <c r="L19" s="116">
        <f>IF(L5&lt;INDEX('1. Assumptions'!$G:$G,MATCH("Enterprise Motion Start Month",'1. Assumptions'!$B:$B,0)),0,INDEX('1. Assumptions'!$G:$G,MATCH("New Enterprise Logos ; M6+",'1. Assumptions'!$B:$B,0))*(1+INDEX('1. Assumptions'!$G:$G,MATCH("Monthly New Logo Growth Rate (MoM)",'1. Assumptions'!$B:$B,0)))^(L5-INDEX('1. Assumptions'!$G:$G,MATCH("Enterprise Motion Start Month",'1. Assumptions'!$B:$B,0))))</f>
        <v>1.2250430000000001</v>
      </c>
      <c r="M19" s="116">
        <f>IF(M5&lt;INDEX('1. Assumptions'!$G:$G,MATCH("Enterprise Motion Start Month",'1. Assumptions'!$B:$B,0)),0,INDEX('1. Assumptions'!$G:$G,MATCH("New Enterprise Logos ; M6+",'1. Assumptions'!$B:$B,0))*(1+INDEX('1. Assumptions'!$G:$G,MATCH("Monthly New Logo Growth Rate (MoM)",'1. Assumptions'!$B:$B,0)))^(M5-INDEX('1. Assumptions'!$G:$G,MATCH("Enterprise Motion Start Month",'1. Assumptions'!$B:$B,0))))</f>
        <v>1.31079601</v>
      </c>
      <c r="N19" s="116">
        <f>IF(N5&lt;INDEX('1. Assumptions'!$G:$G,MATCH("Enterprise Motion Start Month",'1. Assumptions'!$B:$B,0)),0,INDEX('1. Assumptions'!$G:$G,MATCH("New Enterprise Logos ; M6+",'1. Assumptions'!$B:$B,0))*(1+INDEX('1. Assumptions'!$G:$G,MATCH("Monthly New Logo Growth Rate (MoM)",'1. Assumptions'!$B:$B,0)))^(N5-INDEX('1. Assumptions'!$G:$G,MATCH("Enterprise Motion Start Month",'1. Assumptions'!$B:$B,0))))</f>
        <v>1.4025517307000002</v>
      </c>
      <c r="O19" s="116">
        <f>IF(O5&lt;INDEX('1. Assumptions'!$G:$G,MATCH("Enterprise Motion Start Month",'1. Assumptions'!$B:$B,0)),0,INDEX('1. Assumptions'!$G:$G,MATCH("New Enterprise Logos ; M6+",'1. Assumptions'!$B:$B,0))*(1+INDEX('1. Assumptions'!$G:$G,MATCH("Monthly New Logo Growth Rate (MoM)",'1. Assumptions'!$B:$B,0)))^(O5-INDEX('1. Assumptions'!$G:$G,MATCH("Enterprise Motion Start Month",'1. Assumptions'!$B:$B,0))))</f>
        <v>1.5007303518490001</v>
      </c>
      <c r="P19" s="116">
        <f>IF(P5&lt;INDEX('1. Assumptions'!$G:$G,MATCH("Enterprise Motion Start Month",'1. Assumptions'!$B:$B,0)),0,INDEX('1. Assumptions'!$G:$G,MATCH("New Enterprise Logos ; M6+",'1. Assumptions'!$B:$B,0))*(1+INDEX('1. Assumptions'!$G:$G,MATCH("Monthly New Logo Growth Rate (MoM)",'1. Assumptions'!$B:$B,0)))^(P5-INDEX('1. Assumptions'!$G:$G,MATCH("Enterprise Motion Start Month",'1. Assumptions'!$B:$B,0))))</f>
        <v>1.6057814764784302</v>
      </c>
      <c r="Q19" s="116">
        <f>IF(Q5&lt;INDEX('1. Assumptions'!$G:$G,MATCH("Enterprise Motion Start Month",'1. Assumptions'!$B:$B,0)),0,INDEX('1. Assumptions'!$G:$G,MATCH("New Enterprise Logos ; M6+",'1. Assumptions'!$B:$B,0))*(1+INDEX('1. Assumptions'!$G:$G,MATCH("Monthly New Logo Growth Rate (MoM)",'1. Assumptions'!$B:$B,0)))^(Q5-INDEX('1. Assumptions'!$G:$G,MATCH("Enterprise Motion Start Month",'1. Assumptions'!$B:$B,0))))</f>
        <v>1.7181861798319202</v>
      </c>
      <c r="R19" s="116">
        <f>IF(R5&lt;INDEX('1. Assumptions'!$G:$G,MATCH("Enterprise Motion Start Month",'1. Assumptions'!$B:$B,0)),0,INDEX('1. Assumptions'!$G:$G,MATCH("New Enterprise Logos ; M6+",'1. Assumptions'!$B:$B,0))*(1+INDEX('1. Assumptions'!$G:$G,MATCH("Monthly New Logo Growth Rate (MoM)",'1. Assumptions'!$B:$B,0)))^(R5-INDEX('1. Assumptions'!$G:$G,MATCH("Enterprise Motion Start Month",'1. Assumptions'!$B:$B,0))))</f>
        <v>1.8384592124201549</v>
      </c>
      <c r="S19" s="116">
        <f>IF(S5&lt;INDEX('1. Assumptions'!$G:$G,MATCH("Enterprise Motion Start Month",'1. Assumptions'!$B:$B,0)),0,INDEX('1. Assumptions'!$G:$G,MATCH("New Enterprise Logos ; M6+",'1. Assumptions'!$B:$B,0))*(1+INDEX('1. Assumptions'!$G:$G,MATCH("Monthly New Logo Growth Rate (MoM)",'1. Assumptions'!$B:$B,0)))^(S5-INDEX('1. Assumptions'!$G:$G,MATCH("Enterprise Motion Start Month",'1. Assumptions'!$B:$B,0))))</f>
        <v>1.9671513572895656</v>
      </c>
      <c r="T19" s="116">
        <f>IF(T5&lt;INDEX('1. Assumptions'!$G:$G,MATCH("Enterprise Motion Start Month",'1. Assumptions'!$B:$B,0)),0,INDEX('1. Assumptions'!$G:$G,MATCH("New Enterprise Logos ; M6+",'1. Assumptions'!$B:$B,0))*(1+INDEX('1. Assumptions'!$G:$G,MATCH("Monthly New Logo Growth Rate (MoM)",'1. Assumptions'!$B:$B,0)))^(T5-INDEX('1. Assumptions'!$G:$G,MATCH("Enterprise Motion Start Month",'1. Assumptions'!$B:$B,0))))</f>
        <v>2.1048519522998355</v>
      </c>
      <c r="U19" s="116">
        <f>IF(U5&lt;INDEX('1. Assumptions'!$G:$G,MATCH("Enterprise Motion Start Month",'1. Assumptions'!$B:$B,0)),0,INDEX('1. Assumptions'!$G:$G,MATCH("New Enterprise Logos ; M6+",'1. Assumptions'!$B:$B,0))*(1+INDEX('1. Assumptions'!$G:$G,MATCH("Monthly New Logo Growth Rate (MoM)",'1. Assumptions'!$B:$B,0)))^(U5-INDEX('1. Assumptions'!$G:$G,MATCH("Enterprise Motion Start Month",'1. Assumptions'!$B:$B,0))))</f>
        <v>2.2521915889608235</v>
      </c>
      <c r="V19" s="116">
        <f>IF(V5&lt;INDEX('1. Assumptions'!$G:$G,MATCH("Enterprise Motion Start Month",'1. Assumptions'!$B:$B,0)),0,INDEX('1. Assumptions'!$G:$G,MATCH("New Enterprise Logos ; M6+",'1. Assumptions'!$B:$B,0))*(1+INDEX('1. Assumptions'!$G:$G,MATCH("Monthly New Logo Growth Rate (MoM)",'1. Assumptions'!$B:$B,0)))^(V5-INDEX('1. Assumptions'!$G:$G,MATCH("Enterprise Motion Start Month",'1. Assumptions'!$B:$B,0))))</f>
        <v>2.4098450001880813</v>
      </c>
      <c r="W19" s="116">
        <f>IF(W5&lt;INDEX('1. Assumptions'!$G:$G,MATCH("Enterprise Motion Start Month",'1. Assumptions'!$B:$B,0)),0,INDEX('1. Assumptions'!$G:$G,MATCH("New Enterprise Logos ; M6+",'1. Assumptions'!$B:$B,0))*(1+INDEX('1. Assumptions'!$G:$G,MATCH("Monthly New Logo Growth Rate (MoM)",'1. Assumptions'!$B:$B,0)))^(W5-INDEX('1. Assumptions'!$G:$G,MATCH("Enterprise Motion Start Month",'1. Assumptions'!$B:$B,0))))</f>
        <v>2.5785341502012469</v>
      </c>
      <c r="X19" s="116">
        <f>IF(X5&lt;INDEX('1. Assumptions'!$G:$G,MATCH("Enterprise Motion Start Month",'1. Assumptions'!$B:$B,0)),0,INDEX('1. Assumptions'!$G:$G,MATCH("New Enterprise Logos ; M6+",'1. Assumptions'!$B:$B,0))*(1+INDEX('1. Assumptions'!$G:$G,MATCH("Monthly New Logo Growth Rate (MoM)",'1. Assumptions'!$B:$B,0)))^(X5-INDEX('1. Assumptions'!$G:$G,MATCH("Enterprise Motion Start Month",'1. Assumptions'!$B:$B,0))))</f>
        <v>2.7590315407153345</v>
      </c>
      <c r="Y19" s="116">
        <f>IF(Y5&lt;INDEX('1. Assumptions'!$G:$G,MATCH("Enterprise Motion Start Month",'1. Assumptions'!$B:$B,0)),0,INDEX('1. Assumptions'!$G:$G,MATCH("New Enterprise Logos ; M6+",'1. Assumptions'!$B:$B,0))*(1+INDEX('1. Assumptions'!$G:$G,MATCH("Monthly New Logo Growth Rate (MoM)",'1. Assumptions'!$B:$B,0)))^(Y5-INDEX('1. Assumptions'!$G:$G,MATCH("Enterprise Motion Start Month",'1. Assumptions'!$B:$B,0))))</f>
        <v>2.9521637485654075</v>
      </c>
      <c r="Z19" s="116">
        <f>IF(Z5&lt;INDEX('1. Assumptions'!$G:$G,MATCH("Enterprise Motion Start Month",'1. Assumptions'!$B:$B,0)),0,INDEX('1. Assumptions'!$G:$G,MATCH("New Enterprise Logos ; M6+",'1. Assumptions'!$B:$B,0))*(1+INDEX('1. Assumptions'!$G:$G,MATCH("Monthly New Logo Growth Rate (MoM)",'1. Assumptions'!$B:$B,0)))^(Z5-INDEX('1. Assumptions'!$G:$G,MATCH("Enterprise Motion Start Month",'1. Assumptions'!$B:$B,0))))</f>
        <v>3.1588152109649861</v>
      </c>
      <c r="AA19" s="116">
        <f>IF(AA5&lt;INDEX('1. Assumptions'!$G:$G,MATCH("Enterprise Motion Start Month",'1. Assumptions'!$B:$B,0)),0,INDEX('1. Assumptions'!$G:$G,MATCH("New Enterprise Logos ; M6+",'1. Assumptions'!$B:$B,0))*(1+INDEX('1. Assumptions'!$G:$G,MATCH("Monthly New Logo Growth Rate (MoM)",'1. Assumptions'!$B:$B,0)))^(AA5-INDEX('1. Assumptions'!$G:$G,MATCH("Enterprise Motion Start Month",'1. Assumptions'!$B:$B,0))))</f>
        <v>3.3799322757325352</v>
      </c>
      <c r="AC19" s="110" t="s">
        <v>713</v>
      </c>
    </row>
    <row r="20" spans="1:29" s="3" customFormat="1" ht="26.4">
      <c r="A20" s="110" t="s">
        <v>183</v>
      </c>
      <c r="B20" s="110" t="s">
        <v>714</v>
      </c>
      <c r="C20" s="110" t="s">
        <v>79</v>
      </c>
      <c r="D20" s="116">
        <f t="shared" ref="D20:AA20" si="3">D12</f>
        <v>32</v>
      </c>
      <c r="E20" s="116">
        <f t="shared" si="3"/>
        <v>31.36</v>
      </c>
      <c r="F20" s="116">
        <f t="shared" si="3"/>
        <v>31.500800000000002</v>
      </c>
      <c r="G20" s="116">
        <f t="shared" si="3"/>
        <v>32.314624000000002</v>
      </c>
      <c r="H20" s="116">
        <f t="shared" si="3"/>
        <v>33.723806720000006</v>
      </c>
      <c r="I20" s="116">
        <f t="shared" si="3"/>
        <v>35.674809241600009</v>
      </c>
      <c r="J20" s="116">
        <f t="shared" si="3"/>
        <v>38.133615208448013</v>
      </c>
      <c r="K20" s="116">
        <f t="shared" si="3"/>
        <v>41.08221026258947</v>
      </c>
      <c r="L20" s="116">
        <f t="shared" si="3"/>
        <v>44.515913444819802</v>
      </c>
      <c r="M20" s="116">
        <f t="shared" si="3"/>
        <v>48.441380870959463</v>
      </c>
      <c r="N20" s="116">
        <f t="shared" si="3"/>
        <v>52.875142301748404</v>
      </c>
      <c r="O20" s="116">
        <f t="shared" si="3"/>
        <v>57.842562740003778</v>
      </c>
      <c r="P20" s="116">
        <f t="shared" si="3"/>
        <v>63.377145856306974</v>
      </c>
      <c r="Q20" s="116">
        <f t="shared" si="3"/>
        <v>69.520115378933852</v>
      </c>
      <c r="R20" s="116">
        <f t="shared" si="3"/>
        <v>76.320225767684263</v>
      </c>
      <c r="S20" s="116">
        <f t="shared" si="3"/>
        <v>83.833765448121184</v>
      </c>
      <c r="T20" s="116">
        <f t="shared" si="3"/>
        <v>92.124725333794728</v>
      </c>
      <c r="U20" s="116">
        <f t="shared" si="3"/>
        <v>101.26511287304611</v>
      </c>
      <c r="V20" s="116">
        <f t="shared" si="3"/>
        <v>111.3353978649308</v>
      </c>
      <c r="W20" s="116">
        <f t="shared" si="3"/>
        <v>122.42508114099637</v>
      </c>
      <c r="X20" s="116">
        <f t="shared" si="3"/>
        <v>134.63338117696253</v>
      </c>
      <c r="Y20" s="116">
        <f t="shared" si="3"/>
        <v>148.07003699371469</v>
      </c>
      <c r="Z20" s="116">
        <f t="shared" si="3"/>
        <v>162.85622849834976</v>
      </c>
      <c r="AA20" s="116">
        <f t="shared" si="3"/>
        <v>179.12561783629036</v>
      </c>
    </row>
    <row r="21" spans="1:29" s="3" customFormat="1" ht="26.4">
      <c r="A21" s="111" t="s">
        <v>183</v>
      </c>
      <c r="B21" s="111" t="s">
        <v>715</v>
      </c>
      <c r="C21" s="111" t="s">
        <v>79</v>
      </c>
      <c r="D21" s="118">
        <f t="shared" ref="D21:AA21" si="4">D17+D18+D19+D20</f>
        <v>44</v>
      </c>
      <c r="E21" s="118">
        <f t="shared" si="4"/>
        <v>44.2</v>
      </c>
      <c r="F21" s="118">
        <f t="shared" si="4"/>
        <v>45.239600000000003</v>
      </c>
      <c r="G21" s="118">
        <f t="shared" si="4"/>
        <v>47.015140000000002</v>
      </c>
      <c r="H21" s="118">
        <f t="shared" si="4"/>
        <v>49.453358840000007</v>
      </c>
      <c r="I21" s="118">
        <f t="shared" si="4"/>
        <v>53.505430010000012</v>
      </c>
      <c r="J21" s="118">
        <f t="shared" si="4"/>
        <v>57.21237943063602</v>
      </c>
      <c r="K21" s="118">
        <f t="shared" si="4"/>
        <v>61.496487980330642</v>
      </c>
      <c r="L21" s="118">
        <f t="shared" si="4"/>
        <v>66.359190602802855</v>
      </c>
      <c r="M21" s="118">
        <f t="shared" si="4"/>
        <v>71.813687430001323</v>
      </c>
      <c r="N21" s="118">
        <f t="shared" si="4"/>
        <v>77.883510319923204</v>
      </c>
      <c r="O21" s="118">
        <f t="shared" si="4"/>
        <v>84.601516519450811</v>
      </c>
      <c r="P21" s="118">
        <f t="shared" si="4"/>
        <v>92.009226400315299</v>
      </c>
      <c r="Q21" s="118">
        <f t="shared" si="4"/>
        <v>100.15644156102276</v>
      </c>
      <c r="R21" s="118">
        <f t="shared" si="4"/>
        <v>109.1010947825194</v>
      </c>
      <c r="S21" s="118">
        <f t="shared" si="4"/>
        <v>118.90929529399479</v>
      </c>
      <c r="T21" s="118">
        <f t="shared" si="4"/>
        <v>129.65554226887949</v>
      </c>
      <c r="U21" s="118">
        <f t="shared" si="4"/>
        <v>141.42308699358682</v>
      </c>
      <c r="V21" s="118">
        <f t="shared" si="4"/>
        <v>154.30443017390934</v>
      </c>
      <c r="W21" s="118">
        <f t="shared" si="4"/>
        <v>168.40194571160342</v>
      </c>
      <c r="X21" s="118">
        <f t="shared" si="4"/>
        <v>183.82862626751208</v>
      </c>
      <c r="Y21" s="118">
        <f t="shared" si="4"/>
        <v>200.70894924060272</v>
      </c>
      <c r="Z21" s="118">
        <f t="shared" si="4"/>
        <v>219.17986460251996</v>
      </c>
      <c r="AA21" s="118">
        <f t="shared" si="4"/>
        <v>239.39190846775247</v>
      </c>
      <c r="AC21" s="111" t="s">
        <v>716</v>
      </c>
    </row>
    <row r="22" spans="1:29" s="3" customFormat="1" ht="13.2">
      <c r="A22" s="115"/>
      <c r="B22" s="115"/>
      <c r="C22" s="115"/>
    </row>
    <row r="23" spans="1:29" s="106" customFormat="1" ht="15" customHeight="1">
      <c r="A23" s="105" t="s">
        <v>717</v>
      </c>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row>
    <row r="24" spans="1:29" s="3" customFormat="1" ht="13.2">
      <c r="A24" s="110" t="s">
        <v>718</v>
      </c>
      <c r="B24" s="111" t="s">
        <v>719</v>
      </c>
      <c r="C24" s="110" t="s">
        <v>79</v>
      </c>
      <c r="D24" s="119">
        <f>INDEX('1. Assumptions'!$G:$G,MATCH("Starting Starter Customers",'1. Assumptions'!$B:$B,0))</f>
        <v>300</v>
      </c>
      <c r="E24" s="119">
        <f t="shared" ref="E24:AA24" si="5">D29</f>
        <v>334</v>
      </c>
      <c r="F24" s="119">
        <f t="shared" si="5"/>
        <v>353.88</v>
      </c>
      <c r="G24" s="119">
        <f t="shared" si="5"/>
        <v>373.30720000000002</v>
      </c>
      <c r="H24" s="119">
        <f t="shared" si="5"/>
        <v>393.02373599999999</v>
      </c>
      <c r="I24" s="119">
        <f t="shared" si="5"/>
        <v>413.65248663999995</v>
      </c>
      <c r="J24" s="119">
        <f t="shared" si="5"/>
        <v>435.72856052879996</v>
      </c>
      <c r="K24" s="119">
        <f t="shared" si="5"/>
        <v>459.72430492031197</v>
      </c>
      <c r="L24" s="119">
        <f t="shared" si="5"/>
        <v>486.06930869951026</v>
      </c>
      <c r="M24" s="119">
        <f t="shared" si="5"/>
        <v>515.16655306101472</v>
      </c>
      <c r="N24" s="119">
        <f t="shared" si="5"/>
        <v>547.40561444767457</v>
      </c>
      <c r="O24" s="119">
        <f t="shared" si="5"/>
        <v>583.17363074087905</v>
      </c>
      <c r="P24" s="119">
        <f t="shared" si="5"/>
        <v>622.86459125482884</v>
      </c>
      <c r="Q24" s="119">
        <f t="shared" si="5"/>
        <v>666.88739434753256</v>
      </c>
      <c r="R24" s="119">
        <f t="shared" si="5"/>
        <v>715.67302606711917</v>
      </c>
      <c r="S24" s="119">
        <f t="shared" si="5"/>
        <v>769.68114347238634</v>
      </c>
      <c r="T24" s="119">
        <f t="shared" si="5"/>
        <v>829.40629263788708</v>
      </c>
      <c r="U24" s="119">
        <f t="shared" si="5"/>
        <v>895.38395040193188</v>
      </c>
      <c r="V24" s="119">
        <f t="shared" si="5"/>
        <v>968.19654793858194</v>
      </c>
      <c r="W24" s="119">
        <f t="shared" si="5"/>
        <v>1048.4796111330581</v>
      </c>
      <c r="X24" s="119">
        <f t="shared" si="5"/>
        <v>1136.9281358863416</v>
      </c>
      <c r="Y24" s="119">
        <f t="shared" si="5"/>
        <v>1234.3033046100131</v>
      </c>
      <c r="Z24" s="119">
        <f t="shared" si="5"/>
        <v>1341.4396423260089</v>
      </c>
      <c r="AA24" s="119">
        <f t="shared" si="5"/>
        <v>1459.2527062136016</v>
      </c>
    </row>
    <row r="25" spans="1:29" s="3" customFormat="1" ht="13.2">
      <c r="A25" s="110" t="s">
        <v>718</v>
      </c>
      <c r="B25" s="110" t="s">
        <v>720</v>
      </c>
      <c r="C25" s="110" t="s">
        <v>79</v>
      </c>
      <c r="D25" s="119">
        <f t="shared" ref="D25:AA25" si="6">D17</f>
        <v>8</v>
      </c>
      <c r="E25" s="119">
        <f t="shared" si="6"/>
        <v>8.56</v>
      </c>
      <c r="F25" s="119">
        <f t="shared" si="6"/>
        <v>9.1592000000000002</v>
      </c>
      <c r="G25" s="119">
        <f t="shared" si="6"/>
        <v>9.8003440000000008</v>
      </c>
      <c r="H25" s="119">
        <f t="shared" si="6"/>
        <v>10.486368080000002</v>
      </c>
      <c r="I25" s="119">
        <f t="shared" si="6"/>
        <v>11.220413845600003</v>
      </c>
      <c r="J25" s="119">
        <f t="shared" si="6"/>
        <v>12.005842814792004</v>
      </c>
      <c r="K25" s="119">
        <f t="shared" si="6"/>
        <v>12.846251811827445</v>
      </c>
      <c r="L25" s="119">
        <f t="shared" si="6"/>
        <v>13.745489438655367</v>
      </c>
      <c r="M25" s="119">
        <f t="shared" si="6"/>
        <v>14.707673699361244</v>
      </c>
      <c r="N25" s="119">
        <f t="shared" si="6"/>
        <v>15.737210858316532</v>
      </c>
      <c r="O25" s="119">
        <f t="shared" si="6"/>
        <v>16.838815618398691</v>
      </c>
      <c r="P25" s="119">
        <f t="shared" si="6"/>
        <v>18.017532711686599</v>
      </c>
      <c r="Q25" s="119">
        <f t="shared" si="6"/>
        <v>19.278760001504661</v>
      </c>
      <c r="R25" s="119">
        <f t="shared" si="6"/>
        <v>20.628273201609989</v>
      </c>
      <c r="S25" s="119">
        <f t="shared" si="6"/>
        <v>22.07225232572269</v>
      </c>
      <c r="T25" s="119">
        <f t="shared" si="6"/>
        <v>23.617309988523282</v>
      </c>
      <c r="U25" s="119">
        <f t="shared" si="6"/>
        <v>25.270521687719913</v>
      </c>
      <c r="V25" s="119">
        <f t="shared" si="6"/>
        <v>27.03945820586031</v>
      </c>
      <c r="W25" s="119">
        <f t="shared" si="6"/>
        <v>28.932220280270535</v>
      </c>
      <c r="X25" s="119">
        <f t="shared" si="6"/>
        <v>30.957475699889475</v>
      </c>
      <c r="Y25" s="119">
        <f t="shared" si="6"/>
        <v>33.124498998881741</v>
      </c>
      <c r="Z25" s="119">
        <f t="shared" si="6"/>
        <v>35.443213928803466</v>
      </c>
      <c r="AA25" s="119">
        <f t="shared" si="6"/>
        <v>37.924238903819713</v>
      </c>
    </row>
    <row r="26" spans="1:29" s="3" customFormat="1" ht="13.2">
      <c r="A26" s="110" t="s">
        <v>718</v>
      </c>
      <c r="B26" s="110" t="s">
        <v>704</v>
      </c>
      <c r="C26" s="110" t="s">
        <v>79</v>
      </c>
      <c r="D26" s="119">
        <f t="shared" ref="D26:AA26" si="7">D12</f>
        <v>32</v>
      </c>
      <c r="E26" s="119">
        <f t="shared" si="7"/>
        <v>31.36</v>
      </c>
      <c r="F26" s="119">
        <f t="shared" si="7"/>
        <v>31.500800000000002</v>
      </c>
      <c r="G26" s="119">
        <f t="shared" si="7"/>
        <v>32.314624000000002</v>
      </c>
      <c r="H26" s="119">
        <f t="shared" si="7"/>
        <v>33.723806720000006</v>
      </c>
      <c r="I26" s="119">
        <f t="shared" si="7"/>
        <v>35.674809241600009</v>
      </c>
      <c r="J26" s="119">
        <f t="shared" si="7"/>
        <v>38.133615208448013</v>
      </c>
      <c r="K26" s="119">
        <f t="shared" si="7"/>
        <v>41.08221026258947</v>
      </c>
      <c r="L26" s="119">
        <f t="shared" si="7"/>
        <v>44.515913444819802</v>
      </c>
      <c r="M26" s="119">
        <f t="shared" si="7"/>
        <v>48.441380870959463</v>
      </c>
      <c r="N26" s="119">
        <f t="shared" si="7"/>
        <v>52.875142301748404</v>
      </c>
      <c r="O26" s="119">
        <f t="shared" si="7"/>
        <v>57.842562740003778</v>
      </c>
      <c r="P26" s="119">
        <f t="shared" si="7"/>
        <v>63.377145856306974</v>
      </c>
      <c r="Q26" s="119">
        <f t="shared" si="7"/>
        <v>69.520115378933852</v>
      </c>
      <c r="R26" s="119">
        <f t="shared" si="7"/>
        <v>76.320225767684263</v>
      </c>
      <c r="S26" s="119">
        <f t="shared" si="7"/>
        <v>83.833765448121184</v>
      </c>
      <c r="T26" s="119">
        <f t="shared" si="7"/>
        <v>92.124725333794728</v>
      </c>
      <c r="U26" s="119">
        <f t="shared" si="7"/>
        <v>101.26511287304611</v>
      </c>
      <c r="V26" s="119">
        <f t="shared" si="7"/>
        <v>111.3353978649308</v>
      </c>
      <c r="W26" s="119">
        <f t="shared" si="7"/>
        <v>122.42508114099637</v>
      </c>
      <c r="X26" s="119">
        <f t="shared" si="7"/>
        <v>134.63338117696253</v>
      </c>
      <c r="Y26" s="119">
        <f t="shared" si="7"/>
        <v>148.07003699371469</v>
      </c>
      <c r="Z26" s="119">
        <f t="shared" si="7"/>
        <v>162.85622849834976</v>
      </c>
      <c r="AA26" s="119">
        <f t="shared" si="7"/>
        <v>179.12561783629036</v>
      </c>
    </row>
    <row r="27" spans="1:29" s="3" customFormat="1" ht="13.2">
      <c r="A27" s="110" t="s">
        <v>718</v>
      </c>
      <c r="B27" s="110" t="s">
        <v>721</v>
      </c>
      <c r="C27" s="110" t="s">
        <v>79</v>
      </c>
      <c r="D27" s="119">
        <f>D24*INDEX('1. Assumptions'!$G:$G,MATCH("Starter-to-Growth Monthly Upgrade Rate",'1. Assumptions'!$B:$B,0))</f>
        <v>6</v>
      </c>
      <c r="E27" s="119">
        <f>E24*INDEX('1. Assumptions'!$G:$G,MATCH("Starter-to-Growth Monthly Upgrade Rate",'1. Assumptions'!$B:$B,0))</f>
        <v>6.68</v>
      </c>
      <c r="F27" s="119">
        <f>F24*INDEX('1. Assumptions'!$G:$G,MATCH("Starter-to-Growth Monthly Upgrade Rate",'1. Assumptions'!$B:$B,0))</f>
        <v>7.0776000000000003</v>
      </c>
      <c r="G27" s="119">
        <f>G24*INDEX('1. Assumptions'!$G:$G,MATCH("Starter-to-Growth Monthly Upgrade Rate",'1. Assumptions'!$B:$B,0))</f>
        <v>7.4661440000000008</v>
      </c>
      <c r="H27" s="119">
        <f>H24*INDEX('1. Assumptions'!$G:$G,MATCH("Starter-to-Growth Monthly Upgrade Rate",'1. Assumptions'!$B:$B,0))</f>
        <v>7.86047472</v>
      </c>
      <c r="I27" s="119">
        <f>I24*INDEX('1. Assumptions'!$G:$G,MATCH("Starter-to-Growth Monthly Upgrade Rate",'1. Assumptions'!$B:$B,0))</f>
        <v>8.2730497327999988</v>
      </c>
      <c r="J27" s="119">
        <f>J24*INDEX('1. Assumptions'!$G:$G,MATCH("Starter-to-Growth Monthly Upgrade Rate",'1. Assumptions'!$B:$B,0))</f>
        <v>8.7145712105759987</v>
      </c>
      <c r="K27" s="119">
        <f>K24*INDEX('1. Assumptions'!$G:$G,MATCH("Starter-to-Growth Monthly Upgrade Rate",'1. Assumptions'!$B:$B,0))</f>
        <v>9.1944860984062391</v>
      </c>
      <c r="L27" s="119">
        <f>L24*INDEX('1. Assumptions'!$G:$G,MATCH("Starter-to-Growth Monthly Upgrade Rate",'1. Assumptions'!$B:$B,0))</f>
        <v>9.7213861739902061</v>
      </c>
      <c r="M27" s="119">
        <f>M24*INDEX('1. Assumptions'!$G:$G,MATCH("Starter-to-Growth Monthly Upgrade Rate",'1. Assumptions'!$B:$B,0))</f>
        <v>10.303331061220295</v>
      </c>
      <c r="N27" s="119">
        <f>N24*INDEX('1. Assumptions'!$G:$G,MATCH("Starter-to-Growth Monthly Upgrade Rate",'1. Assumptions'!$B:$B,0))</f>
        <v>10.948112288953492</v>
      </c>
      <c r="O27" s="119">
        <f>O24*INDEX('1. Assumptions'!$G:$G,MATCH("Starter-to-Growth Monthly Upgrade Rate",'1. Assumptions'!$B:$B,0))</f>
        <v>11.66347261481758</v>
      </c>
      <c r="P27" s="119">
        <f>P24*INDEX('1. Assumptions'!$G:$G,MATCH("Starter-to-Growth Monthly Upgrade Rate",'1. Assumptions'!$B:$B,0))</f>
        <v>12.457291825096577</v>
      </c>
      <c r="Q27" s="119">
        <f>Q24*INDEX('1. Assumptions'!$G:$G,MATCH("Starter-to-Growth Monthly Upgrade Rate",'1. Assumptions'!$B:$B,0))</f>
        <v>13.337747886950652</v>
      </c>
      <c r="R27" s="119">
        <f>R24*INDEX('1. Assumptions'!$G:$G,MATCH("Starter-to-Growth Monthly Upgrade Rate",'1. Assumptions'!$B:$B,0))</f>
        <v>14.313460521342384</v>
      </c>
      <c r="S27" s="119">
        <f>S24*INDEX('1. Assumptions'!$G:$G,MATCH("Starter-to-Growth Monthly Upgrade Rate",'1. Assumptions'!$B:$B,0))</f>
        <v>15.393622869447727</v>
      </c>
      <c r="T27" s="119">
        <f>T24*INDEX('1. Assumptions'!$G:$G,MATCH("Starter-to-Growth Monthly Upgrade Rate",'1. Assumptions'!$B:$B,0))</f>
        <v>16.588125852757742</v>
      </c>
      <c r="U27" s="119">
        <f>U24*INDEX('1. Assumptions'!$G:$G,MATCH("Starter-to-Growth Monthly Upgrade Rate",'1. Assumptions'!$B:$B,0))</f>
        <v>17.907679008038638</v>
      </c>
      <c r="V27" s="119">
        <f>V24*INDEX('1. Assumptions'!$G:$G,MATCH("Starter-to-Growth Monthly Upgrade Rate",'1. Assumptions'!$B:$B,0))</f>
        <v>19.36393095877164</v>
      </c>
      <c r="W27" s="119">
        <f>W24*INDEX('1. Assumptions'!$G:$G,MATCH("Starter-to-Growth Monthly Upgrade Rate",'1. Assumptions'!$B:$B,0))</f>
        <v>20.969592222661163</v>
      </c>
      <c r="X27" s="119">
        <f>X24*INDEX('1. Assumptions'!$G:$G,MATCH("Starter-to-Growth Monthly Upgrade Rate",'1. Assumptions'!$B:$B,0))</f>
        <v>22.738562717726833</v>
      </c>
      <c r="Y27" s="119">
        <f>Y24*INDEX('1. Assumptions'!$G:$G,MATCH("Starter-to-Growth Monthly Upgrade Rate",'1. Assumptions'!$B:$B,0))</f>
        <v>24.686066092200264</v>
      </c>
      <c r="Z27" s="119">
        <f>Z24*INDEX('1. Assumptions'!$G:$G,MATCH("Starter-to-Growth Monthly Upgrade Rate",'1. Assumptions'!$B:$B,0))</f>
        <v>26.828792846520177</v>
      </c>
      <c r="AA27" s="119">
        <f>AA24*INDEX('1. Assumptions'!$G:$G,MATCH("Starter-to-Growth Monthly Upgrade Rate",'1. Assumptions'!$B:$B,0))</f>
        <v>29.185054124272032</v>
      </c>
    </row>
    <row r="28" spans="1:29" s="3" customFormat="1" ht="13.2">
      <c r="A28" s="110" t="s">
        <v>718</v>
      </c>
      <c r="B28" s="110" t="s">
        <v>722</v>
      </c>
      <c r="C28" s="110" t="s">
        <v>79</v>
      </c>
      <c r="D28" s="119">
        <f>IF(D5&lt;INDEX('1. Assumptions'!$G:$G,MATCH("Churn Start Month",'1. Assumptions'!$B:$B,0)),0,D24*INDEX('1. Assumptions'!$G:$G,MATCH("Starter Monthly Churn",'1. Assumptions'!$B:$B,0)))</f>
        <v>0</v>
      </c>
      <c r="E28" s="119">
        <f>IF(E5&lt;INDEX('1. Assumptions'!$G:$G,MATCH("Churn Start Month",'1. Assumptions'!$B:$B,0)),0,E24*INDEX('1. Assumptions'!$G:$G,MATCH("Starter Monthly Churn",'1. Assumptions'!$B:$B,0)))</f>
        <v>13.36</v>
      </c>
      <c r="F28" s="119">
        <f>IF(F5&lt;INDEX('1. Assumptions'!$G:$G,MATCH("Churn Start Month",'1. Assumptions'!$B:$B,0)),0,F24*INDEX('1. Assumptions'!$G:$G,MATCH("Starter Monthly Churn",'1. Assumptions'!$B:$B,0)))</f>
        <v>14.155200000000001</v>
      </c>
      <c r="G28" s="119">
        <f>IF(G5&lt;INDEX('1. Assumptions'!$G:$G,MATCH("Churn Start Month",'1. Assumptions'!$B:$B,0)),0,G24*INDEX('1. Assumptions'!$G:$G,MATCH("Starter Monthly Churn",'1. Assumptions'!$B:$B,0)))</f>
        <v>14.932288000000002</v>
      </c>
      <c r="H28" s="119">
        <f>IF(H5&lt;INDEX('1. Assumptions'!$G:$G,MATCH("Churn Start Month",'1. Assumptions'!$B:$B,0)),0,H24*INDEX('1. Assumptions'!$G:$G,MATCH("Starter Monthly Churn",'1. Assumptions'!$B:$B,0)))</f>
        <v>15.72094944</v>
      </c>
      <c r="I28" s="119">
        <f>IF(I5&lt;INDEX('1. Assumptions'!$G:$G,MATCH("Churn Start Month",'1. Assumptions'!$B:$B,0)),0,I24*INDEX('1. Assumptions'!$G:$G,MATCH("Starter Monthly Churn",'1. Assumptions'!$B:$B,0)))</f>
        <v>16.546099465599998</v>
      </c>
      <c r="J28" s="119">
        <f>IF(J5&lt;INDEX('1. Assumptions'!$G:$G,MATCH("Churn Start Month",'1. Assumptions'!$B:$B,0)),0,J24*INDEX('1. Assumptions'!$G:$G,MATCH("Starter Monthly Churn",'1. Assumptions'!$B:$B,0)))</f>
        <v>17.429142421151997</v>
      </c>
      <c r="K28" s="119">
        <f>IF(K5&lt;INDEX('1. Assumptions'!$G:$G,MATCH("Churn Start Month",'1. Assumptions'!$B:$B,0)),0,K24*INDEX('1. Assumptions'!$G:$G,MATCH("Starter Monthly Churn",'1. Assumptions'!$B:$B,0)))</f>
        <v>18.388972196812478</v>
      </c>
      <c r="L28" s="119">
        <f>IF(L5&lt;INDEX('1. Assumptions'!$G:$G,MATCH("Churn Start Month",'1. Assumptions'!$B:$B,0)),0,L24*INDEX('1. Assumptions'!$G:$G,MATCH("Starter Monthly Churn",'1. Assumptions'!$B:$B,0)))</f>
        <v>19.442772347980412</v>
      </c>
      <c r="M28" s="119">
        <f>IF(M5&lt;INDEX('1. Assumptions'!$G:$G,MATCH("Churn Start Month",'1. Assumptions'!$B:$B,0)),0,M24*INDEX('1. Assumptions'!$G:$G,MATCH("Starter Monthly Churn",'1. Assumptions'!$B:$B,0)))</f>
        <v>20.606662122440589</v>
      </c>
      <c r="N28" s="119">
        <f>IF(N5&lt;INDEX('1. Assumptions'!$G:$G,MATCH("Churn Start Month",'1. Assumptions'!$B:$B,0)),0,N24*INDEX('1. Assumptions'!$G:$G,MATCH("Starter Monthly Churn",'1. Assumptions'!$B:$B,0)))</f>
        <v>21.896224577906985</v>
      </c>
      <c r="O28" s="119">
        <f>IF(O5&lt;INDEX('1. Assumptions'!$G:$G,MATCH("Churn Start Month",'1. Assumptions'!$B:$B,0)),0,O24*INDEX('1. Assumptions'!$G:$G,MATCH("Starter Monthly Churn",'1. Assumptions'!$B:$B,0)))</f>
        <v>23.326945229635161</v>
      </c>
      <c r="P28" s="119">
        <f>IF(P5&lt;INDEX('1. Assumptions'!$G:$G,MATCH("Churn Start Month",'1. Assumptions'!$B:$B,0)),0,P24*INDEX('1. Assumptions'!$G:$G,MATCH("Starter Monthly Churn",'1. Assumptions'!$B:$B,0)))</f>
        <v>24.914583650193155</v>
      </c>
      <c r="Q28" s="119">
        <f>IF(Q5&lt;INDEX('1. Assumptions'!$G:$G,MATCH("Churn Start Month",'1. Assumptions'!$B:$B,0)),0,Q24*INDEX('1. Assumptions'!$G:$G,MATCH("Starter Monthly Churn",'1. Assumptions'!$B:$B,0)))</f>
        <v>26.675495773901304</v>
      </c>
      <c r="R28" s="119">
        <f>IF(R5&lt;INDEX('1. Assumptions'!$G:$G,MATCH("Churn Start Month",'1. Assumptions'!$B:$B,0)),0,R24*INDEX('1. Assumptions'!$G:$G,MATCH("Starter Monthly Churn",'1. Assumptions'!$B:$B,0)))</f>
        <v>28.626921042684767</v>
      </c>
      <c r="S28" s="119">
        <f>IF(S5&lt;INDEX('1. Assumptions'!$G:$G,MATCH("Churn Start Month",'1. Assumptions'!$B:$B,0)),0,S24*INDEX('1. Assumptions'!$G:$G,MATCH("Starter Monthly Churn",'1. Assumptions'!$B:$B,0)))</f>
        <v>30.787245738895454</v>
      </c>
      <c r="T28" s="119">
        <f>IF(T5&lt;INDEX('1. Assumptions'!$G:$G,MATCH("Churn Start Month",'1. Assumptions'!$B:$B,0)),0,T24*INDEX('1. Assumptions'!$G:$G,MATCH("Starter Monthly Churn",'1. Assumptions'!$B:$B,0)))</f>
        <v>33.176251705515483</v>
      </c>
      <c r="U28" s="119">
        <f>IF(U5&lt;INDEX('1. Assumptions'!$G:$G,MATCH("Churn Start Month",'1. Assumptions'!$B:$B,0)),0,U24*INDEX('1. Assumptions'!$G:$G,MATCH("Starter Monthly Churn",'1. Assumptions'!$B:$B,0)))</f>
        <v>35.815358016077276</v>
      </c>
      <c r="V28" s="119">
        <f>IF(V5&lt;INDEX('1. Assumptions'!$G:$G,MATCH("Churn Start Month",'1. Assumptions'!$B:$B,0)),0,V24*INDEX('1. Assumptions'!$G:$G,MATCH("Starter Monthly Churn",'1. Assumptions'!$B:$B,0)))</f>
        <v>38.727861917543279</v>
      </c>
      <c r="W28" s="119">
        <f>IF(W5&lt;INDEX('1. Assumptions'!$G:$G,MATCH("Churn Start Month",'1. Assumptions'!$B:$B,0)),0,W24*INDEX('1. Assumptions'!$G:$G,MATCH("Starter Monthly Churn",'1. Assumptions'!$B:$B,0)))</f>
        <v>41.939184445322326</v>
      </c>
      <c r="X28" s="119">
        <f>IF(X5&lt;INDEX('1. Assumptions'!$G:$G,MATCH("Churn Start Month",'1. Assumptions'!$B:$B,0)),0,X24*INDEX('1. Assumptions'!$G:$G,MATCH("Starter Monthly Churn",'1. Assumptions'!$B:$B,0)))</f>
        <v>45.477125435453665</v>
      </c>
      <c r="Y28" s="119">
        <f>IF(Y5&lt;INDEX('1. Assumptions'!$G:$G,MATCH("Churn Start Month",'1. Assumptions'!$B:$B,0)),0,Y24*INDEX('1. Assumptions'!$G:$G,MATCH("Starter Monthly Churn",'1. Assumptions'!$B:$B,0)))</f>
        <v>49.372132184400527</v>
      </c>
      <c r="Z28" s="119">
        <f>IF(Z5&lt;INDEX('1. Assumptions'!$G:$G,MATCH("Churn Start Month",'1. Assumptions'!$B:$B,0)),0,Z24*INDEX('1. Assumptions'!$G:$G,MATCH("Starter Monthly Churn",'1. Assumptions'!$B:$B,0)))</f>
        <v>53.657585693040353</v>
      </c>
      <c r="AA28" s="119">
        <f>IF(AA5&lt;INDEX('1. Assumptions'!$G:$G,MATCH("Churn Start Month",'1. Assumptions'!$B:$B,0)),0,AA24*INDEX('1. Assumptions'!$G:$G,MATCH("Starter Monthly Churn",'1. Assumptions'!$B:$B,0)))</f>
        <v>58.370108248544064</v>
      </c>
    </row>
    <row r="29" spans="1:29" s="3" customFormat="1" ht="26.4">
      <c r="A29" s="107" t="s">
        <v>718</v>
      </c>
      <c r="B29" s="107" t="s">
        <v>723</v>
      </c>
      <c r="C29" s="107" t="s">
        <v>79</v>
      </c>
      <c r="D29" s="120">
        <f t="shared" ref="D29:AA29" si="8">D24+D25+D26-D27-D28</f>
        <v>334</v>
      </c>
      <c r="E29" s="120">
        <f t="shared" si="8"/>
        <v>353.88</v>
      </c>
      <c r="F29" s="120">
        <f t="shared" si="8"/>
        <v>373.30720000000002</v>
      </c>
      <c r="G29" s="120">
        <f t="shared" si="8"/>
        <v>393.02373599999999</v>
      </c>
      <c r="H29" s="120">
        <f t="shared" si="8"/>
        <v>413.65248663999995</v>
      </c>
      <c r="I29" s="120">
        <f t="shared" si="8"/>
        <v>435.72856052879996</v>
      </c>
      <c r="J29" s="120">
        <f t="shared" si="8"/>
        <v>459.72430492031197</v>
      </c>
      <c r="K29" s="120">
        <f t="shared" si="8"/>
        <v>486.06930869951026</v>
      </c>
      <c r="L29" s="120">
        <f t="shared" si="8"/>
        <v>515.16655306101472</v>
      </c>
      <c r="M29" s="120">
        <f t="shared" si="8"/>
        <v>547.40561444767457</v>
      </c>
      <c r="N29" s="120">
        <f t="shared" si="8"/>
        <v>583.17363074087905</v>
      </c>
      <c r="O29" s="120">
        <f t="shared" si="8"/>
        <v>622.86459125482884</v>
      </c>
      <c r="P29" s="120">
        <f t="shared" si="8"/>
        <v>666.88739434753256</v>
      </c>
      <c r="Q29" s="120">
        <f t="shared" si="8"/>
        <v>715.67302606711917</v>
      </c>
      <c r="R29" s="120">
        <f t="shared" si="8"/>
        <v>769.68114347238634</v>
      </c>
      <c r="S29" s="120">
        <f t="shared" si="8"/>
        <v>829.40629263788708</v>
      </c>
      <c r="T29" s="120">
        <f t="shared" si="8"/>
        <v>895.38395040193188</v>
      </c>
      <c r="U29" s="120">
        <f t="shared" si="8"/>
        <v>968.19654793858194</v>
      </c>
      <c r="V29" s="120">
        <f t="shared" si="8"/>
        <v>1048.4796111330581</v>
      </c>
      <c r="W29" s="120">
        <f t="shared" si="8"/>
        <v>1136.9281358863416</v>
      </c>
      <c r="X29" s="120">
        <f t="shared" si="8"/>
        <v>1234.3033046100131</v>
      </c>
      <c r="Y29" s="120">
        <f t="shared" si="8"/>
        <v>1341.4396423260089</v>
      </c>
      <c r="Z29" s="120">
        <f t="shared" si="8"/>
        <v>1459.2527062136016</v>
      </c>
      <c r="AA29" s="120">
        <f t="shared" si="8"/>
        <v>1588.7474005808956</v>
      </c>
      <c r="AC29" s="110" t="s">
        <v>724</v>
      </c>
    </row>
    <row r="30" spans="1:29" s="3" customFormat="1" ht="13.2">
      <c r="A30" s="115"/>
      <c r="B30" s="115"/>
      <c r="C30" s="115"/>
    </row>
    <row r="31" spans="1:29" s="106" customFormat="1" ht="15" customHeight="1">
      <c r="A31" s="105" t="s">
        <v>725</v>
      </c>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row>
    <row r="32" spans="1:29" s="3" customFormat="1" ht="26.4">
      <c r="A32" s="110" t="s">
        <v>726</v>
      </c>
      <c r="B32" s="111" t="s">
        <v>727</v>
      </c>
      <c r="C32" s="110" t="s">
        <v>79</v>
      </c>
      <c r="D32" s="116">
        <f>INDEX('1. Assumptions'!$G:$G,MATCH("Starting Growth Customers",'1. Assumptions'!$B:$B,0))</f>
        <v>180</v>
      </c>
      <c r="E32" s="116">
        <f t="shared" ref="E32:AA32" si="9">D37</f>
        <v>189.55</v>
      </c>
      <c r="F32" s="116">
        <f t="shared" si="9"/>
        <v>195.29737500000002</v>
      </c>
      <c r="G32" s="116">
        <f t="shared" si="9"/>
        <v>201.58389718750001</v>
      </c>
      <c r="H32" s="116">
        <f t="shared" si="9"/>
        <v>208.40665601484378</v>
      </c>
      <c r="I32" s="116">
        <f t="shared" si="9"/>
        <v>215.77913173443557</v>
      </c>
      <c r="J32" s="116">
        <f t="shared" si="9"/>
        <v>223.72846226733856</v>
      </c>
      <c r="K32" s="116">
        <f t="shared" si="9"/>
        <v>232.29342217295874</v>
      </c>
      <c r="L32" s="116">
        <f t="shared" si="9"/>
        <v>241.52296506752234</v>
      </c>
      <c r="M32" s="116">
        <f t="shared" si="9"/>
        <v>251.47521442148337</v>
      </c>
      <c r="N32" s="116">
        <f t="shared" si="9"/>
        <v>262.21681393579354</v>
      </c>
      <c r="O32" s="116">
        <f t="shared" si="9"/>
        <v>273.82256927067101</v>
      </c>
      <c r="P32" s="116">
        <f t="shared" si="9"/>
        <v>286.37532903974449</v>
      </c>
      <c r="Q32" s="116">
        <f t="shared" si="9"/>
        <v>299.96606567209142</v>
      </c>
      <c r="R32" s="116">
        <f t="shared" si="9"/>
        <v>314.69412675381193</v>
      </c>
      <c r="S32" s="116">
        <f t="shared" si="9"/>
        <v>330.66763539022952</v>
      </c>
      <c r="T32" s="116">
        <f t="shared" si="9"/>
        <v>348.00402444930728</v>
      </c>
      <c r="U32" s="116">
        <f t="shared" si="9"/>
        <v>366.83069462397071</v>
      </c>
      <c r="V32" s="116">
        <f t="shared" si="9"/>
        <v>387.28579037371014</v>
      </c>
      <c r="W32" s="116">
        <f t="shared" si="9"/>
        <v>409.51909120013488</v>
      </c>
      <c r="X32" s="116">
        <f t="shared" si="9"/>
        <v>433.69301855492762</v>
      </c>
      <c r="Y32" s="116">
        <f t="shared" si="9"/>
        <v>459.9837611123387</v>
      </c>
      <c r="Z32" s="116">
        <f t="shared" si="9"/>
        <v>488.58252327339051</v>
      </c>
      <c r="AA32" s="116">
        <f t="shared" si="9"/>
        <v>519.69690369429418</v>
      </c>
    </row>
    <row r="33" spans="1:29" s="3" customFormat="1" ht="13.2">
      <c r="A33" s="110" t="s">
        <v>726</v>
      </c>
      <c r="B33" s="110" t="s">
        <v>728</v>
      </c>
      <c r="C33" s="110" t="s">
        <v>79</v>
      </c>
      <c r="D33" s="116">
        <f t="shared" ref="D33:AA33" si="10">D18</f>
        <v>4</v>
      </c>
      <c r="E33" s="116">
        <f t="shared" si="10"/>
        <v>4.28</v>
      </c>
      <c r="F33" s="116">
        <f t="shared" si="10"/>
        <v>4.5796000000000001</v>
      </c>
      <c r="G33" s="116">
        <f t="shared" si="10"/>
        <v>4.9001720000000004</v>
      </c>
      <c r="H33" s="116">
        <f t="shared" si="10"/>
        <v>5.2431840400000009</v>
      </c>
      <c r="I33" s="116">
        <f t="shared" si="10"/>
        <v>5.6102069228000015</v>
      </c>
      <c r="J33" s="116">
        <f t="shared" si="10"/>
        <v>6.002921407396002</v>
      </c>
      <c r="K33" s="116">
        <f t="shared" si="10"/>
        <v>6.4231259059137225</v>
      </c>
      <c r="L33" s="116">
        <f t="shared" si="10"/>
        <v>6.8727447193276836</v>
      </c>
      <c r="M33" s="116">
        <f t="shared" si="10"/>
        <v>7.3538368496806221</v>
      </c>
      <c r="N33" s="116">
        <f t="shared" si="10"/>
        <v>7.8686054291582659</v>
      </c>
      <c r="O33" s="116">
        <f t="shared" si="10"/>
        <v>8.4194078091993454</v>
      </c>
      <c r="P33" s="116">
        <f t="shared" si="10"/>
        <v>9.0087663558432993</v>
      </c>
      <c r="Q33" s="116">
        <f t="shared" si="10"/>
        <v>9.6393800007523307</v>
      </c>
      <c r="R33" s="116">
        <f t="shared" si="10"/>
        <v>10.314136600804995</v>
      </c>
      <c r="S33" s="116">
        <f t="shared" si="10"/>
        <v>11.036126162861345</v>
      </c>
      <c r="T33" s="116">
        <f t="shared" si="10"/>
        <v>11.808654994261641</v>
      </c>
      <c r="U33" s="116">
        <f t="shared" si="10"/>
        <v>12.635260843859957</v>
      </c>
      <c r="V33" s="116">
        <f t="shared" si="10"/>
        <v>13.519729102930155</v>
      </c>
      <c r="W33" s="116">
        <f t="shared" si="10"/>
        <v>14.466110140135267</v>
      </c>
      <c r="X33" s="116">
        <f t="shared" si="10"/>
        <v>15.478737849944737</v>
      </c>
      <c r="Y33" s="116">
        <f t="shared" si="10"/>
        <v>16.56224949944087</v>
      </c>
      <c r="Z33" s="116">
        <f t="shared" si="10"/>
        <v>17.721606964401733</v>
      </c>
      <c r="AA33" s="116">
        <f t="shared" si="10"/>
        <v>18.962119451909857</v>
      </c>
    </row>
    <row r="34" spans="1:29" s="3" customFormat="1" ht="13.2">
      <c r="A34" s="110" t="s">
        <v>726</v>
      </c>
      <c r="B34" s="110" t="s">
        <v>729</v>
      </c>
      <c r="C34" s="110" t="s">
        <v>79</v>
      </c>
      <c r="D34" s="116">
        <f t="shared" ref="D34:AA34" si="11">D27</f>
        <v>6</v>
      </c>
      <c r="E34" s="116">
        <f t="shared" si="11"/>
        <v>6.68</v>
      </c>
      <c r="F34" s="116">
        <f t="shared" si="11"/>
        <v>7.0776000000000003</v>
      </c>
      <c r="G34" s="116">
        <f t="shared" si="11"/>
        <v>7.4661440000000008</v>
      </c>
      <c r="H34" s="116">
        <f t="shared" si="11"/>
        <v>7.86047472</v>
      </c>
      <c r="I34" s="116">
        <f t="shared" si="11"/>
        <v>8.2730497327999988</v>
      </c>
      <c r="J34" s="116">
        <f t="shared" si="11"/>
        <v>8.7145712105759987</v>
      </c>
      <c r="K34" s="116">
        <f t="shared" si="11"/>
        <v>9.1944860984062391</v>
      </c>
      <c r="L34" s="116">
        <f t="shared" si="11"/>
        <v>9.7213861739902061</v>
      </c>
      <c r="M34" s="116">
        <f t="shared" si="11"/>
        <v>10.303331061220295</v>
      </c>
      <c r="N34" s="116">
        <f t="shared" si="11"/>
        <v>10.948112288953492</v>
      </c>
      <c r="O34" s="116">
        <f t="shared" si="11"/>
        <v>11.66347261481758</v>
      </c>
      <c r="P34" s="116">
        <f t="shared" si="11"/>
        <v>12.457291825096577</v>
      </c>
      <c r="Q34" s="116">
        <f t="shared" si="11"/>
        <v>13.337747886950652</v>
      </c>
      <c r="R34" s="116">
        <f t="shared" si="11"/>
        <v>14.313460521342384</v>
      </c>
      <c r="S34" s="116">
        <f t="shared" si="11"/>
        <v>15.393622869447727</v>
      </c>
      <c r="T34" s="116">
        <f t="shared" si="11"/>
        <v>16.588125852757742</v>
      </c>
      <c r="U34" s="116">
        <f t="shared" si="11"/>
        <v>17.907679008038638</v>
      </c>
      <c r="V34" s="116">
        <f t="shared" si="11"/>
        <v>19.36393095877164</v>
      </c>
      <c r="W34" s="116">
        <f t="shared" si="11"/>
        <v>20.969592222661163</v>
      </c>
      <c r="X34" s="116">
        <f t="shared" si="11"/>
        <v>22.738562717726833</v>
      </c>
      <c r="Y34" s="116">
        <f t="shared" si="11"/>
        <v>24.686066092200264</v>
      </c>
      <c r="Z34" s="116">
        <f t="shared" si="11"/>
        <v>26.828792846520177</v>
      </c>
      <c r="AA34" s="116">
        <f t="shared" si="11"/>
        <v>29.185054124272032</v>
      </c>
    </row>
    <row r="35" spans="1:29" s="3" customFormat="1" ht="13.2">
      <c r="A35" s="110" t="s">
        <v>726</v>
      </c>
      <c r="B35" s="110" t="s">
        <v>730</v>
      </c>
      <c r="C35" s="110" t="s">
        <v>79</v>
      </c>
      <c r="D35" s="116">
        <f>D32*INDEX('1. Assumptions'!$G:$G,MATCH("Growth-to-Enterprise Monthly Upgrade Rate",'1. Assumptions'!$B:$B,0))</f>
        <v>0.45</v>
      </c>
      <c r="E35" s="116">
        <f>E32*INDEX('1. Assumptions'!$G:$G,MATCH("Growth-to-Enterprise Monthly Upgrade Rate",'1. Assumptions'!$B:$B,0))</f>
        <v>0.47387500000000005</v>
      </c>
      <c r="F35" s="116">
        <f>F32*INDEX('1. Assumptions'!$G:$G,MATCH("Growth-to-Enterprise Monthly Upgrade Rate",'1. Assumptions'!$B:$B,0))</f>
        <v>0.48824343750000004</v>
      </c>
      <c r="G35" s="116">
        <f>G32*INDEX('1. Assumptions'!$G:$G,MATCH("Growth-to-Enterprise Monthly Upgrade Rate",'1. Assumptions'!$B:$B,0))</f>
        <v>0.50395974296875001</v>
      </c>
      <c r="H35" s="116">
        <f>H32*INDEX('1. Assumptions'!$G:$G,MATCH("Growth-to-Enterprise Monthly Upgrade Rate",'1. Assumptions'!$B:$B,0))</f>
        <v>0.52101664003710946</v>
      </c>
      <c r="I35" s="116">
        <f>I32*INDEX('1. Assumptions'!$G:$G,MATCH("Growth-to-Enterprise Monthly Upgrade Rate",'1. Assumptions'!$B:$B,0))</f>
        <v>0.53944782933608892</v>
      </c>
      <c r="J35" s="116">
        <f>J32*INDEX('1. Assumptions'!$G:$G,MATCH("Growth-to-Enterprise Monthly Upgrade Rate",'1. Assumptions'!$B:$B,0))</f>
        <v>0.55932115566834639</v>
      </c>
      <c r="K35" s="116">
        <f>K32*INDEX('1. Assumptions'!$G:$G,MATCH("Growth-to-Enterprise Monthly Upgrade Rate",'1. Assumptions'!$B:$B,0))</f>
        <v>0.58073355543239691</v>
      </c>
      <c r="L35" s="116">
        <f>L32*INDEX('1. Assumptions'!$G:$G,MATCH("Growth-to-Enterprise Monthly Upgrade Rate",'1. Assumptions'!$B:$B,0))</f>
        <v>0.60380741266880589</v>
      </c>
      <c r="M35" s="116">
        <f>M32*INDEX('1. Assumptions'!$G:$G,MATCH("Growth-to-Enterprise Monthly Upgrade Rate",'1. Assumptions'!$B:$B,0))</f>
        <v>0.62868803605370849</v>
      </c>
      <c r="N35" s="116">
        <f>N32*INDEX('1. Assumptions'!$G:$G,MATCH("Growth-to-Enterprise Monthly Upgrade Rate",'1. Assumptions'!$B:$B,0))</f>
        <v>0.65554203483948381</v>
      </c>
      <c r="O35" s="116">
        <f>O32*INDEX('1. Assumptions'!$G:$G,MATCH("Growth-to-Enterprise Monthly Upgrade Rate",'1. Assumptions'!$B:$B,0))</f>
        <v>0.68455642317667753</v>
      </c>
      <c r="P35" s="116">
        <f>P32*INDEX('1. Assumptions'!$G:$G,MATCH("Growth-to-Enterprise Monthly Upgrade Rate",'1. Assumptions'!$B:$B,0))</f>
        <v>0.71593832259936119</v>
      </c>
      <c r="Q35" s="116">
        <f>Q32*INDEX('1. Assumptions'!$G:$G,MATCH("Growth-to-Enterprise Monthly Upgrade Rate",'1. Assumptions'!$B:$B,0))</f>
        <v>0.74991516418022852</v>
      </c>
      <c r="R35" s="116">
        <f>R32*INDEX('1. Assumptions'!$G:$G,MATCH("Growth-to-Enterprise Monthly Upgrade Rate",'1. Assumptions'!$B:$B,0))</f>
        <v>0.7867353168845298</v>
      </c>
      <c r="S35" s="116">
        <f>S32*INDEX('1. Assumptions'!$G:$G,MATCH("Growth-to-Enterprise Monthly Upgrade Rate",'1. Assumptions'!$B:$B,0))</f>
        <v>0.82666908847557385</v>
      </c>
      <c r="T35" s="116">
        <f>T32*INDEX('1. Assumptions'!$G:$G,MATCH("Growth-to-Enterprise Monthly Upgrade Rate",'1. Assumptions'!$B:$B,0))</f>
        <v>0.87001006112326817</v>
      </c>
      <c r="U35" s="116">
        <f>U32*INDEX('1. Assumptions'!$G:$G,MATCH("Growth-to-Enterprise Monthly Upgrade Rate",'1. Assumptions'!$B:$B,0))</f>
        <v>0.91707673655992683</v>
      </c>
      <c r="V35" s="116">
        <f>V32*INDEX('1. Assumptions'!$G:$G,MATCH("Growth-to-Enterprise Monthly Upgrade Rate",'1. Assumptions'!$B:$B,0))</f>
        <v>0.96821447593427534</v>
      </c>
      <c r="W35" s="116">
        <f>W32*INDEX('1. Assumptions'!$G:$G,MATCH("Growth-to-Enterprise Monthly Upgrade Rate",'1. Assumptions'!$B:$B,0))</f>
        <v>1.0237977280003372</v>
      </c>
      <c r="X35" s="116">
        <f>X32*INDEX('1. Assumptions'!$G:$G,MATCH("Growth-to-Enterprise Monthly Upgrade Rate",'1. Assumptions'!$B:$B,0))</f>
        <v>1.084232546387319</v>
      </c>
      <c r="Y35" s="116">
        <f>Y32*INDEX('1. Assumptions'!$G:$G,MATCH("Growth-to-Enterprise Monthly Upgrade Rate",'1. Assumptions'!$B:$B,0))</f>
        <v>1.1499594027808469</v>
      </c>
      <c r="Z35" s="116">
        <f>Z32*INDEX('1. Assumptions'!$G:$G,MATCH("Growth-to-Enterprise Monthly Upgrade Rate",'1. Assumptions'!$B:$B,0))</f>
        <v>1.2214563081834764</v>
      </c>
      <c r="AA35" s="116">
        <f>AA32*INDEX('1. Assumptions'!$G:$G,MATCH("Growth-to-Enterprise Monthly Upgrade Rate",'1. Assumptions'!$B:$B,0))</f>
        <v>1.2992422592357356</v>
      </c>
    </row>
    <row r="36" spans="1:29" s="3" customFormat="1" ht="13.2">
      <c r="A36" s="110" t="s">
        <v>726</v>
      </c>
      <c r="B36" s="110" t="s">
        <v>731</v>
      </c>
      <c r="C36" s="110" t="s">
        <v>79</v>
      </c>
      <c r="D36" s="116">
        <f>IF(D5&lt;INDEX('1. Assumptions'!$G:$G,MATCH("Churn Start Month",'1. Assumptions'!$B:$B,0)),0,D32*INDEX('1. Assumptions'!$G:$G,MATCH("Growth Monthly Churn",'1. Assumptions'!$B:$B,0)))</f>
        <v>0</v>
      </c>
      <c r="E36" s="116">
        <f>IF(E5&lt;INDEX('1. Assumptions'!$G:$G,MATCH("Churn Start Month",'1. Assumptions'!$B:$B,0)),0,E32*INDEX('1. Assumptions'!$G:$G,MATCH("Growth Monthly Churn",'1. Assumptions'!$B:$B,0)))</f>
        <v>4.7387500000000005</v>
      </c>
      <c r="F36" s="116">
        <f>IF(F5&lt;INDEX('1. Assumptions'!$G:$G,MATCH("Churn Start Month",'1. Assumptions'!$B:$B,0)),0,F32*INDEX('1. Assumptions'!$G:$G,MATCH("Growth Monthly Churn",'1. Assumptions'!$B:$B,0)))</f>
        <v>4.8824343750000008</v>
      </c>
      <c r="G36" s="116">
        <f>IF(G5&lt;INDEX('1. Assumptions'!$G:$G,MATCH("Churn Start Month",'1. Assumptions'!$B:$B,0)),0,G32*INDEX('1. Assumptions'!$G:$G,MATCH("Growth Monthly Churn",'1. Assumptions'!$B:$B,0)))</f>
        <v>5.0395974296875004</v>
      </c>
      <c r="H36" s="116">
        <f>IF(H5&lt;INDEX('1. Assumptions'!$G:$G,MATCH("Churn Start Month",'1. Assumptions'!$B:$B,0)),0,H32*INDEX('1. Assumptions'!$G:$G,MATCH("Growth Monthly Churn",'1. Assumptions'!$B:$B,0)))</f>
        <v>5.2101664003710946</v>
      </c>
      <c r="I36" s="116">
        <f>IF(I5&lt;INDEX('1. Assumptions'!$G:$G,MATCH("Churn Start Month",'1. Assumptions'!$B:$B,0)),0,I32*INDEX('1. Assumptions'!$G:$G,MATCH("Growth Monthly Churn",'1. Assumptions'!$B:$B,0)))</f>
        <v>5.3944782933608897</v>
      </c>
      <c r="J36" s="116">
        <f>IF(J5&lt;INDEX('1. Assumptions'!$G:$G,MATCH("Churn Start Month",'1. Assumptions'!$B:$B,0)),0,J32*INDEX('1. Assumptions'!$G:$G,MATCH("Growth Monthly Churn",'1. Assumptions'!$B:$B,0)))</f>
        <v>5.5932115566834639</v>
      </c>
      <c r="K36" s="116">
        <f>IF(K5&lt;INDEX('1. Assumptions'!$G:$G,MATCH("Churn Start Month",'1. Assumptions'!$B:$B,0)),0,K32*INDEX('1. Assumptions'!$G:$G,MATCH("Growth Monthly Churn",'1. Assumptions'!$B:$B,0)))</f>
        <v>5.8073355543239691</v>
      </c>
      <c r="L36" s="116">
        <f>IF(L5&lt;INDEX('1. Assumptions'!$G:$G,MATCH("Churn Start Month",'1. Assumptions'!$B:$B,0)),0,L32*INDEX('1. Assumptions'!$G:$G,MATCH("Growth Monthly Churn",'1. Assumptions'!$B:$B,0)))</f>
        <v>6.0380741266880591</v>
      </c>
      <c r="M36" s="116">
        <f>IF(M5&lt;INDEX('1. Assumptions'!$G:$G,MATCH("Churn Start Month",'1. Assumptions'!$B:$B,0)),0,M32*INDEX('1. Assumptions'!$G:$G,MATCH("Growth Monthly Churn",'1. Assumptions'!$B:$B,0)))</f>
        <v>6.2868803605370847</v>
      </c>
      <c r="N36" s="116">
        <f>IF(N5&lt;INDEX('1. Assumptions'!$G:$G,MATCH("Churn Start Month",'1. Assumptions'!$B:$B,0)),0,N32*INDEX('1. Assumptions'!$G:$G,MATCH("Growth Monthly Churn",'1. Assumptions'!$B:$B,0)))</f>
        <v>6.555420348394839</v>
      </c>
      <c r="O36" s="116">
        <f>IF(O5&lt;INDEX('1. Assumptions'!$G:$G,MATCH("Churn Start Month",'1. Assumptions'!$B:$B,0)),0,O32*INDEX('1. Assumptions'!$G:$G,MATCH("Growth Monthly Churn",'1. Assumptions'!$B:$B,0)))</f>
        <v>6.845564231766776</v>
      </c>
      <c r="P36" s="116">
        <f>IF(P5&lt;INDEX('1. Assumptions'!$G:$G,MATCH("Churn Start Month",'1. Assumptions'!$B:$B,0)),0,P32*INDEX('1. Assumptions'!$G:$G,MATCH("Growth Monthly Churn",'1. Assumptions'!$B:$B,0)))</f>
        <v>7.1593832259936123</v>
      </c>
      <c r="Q36" s="116">
        <f>IF(Q5&lt;INDEX('1. Assumptions'!$G:$G,MATCH("Churn Start Month",'1. Assumptions'!$B:$B,0)),0,Q32*INDEX('1. Assumptions'!$G:$G,MATCH("Growth Monthly Churn",'1. Assumptions'!$B:$B,0)))</f>
        <v>7.4991516418022854</v>
      </c>
      <c r="R36" s="116">
        <f>IF(R5&lt;INDEX('1. Assumptions'!$G:$G,MATCH("Churn Start Month",'1. Assumptions'!$B:$B,0)),0,R32*INDEX('1. Assumptions'!$G:$G,MATCH("Growth Monthly Churn",'1. Assumptions'!$B:$B,0)))</f>
        <v>7.8673531688452982</v>
      </c>
      <c r="S36" s="116">
        <f>IF(S5&lt;INDEX('1. Assumptions'!$G:$G,MATCH("Churn Start Month",'1. Assumptions'!$B:$B,0)),0,S32*INDEX('1. Assumptions'!$G:$G,MATCH("Growth Monthly Churn",'1. Assumptions'!$B:$B,0)))</f>
        <v>8.2666908847557377</v>
      </c>
      <c r="T36" s="116">
        <f>IF(T5&lt;INDEX('1. Assumptions'!$G:$G,MATCH("Churn Start Month",'1. Assumptions'!$B:$B,0)),0,T32*INDEX('1. Assumptions'!$G:$G,MATCH("Growth Monthly Churn",'1. Assumptions'!$B:$B,0)))</f>
        <v>8.7001006112326831</v>
      </c>
      <c r="U36" s="116">
        <f>IF(U5&lt;INDEX('1. Assumptions'!$G:$G,MATCH("Churn Start Month",'1. Assumptions'!$B:$B,0)),0,U32*INDEX('1. Assumptions'!$G:$G,MATCH("Growth Monthly Churn",'1. Assumptions'!$B:$B,0)))</f>
        <v>9.1707673655992679</v>
      </c>
      <c r="V36" s="116">
        <f>IF(V5&lt;INDEX('1. Assumptions'!$G:$G,MATCH("Churn Start Month",'1. Assumptions'!$B:$B,0)),0,V32*INDEX('1. Assumptions'!$G:$G,MATCH("Growth Monthly Churn",'1. Assumptions'!$B:$B,0)))</f>
        <v>9.682144759342755</v>
      </c>
      <c r="W36" s="116">
        <f>IF(W5&lt;INDEX('1. Assumptions'!$G:$G,MATCH("Churn Start Month",'1. Assumptions'!$B:$B,0)),0,W32*INDEX('1. Assumptions'!$G:$G,MATCH("Growth Monthly Churn",'1. Assumptions'!$B:$B,0)))</f>
        <v>10.237977280003372</v>
      </c>
      <c r="X36" s="116">
        <f>IF(X5&lt;INDEX('1. Assumptions'!$G:$G,MATCH("Churn Start Month",'1. Assumptions'!$B:$B,0)),0,X32*INDEX('1. Assumptions'!$G:$G,MATCH("Growth Monthly Churn",'1. Assumptions'!$B:$B,0)))</f>
        <v>10.842325463873191</v>
      </c>
      <c r="Y36" s="116">
        <f>IF(Y5&lt;INDEX('1. Assumptions'!$G:$G,MATCH("Churn Start Month",'1. Assumptions'!$B:$B,0)),0,Y32*INDEX('1. Assumptions'!$G:$G,MATCH("Growth Monthly Churn",'1. Assumptions'!$B:$B,0)))</f>
        <v>11.499594027808469</v>
      </c>
      <c r="Z36" s="116">
        <f>IF(Z5&lt;INDEX('1. Assumptions'!$G:$G,MATCH("Churn Start Month",'1. Assumptions'!$B:$B,0)),0,Z32*INDEX('1. Assumptions'!$G:$G,MATCH("Growth Monthly Churn",'1. Assumptions'!$B:$B,0)))</f>
        <v>12.214563081834763</v>
      </c>
      <c r="AA36" s="116">
        <f>IF(AA5&lt;INDEX('1. Assumptions'!$G:$G,MATCH("Churn Start Month",'1. Assumptions'!$B:$B,0)),0,AA32*INDEX('1. Assumptions'!$G:$G,MATCH("Growth Monthly Churn",'1. Assumptions'!$B:$B,0)))</f>
        <v>12.992422592357356</v>
      </c>
    </row>
    <row r="37" spans="1:29" s="3" customFormat="1" ht="26.4">
      <c r="A37" s="107" t="s">
        <v>726</v>
      </c>
      <c r="B37" s="107" t="s">
        <v>732</v>
      </c>
      <c r="C37" s="107" t="s">
        <v>79</v>
      </c>
      <c r="D37" s="117">
        <f t="shared" ref="D37:AA37" si="12">D32+D33+D34-D35-D36</f>
        <v>189.55</v>
      </c>
      <c r="E37" s="117">
        <f t="shared" si="12"/>
        <v>195.29737500000002</v>
      </c>
      <c r="F37" s="117">
        <f t="shared" si="12"/>
        <v>201.58389718750001</v>
      </c>
      <c r="G37" s="117">
        <f t="shared" si="12"/>
        <v>208.40665601484378</v>
      </c>
      <c r="H37" s="117">
        <f t="shared" si="12"/>
        <v>215.77913173443557</v>
      </c>
      <c r="I37" s="117">
        <f t="shared" si="12"/>
        <v>223.72846226733856</v>
      </c>
      <c r="J37" s="117">
        <f t="shared" si="12"/>
        <v>232.29342217295874</v>
      </c>
      <c r="K37" s="117">
        <f t="shared" si="12"/>
        <v>241.52296506752234</v>
      </c>
      <c r="L37" s="117">
        <f t="shared" si="12"/>
        <v>251.47521442148337</v>
      </c>
      <c r="M37" s="117">
        <f t="shared" si="12"/>
        <v>262.21681393579354</v>
      </c>
      <c r="N37" s="117">
        <f t="shared" si="12"/>
        <v>273.82256927067101</v>
      </c>
      <c r="O37" s="117">
        <f t="shared" si="12"/>
        <v>286.37532903974449</v>
      </c>
      <c r="P37" s="117">
        <f t="shared" si="12"/>
        <v>299.96606567209142</v>
      </c>
      <c r="Q37" s="117">
        <f t="shared" si="12"/>
        <v>314.69412675381193</v>
      </c>
      <c r="R37" s="117">
        <f t="shared" si="12"/>
        <v>330.66763539022952</v>
      </c>
      <c r="S37" s="117">
        <f t="shared" si="12"/>
        <v>348.00402444930728</v>
      </c>
      <c r="T37" s="117">
        <f t="shared" si="12"/>
        <v>366.83069462397071</v>
      </c>
      <c r="U37" s="117">
        <f t="shared" si="12"/>
        <v>387.28579037371014</v>
      </c>
      <c r="V37" s="117">
        <f t="shared" si="12"/>
        <v>409.51909120013488</v>
      </c>
      <c r="W37" s="117">
        <f t="shared" si="12"/>
        <v>433.69301855492762</v>
      </c>
      <c r="X37" s="117">
        <f t="shared" si="12"/>
        <v>459.9837611123387</v>
      </c>
      <c r="Y37" s="117">
        <f t="shared" si="12"/>
        <v>488.58252327339051</v>
      </c>
      <c r="Z37" s="117">
        <f t="shared" si="12"/>
        <v>519.69690369429418</v>
      </c>
      <c r="AA37" s="117">
        <f t="shared" si="12"/>
        <v>553.55241241888302</v>
      </c>
      <c r="AC37" s="110" t="s">
        <v>733</v>
      </c>
    </row>
    <row r="38" spans="1:29" s="3" customFormat="1" ht="13.2">
      <c r="A38" s="115"/>
      <c r="B38" s="115"/>
      <c r="C38" s="115"/>
    </row>
    <row r="39" spans="1:29" s="106" customFormat="1" ht="15" customHeight="1">
      <c r="A39" s="105" t="s">
        <v>734</v>
      </c>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row>
    <row r="40" spans="1:29" s="3" customFormat="1" ht="26.4">
      <c r="A40" s="110" t="s">
        <v>735</v>
      </c>
      <c r="B40" s="111" t="s">
        <v>736</v>
      </c>
      <c r="C40" s="110" t="s">
        <v>79</v>
      </c>
      <c r="D40" s="119">
        <f>INDEX('1. Assumptions'!$G:$G,MATCH("Starting Enterprise Customers",'1. Assumptions'!$B:$B,0))</f>
        <v>0</v>
      </c>
      <c r="E40" s="119">
        <f t="shared" ref="E40:AA40" si="13">D44</f>
        <v>0.45</v>
      </c>
      <c r="F40" s="119">
        <f t="shared" si="13"/>
        <v>0.91782162384465904</v>
      </c>
      <c r="G40" s="119">
        <f t="shared" si="13"/>
        <v>1.3937185734943531</v>
      </c>
      <c r="H40" s="119">
        <f t="shared" si="13"/>
        <v>1.8789300880629998</v>
      </c>
      <c r="I40" s="119">
        <f t="shared" si="13"/>
        <v>2.3746714601164793</v>
      </c>
      <c r="J40" s="119">
        <f t="shared" si="13"/>
        <v>3.8821753348004839</v>
      </c>
      <c r="K40" s="119">
        <f t="shared" si="13"/>
        <v>5.4592736735743097</v>
      </c>
      <c r="L40" s="119">
        <f t="shared" si="13"/>
        <v>7.1114693688264934</v>
      </c>
      <c r="M40" s="119">
        <f t="shared" si="13"/>
        <v>8.8446566723693163</v>
      </c>
      <c r="N40" s="119">
        <f t="shared" si="13"/>
        <v>10.66516286552814</v>
      </c>
      <c r="O40" s="119">
        <f t="shared" si="13"/>
        <v>12.579789425327588</v>
      </c>
      <c r="P40" s="119">
        <f t="shared" si="13"/>
        <v>14.595853539583292</v>
      </c>
      <c r="Q40" s="119">
        <f t="shared" si="13"/>
        <v>16.721230690253609</v>
      </c>
      <c r="R40" s="119">
        <f t="shared" si="13"/>
        <v>18.964398925047231</v>
      </c>
      <c r="S40" s="119">
        <f t="shared" si="13"/>
        <v>21.334485364900239</v>
      </c>
      <c r="T40" s="119">
        <f t="shared" si="13"/>
        <v>23.841315444011247</v>
      </c>
      <c r="U40" s="119">
        <f t="shared" si="13"/>
        <v>26.495465345388258</v>
      </c>
      <c r="V40" s="119">
        <f t="shared" si="13"/>
        <v>29.308318075028037</v>
      </c>
      <c r="W40" s="119">
        <f t="shared" si="13"/>
        <v>32.292123609398118</v>
      </c>
      <c r="X40" s="119">
        <f t="shared" si="13"/>
        <v>35.460063551905364</v>
      </c>
      <c r="Y40" s="119">
        <f t="shared" si="13"/>
        <v>38.826320743070283</v>
      </c>
      <c r="Z40" s="119">
        <f t="shared" si="13"/>
        <v>42.40615428511493</v>
      </c>
      <c r="AA40" s="119">
        <f t="shared" si="13"/>
        <v>46.215980463842889</v>
      </c>
    </row>
    <row r="41" spans="1:29" s="3" customFormat="1" ht="13.2">
      <c r="A41" s="110" t="s">
        <v>735</v>
      </c>
      <c r="B41" s="110" t="s">
        <v>712</v>
      </c>
      <c r="C41" s="110" t="s">
        <v>79</v>
      </c>
      <c r="D41" s="119">
        <f t="shared" ref="D41:AA41" si="14">D19</f>
        <v>0</v>
      </c>
      <c r="E41" s="119">
        <f t="shared" si="14"/>
        <v>0</v>
      </c>
      <c r="F41" s="119">
        <f t="shared" si="14"/>
        <v>0</v>
      </c>
      <c r="G41" s="119">
        <f t="shared" si="14"/>
        <v>0</v>
      </c>
      <c r="H41" s="119">
        <f t="shared" si="14"/>
        <v>0</v>
      </c>
      <c r="I41" s="119">
        <f t="shared" si="14"/>
        <v>1</v>
      </c>
      <c r="J41" s="119">
        <f t="shared" si="14"/>
        <v>1.07</v>
      </c>
      <c r="K41" s="119">
        <f t="shared" si="14"/>
        <v>1.1449</v>
      </c>
      <c r="L41" s="119">
        <f t="shared" si="14"/>
        <v>1.2250430000000001</v>
      </c>
      <c r="M41" s="119">
        <f t="shared" si="14"/>
        <v>1.31079601</v>
      </c>
      <c r="N41" s="119">
        <f t="shared" si="14"/>
        <v>1.4025517307000002</v>
      </c>
      <c r="O41" s="119">
        <f t="shared" si="14"/>
        <v>1.5007303518490001</v>
      </c>
      <c r="P41" s="119">
        <f t="shared" si="14"/>
        <v>1.6057814764784302</v>
      </c>
      <c r="Q41" s="119">
        <f t="shared" si="14"/>
        <v>1.7181861798319202</v>
      </c>
      <c r="R41" s="119">
        <f t="shared" si="14"/>
        <v>1.8384592124201549</v>
      </c>
      <c r="S41" s="119">
        <f t="shared" si="14"/>
        <v>1.9671513572895656</v>
      </c>
      <c r="T41" s="119">
        <f t="shared" si="14"/>
        <v>2.1048519522998355</v>
      </c>
      <c r="U41" s="119">
        <f t="shared" si="14"/>
        <v>2.2521915889608235</v>
      </c>
      <c r="V41" s="119">
        <f t="shared" si="14"/>
        <v>2.4098450001880813</v>
      </c>
      <c r="W41" s="119">
        <f t="shared" si="14"/>
        <v>2.5785341502012469</v>
      </c>
      <c r="X41" s="119">
        <f t="shared" si="14"/>
        <v>2.7590315407153345</v>
      </c>
      <c r="Y41" s="119">
        <f t="shared" si="14"/>
        <v>2.9521637485654075</v>
      </c>
      <c r="Z41" s="119">
        <f t="shared" si="14"/>
        <v>3.1588152109649861</v>
      </c>
      <c r="AA41" s="119">
        <f t="shared" si="14"/>
        <v>3.3799322757325352</v>
      </c>
    </row>
    <row r="42" spans="1:29" s="3" customFormat="1" ht="13.2">
      <c r="A42" s="110" t="s">
        <v>735</v>
      </c>
      <c r="B42" s="110" t="s">
        <v>737</v>
      </c>
      <c r="C42" s="110" t="s">
        <v>79</v>
      </c>
      <c r="D42" s="119">
        <f t="shared" ref="D42:AA42" si="15">D35</f>
        <v>0.45</v>
      </c>
      <c r="E42" s="119">
        <f t="shared" si="15"/>
        <v>0.47387500000000005</v>
      </c>
      <c r="F42" s="119">
        <f t="shared" si="15"/>
        <v>0.48824343750000004</v>
      </c>
      <c r="G42" s="119">
        <f t="shared" si="15"/>
        <v>0.50395974296875001</v>
      </c>
      <c r="H42" s="119">
        <f t="shared" si="15"/>
        <v>0.52101664003710946</v>
      </c>
      <c r="I42" s="119">
        <f t="shared" si="15"/>
        <v>0.53944782933608892</v>
      </c>
      <c r="J42" s="119">
        <f t="shared" si="15"/>
        <v>0.55932115566834639</v>
      </c>
      <c r="K42" s="119">
        <f t="shared" si="15"/>
        <v>0.58073355543239691</v>
      </c>
      <c r="L42" s="119">
        <f t="shared" si="15"/>
        <v>0.60380741266880589</v>
      </c>
      <c r="M42" s="119">
        <f t="shared" si="15"/>
        <v>0.62868803605370849</v>
      </c>
      <c r="N42" s="119">
        <f t="shared" si="15"/>
        <v>0.65554203483948381</v>
      </c>
      <c r="O42" s="119">
        <f t="shared" si="15"/>
        <v>0.68455642317667753</v>
      </c>
      <c r="P42" s="119">
        <f t="shared" si="15"/>
        <v>0.71593832259936119</v>
      </c>
      <c r="Q42" s="119">
        <f t="shared" si="15"/>
        <v>0.74991516418022852</v>
      </c>
      <c r="R42" s="119">
        <f t="shared" si="15"/>
        <v>0.7867353168845298</v>
      </c>
      <c r="S42" s="119">
        <f t="shared" si="15"/>
        <v>0.82666908847557385</v>
      </c>
      <c r="T42" s="119">
        <f t="shared" si="15"/>
        <v>0.87001006112326817</v>
      </c>
      <c r="U42" s="119">
        <f t="shared" si="15"/>
        <v>0.91707673655992683</v>
      </c>
      <c r="V42" s="119">
        <f t="shared" si="15"/>
        <v>0.96821447593427534</v>
      </c>
      <c r="W42" s="119">
        <f t="shared" si="15"/>
        <v>1.0237977280003372</v>
      </c>
      <c r="X42" s="119">
        <f t="shared" si="15"/>
        <v>1.084232546387319</v>
      </c>
      <c r="Y42" s="119">
        <f t="shared" si="15"/>
        <v>1.1499594027808469</v>
      </c>
      <c r="Z42" s="119">
        <f t="shared" si="15"/>
        <v>1.2214563081834764</v>
      </c>
      <c r="AA42" s="119">
        <f t="shared" si="15"/>
        <v>1.2992422592357356</v>
      </c>
    </row>
    <row r="43" spans="1:29" s="3" customFormat="1" ht="13.2">
      <c r="A43" s="110" t="s">
        <v>735</v>
      </c>
      <c r="B43" s="110" t="s">
        <v>738</v>
      </c>
      <c r="C43" s="110" t="s">
        <v>79</v>
      </c>
      <c r="D43" s="119">
        <f>IF(D5&lt;INDEX('1. Assumptions'!$G:$G,MATCH("Churn Start Month",'1. Assumptions'!$B:$B,0)),0,D40*INDEX('1. Assumptions'!$G:$G,MATCH("Enterprise Monthly Churn (converted)",'1. Assumptions'!$B:$B,0)))</f>
        <v>0</v>
      </c>
      <c r="E43" s="119">
        <f>IF(E5&lt;INDEX('1. Assumptions'!$G:$G,MATCH("Churn Start Month",'1. Assumptions'!$B:$B,0)),0,E40*INDEX('1. Assumptions'!$G:$G,MATCH("Enterprise Monthly Churn (converted)",'1. Assumptions'!$B:$B,0)))</f>
        <v>6.0533761553410118E-3</v>
      </c>
      <c r="F43" s="119">
        <f>IF(F5&lt;INDEX('1. Assumptions'!$G:$G,MATCH("Churn Start Month",'1. Assumptions'!$B:$B,0)),0,F40*INDEX('1. Assumptions'!$G:$G,MATCH("Enterprise Monthly Churn (converted)",'1. Assumptions'!$B:$B,0)))</f>
        <v>1.2346487850305836E-2</v>
      </c>
      <c r="G43" s="119">
        <f>IF(G5&lt;INDEX('1. Assumptions'!$G:$G,MATCH("Churn Start Month",'1. Assumptions'!$B:$B,0)),0,G40*INDEX('1. Assumptions'!$G:$G,MATCH("Enterprise Monthly Churn (converted)",'1. Assumptions'!$B:$B,0)))</f>
        <v>1.8748228400103571E-2</v>
      </c>
      <c r="H43" s="119">
        <f>IF(H5&lt;INDEX('1. Assumptions'!$G:$G,MATCH("Churn Start Month",'1. Assumptions'!$B:$B,0)),0,H40*INDEX('1. Assumptions'!$G:$G,MATCH("Enterprise Monthly Churn (converted)",'1. Assumptions'!$B:$B,0)))</f>
        <v>2.5275267983629664E-2</v>
      </c>
      <c r="I43" s="119">
        <f>IF(I5&lt;INDEX('1. Assumptions'!$G:$G,MATCH("Churn Start Month",'1. Assumptions'!$B:$B,0)),0,I40*INDEX('1. Assumptions'!$G:$G,MATCH("Enterprise Monthly Churn (converted)",'1. Assumptions'!$B:$B,0)))</f>
        <v>3.1943954652084265E-2</v>
      </c>
      <c r="J43" s="119">
        <f>IF(J5&lt;INDEX('1. Assumptions'!$G:$G,MATCH("Churn Start Month",'1. Assumptions'!$B:$B,0)),0,J40*INDEX('1. Assumptions'!$G:$G,MATCH("Enterprise Monthly Churn (converted)",'1. Assumptions'!$B:$B,0)))</f>
        <v>5.2222816894520574E-2</v>
      </c>
      <c r="K43" s="119">
        <f>IF(K5&lt;INDEX('1. Assumptions'!$G:$G,MATCH("Churn Start Month",'1. Assumptions'!$B:$B,0)),0,K40*INDEX('1. Assumptions'!$G:$G,MATCH("Enterprise Monthly Churn (converted)",'1. Assumptions'!$B:$B,0)))</f>
        <v>7.3437860180212561E-2</v>
      </c>
      <c r="L43" s="119">
        <f>IF(L5&lt;INDEX('1. Assumptions'!$G:$G,MATCH("Churn Start Month",'1. Assumptions'!$B:$B,0)),0,L40*INDEX('1. Assumptions'!$G:$G,MATCH("Enterprise Monthly Churn (converted)",'1. Assumptions'!$B:$B,0)))</f>
        <v>9.5663109125982859E-2</v>
      </c>
      <c r="M43" s="119">
        <f>IF(M5&lt;INDEX('1. Assumptions'!$G:$G,MATCH("Churn Start Month",'1. Assumptions'!$B:$B,0)),0,M40*INDEX('1. Assumptions'!$G:$G,MATCH("Enterprise Monthly Churn (converted)",'1. Assumptions'!$B:$B,0)))</f>
        <v>0.11897785289488488</v>
      </c>
      <c r="N43" s="119">
        <f>IF(N5&lt;INDEX('1. Assumptions'!$G:$G,MATCH("Churn Start Month",'1. Assumptions'!$B:$B,0)),0,N40*INDEX('1. Assumptions'!$G:$G,MATCH("Enterprise Monthly Churn (converted)",'1. Assumptions'!$B:$B,0)))</f>
        <v>0.14346720574003657</v>
      </c>
      <c r="O43" s="119">
        <f>IF(O5&lt;INDEX('1. Assumptions'!$G:$G,MATCH("Churn Start Month",'1. Assumptions'!$B:$B,0)),0,O40*INDEX('1. Assumptions'!$G:$G,MATCH("Enterprise Monthly Churn (converted)",'1. Assumptions'!$B:$B,0)))</f>
        <v>0.16922266076997561</v>
      </c>
      <c r="P43" s="119">
        <f>IF(P5&lt;INDEX('1. Assumptions'!$G:$G,MATCH("Churn Start Month",'1. Assumptions'!$B:$B,0)),0,P40*INDEX('1. Assumptions'!$G:$G,MATCH("Enterprise Monthly Churn (converted)",'1. Assumptions'!$B:$B,0)))</f>
        <v>0.19634264840747379</v>
      </c>
      <c r="Q43" s="119">
        <f>IF(Q5&lt;INDEX('1. Assumptions'!$G:$G,MATCH("Churn Start Month",'1. Assumptions'!$B:$B,0)),0,Q40*INDEX('1. Assumptions'!$G:$G,MATCH("Enterprise Monthly Churn (converted)",'1. Assumptions'!$B:$B,0)))</f>
        <v>0.22493310921852783</v>
      </c>
      <c r="R43" s="119">
        <f>IF(R5&lt;INDEX('1. Assumptions'!$G:$G,MATCH("Churn Start Month",'1. Assumptions'!$B:$B,0)),0,R40*INDEX('1. Assumptions'!$G:$G,MATCH("Enterprise Monthly Churn (converted)",'1. Assumptions'!$B:$B,0)))</f>
        <v>0.25510808945167918</v>
      </c>
      <c r="S43" s="119">
        <f>IF(S5&lt;INDEX('1. Assumptions'!$G:$G,MATCH("Churn Start Month",'1. Assumptions'!$B:$B,0)),0,S40*INDEX('1. Assumptions'!$G:$G,MATCH("Enterprise Monthly Churn (converted)",'1. Assumptions'!$B:$B,0)))</f>
        <v>0.28699036665413086</v>
      </c>
      <c r="T43" s="119">
        <f>IF(T5&lt;INDEX('1. Assumptions'!$G:$G,MATCH("Churn Start Month",'1. Assumptions'!$B:$B,0)),0,T40*INDEX('1. Assumptions'!$G:$G,MATCH("Enterprise Monthly Churn (converted)",'1. Assumptions'!$B:$B,0)))</f>
        <v>0.32071211204609129</v>
      </c>
      <c r="U43" s="119">
        <f>IF(U5&lt;INDEX('1. Assumptions'!$G:$G,MATCH("Churn Start Month",'1. Assumptions'!$B:$B,0)),0,U40*INDEX('1. Assumptions'!$G:$G,MATCH("Enterprise Monthly Churn (converted)",'1. Assumptions'!$B:$B,0)))</f>
        <v>0.35641559588097194</v>
      </c>
      <c r="V43" s="119">
        <f>IF(V5&lt;INDEX('1. Assumptions'!$G:$G,MATCH("Churn Start Month",'1. Assumptions'!$B:$B,0)),0,V40*INDEX('1. Assumptions'!$G:$G,MATCH("Enterprise Monthly Churn (converted)",'1. Assumptions'!$B:$B,0)))</f>
        <v>0.39425394175227707</v>
      </c>
      <c r="W43" s="119">
        <f>IF(W5&lt;INDEX('1. Assumptions'!$G:$G,MATCH("Churn Start Month",'1. Assumptions'!$B:$B,0)),0,W40*INDEX('1. Assumptions'!$G:$G,MATCH("Enterprise Monthly Churn (converted)",'1. Assumptions'!$B:$B,0)))</f>
        <v>0.43439193569434464</v>
      </c>
      <c r="X43" s="119">
        <f>IF(X5&lt;INDEX('1. Assumptions'!$G:$G,MATCH("Churn Start Month",'1. Assumptions'!$B:$B,0)),0,X40*INDEX('1. Assumptions'!$G:$G,MATCH("Enterprise Monthly Churn (converted)",'1. Assumptions'!$B:$B,0)))</f>
        <v>0.47700689593773515</v>
      </c>
      <c r="Y43" s="119">
        <f>IF(Y5&lt;INDEX('1. Assumptions'!$G:$G,MATCH("Churn Start Month",'1. Assumptions'!$B:$B,0)),0,Y40*INDEX('1. Assumptions'!$G:$G,MATCH("Enterprise Monthly Churn (converted)",'1. Assumptions'!$B:$B,0)))</f>
        <v>0.52228960930160839</v>
      </c>
      <c r="Z43" s="119">
        <f>IF(Z5&lt;INDEX('1. Assumptions'!$G:$G,MATCH("Churn Start Month",'1. Assumptions'!$B:$B,0)),0,Z40*INDEX('1. Assumptions'!$G:$G,MATCH("Enterprise Monthly Churn (converted)",'1. Assumptions'!$B:$B,0)))</f>
        <v>0.57044534042050399</v>
      </c>
      <c r="AA43" s="119">
        <f>IF(AA5&lt;INDEX('1. Assumptions'!$G:$G,MATCH("Churn Start Month",'1. Assumptions'!$B:$B,0)),0,AA40*INDEX('1. Assumptions'!$G:$G,MATCH("Enterprise Monthly Churn (converted)",'1. Assumptions'!$B:$B,0)))</f>
        <v>0.62169492030118345</v>
      </c>
    </row>
    <row r="44" spans="1:29" s="3" customFormat="1" ht="13.2">
      <c r="A44" s="107" t="s">
        <v>735</v>
      </c>
      <c r="B44" s="107" t="s">
        <v>739</v>
      </c>
      <c r="C44" s="107" t="s">
        <v>79</v>
      </c>
      <c r="D44" s="117">
        <f t="shared" ref="D44:AA44" si="16">D40+D41+D42-D43</f>
        <v>0.45</v>
      </c>
      <c r="E44" s="117">
        <f t="shared" si="16"/>
        <v>0.91782162384465904</v>
      </c>
      <c r="F44" s="117">
        <f t="shared" si="16"/>
        <v>1.3937185734943531</v>
      </c>
      <c r="G44" s="117">
        <f t="shared" si="16"/>
        <v>1.8789300880629998</v>
      </c>
      <c r="H44" s="117">
        <f t="shared" si="16"/>
        <v>2.3746714601164793</v>
      </c>
      <c r="I44" s="117">
        <f t="shared" si="16"/>
        <v>3.8821753348004839</v>
      </c>
      <c r="J44" s="117">
        <f t="shared" si="16"/>
        <v>5.4592736735743097</v>
      </c>
      <c r="K44" s="117">
        <f t="shared" si="16"/>
        <v>7.1114693688264934</v>
      </c>
      <c r="L44" s="117">
        <f t="shared" si="16"/>
        <v>8.8446566723693163</v>
      </c>
      <c r="M44" s="117">
        <f t="shared" si="16"/>
        <v>10.66516286552814</v>
      </c>
      <c r="N44" s="117">
        <f t="shared" si="16"/>
        <v>12.579789425327588</v>
      </c>
      <c r="O44" s="117">
        <f t="shared" si="16"/>
        <v>14.595853539583292</v>
      </c>
      <c r="P44" s="117">
        <f t="shared" si="16"/>
        <v>16.721230690253609</v>
      </c>
      <c r="Q44" s="117">
        <f t="shared" si="16"/>
        <v>18.964398925047231</v>
      </c>
      <c r="R44" s="117">
        <f t="shared" si="16"/>
        <v>21.334485364900239</v>
      </c>
      <c r="S44" s="117">
        <f t="shared" si="16"/>
        <v>23.841315444011247</v>
      </c>
      <c r="T44" s="117">
        <f t="shared" si="16"/>
        <v>26.495465345388258</v>
      </c>
      <c r="U44" s="117">
        <f t="shared" si="16"/>
        <v>29.308318075028037</v>
      </c>
      <c r="V44" s="117">
        <f t="shared" si="16"/>
        <v>32.292123609398118</v>
      </c>
      <c r="W44" s="117">
        <f t="shared" si="16"/>
        <v>35.460063551905364</v>
      </c>
      <c r="X44" s="117">
        <f t="shared" si="16"/>
        <v>38.826320743070283</v>
      </c>
      <c r="Y44" s="117">
        <f t="shared" si="16"/>
        <v>42.40615428511493</v>
      </c>
      <c r="Z44" s="117">
        <f t="shared" si="16"/>
        <v>46.215980463842889</v>
      </c>
      <c r="AA44" s="117">
        <f t="shared" si="16"/>
        <v>50.273460078509977</v>
      </c>
    </row>
    <row r="45" spans="1:29" s="3" customFormat="1" ht="13.2">
      <c r="A45" s="115"/>
      <c r="B45" s="115"/>
      <c r="C45" s="115"/>
    </row>
    <row r="46" spans="1:29" s="106" customFormat="1" ht="15" customHeight="1">
      <c r="A46" s="105" t="s">
        <v>740</v>
      </c>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row>
    <row r="47" spans="1:29" s="3" customFormat="1" ht="13.2">
      <c r="A47" s="110" t="s">
        <v>741</v>
      </c>
      <c r="B47" s="110" t="s">
        <v>742</v>
      </c>
      <c r="C47" s="110" t="s">
        <v>79</v>
      </c>
      <c r="D47" s="116">
        <f t="shared" ref="D47:AA47" si="17">D24+D32+D40</f>
        <v>480</v>
      </c>
      <c r="E47" s="116">
        <f t="shared" si="17"/>
        <v>524</v>
      </c>
      <c r="F47" s="116">
        <f t="shared" si="17"/>
        <v>550.09519662384469</v>
      </c>
      <c r="G47" s="116">
        <f t="shared" si="17"/>
        <v>576.28481576099432</v>
      </c>
      <c r="H47" s="116">
        <f t="shared" si="17"/>
        <v>603.30932210290678</v>
      </c>
      <c r="I47" s="116">
        <f t="shared" si="17"/>
        <v>631.80628983455199</v>
      </c>
      <c r="J47" s="116">
        <f t="shared" si="17"/>
        <v>663.33919813093905</v>
      </c>
      <c r="K47" s="116">
        <f t="shared" si="17"/>
        <v>697.47700076684498</v>
      </c>
      <c r="L47" s="116">
        <f t="shared" si="17"/>
        <v>734.7037431358591</v>
      </c>
      <c r="M47" s="116">
        <f t="shared" si="17"/>
        <v>775.48642415486745</v>
      </c>
      <c r="N47" s="116">
        <f t="shared" si="17"/>
        <v>820.28759124899625</v>
      </c>
      <c r="O47" s="116">
        <f t="shared" si="17"/>
        <v>869.57598943687765</v>
      </c>
      <c r="P47" s="116">
        <f t="shared" si="17"/>
        <v>923.83577383415661</v>
      </c>
      <c r="Q47" s="116">
        <f t="shared" si="17"/>
        <v>983.57469070987759</v>
      </c>
      <c r="R47" s="116">
        <f t="shared" si="17"/>
        <v>1049.3315517459782</v>
      </c>
      <c r="S47" s="116">
        <f t="shared" si="17"/>
        <v>1121.683264227516</v>
      </c>
      <c r="T47" s="116">
        <f t="shared" si="17"/>
        <v>1201.2516325312058</v>
      </c>
      <c r="U47" s="116">
        <f t="shared" si="17"/>
        <v>1288.710110371291</v>
      </c>
      <c r="V47" s="116">
        <f t="shared" si="17"/>
        <v>1384.79065638732</v>
      </c>
      <c r="W47" s="116">
        <f t="shared" si="17"/>
        <v>1490.2908259425913</v>
      </c>
      <c r="X47" s="116">
        <f t="shared" si="17"/>
        <v>1606.0812179931745</v>
      </c>
      <c r="Y47" s="116">
        <f t="shared" si="17"/>
        <v>1733.1133864654221</v>
      </c>
      <c r="Z47" s="116">
        <f t="shared" si="17"/>
        <v>1872.4283198845144</v>
      </c>
      <c r="AA47" s="116">
        <f t="shared" si="17"/>
        <v>2025.1655903717387</v>
      </c>
    </row>
    <row r="48" spans="1:29" s="3" customFormat="1" ht="13.2">
      <c r="A48" s="110" t="s">
        <v>741</v>
      </c>
      <c r="B48" s="110" t="s">
        <v>743</v>
      </c>
      <c r="C48" s="110" t="s">
        <v>79</v>
      </c>
      <c r="D48" s="116">
        <f t="shared" ref="D48:AA48" si="18">D21</f>
        <v>44</v>
      </c>
      <c r="E48" s="116">
        <f t="shared" si="18"/>
        <v>44.2</v>
      </c>
      <c r="F48" s="116">
        <f t="shared" si="18"/>
        <v>45.239600000000003</v>
      </c>
      <c r="G48" s="116">
        <f t="shared" si="18"/>
        <v>47.015140000000002</v>
      </c>
      <c r="H48" s="116">
        <f t="shared" si="18"/>
        <v>49.453358840000007</v>
      </c>
      <c r="I48" s="116">
        <f t="shared" si="18"/>
        <v>53.505430010000012</v>
      </c>
      <c r="J48" s="116">
        <f t="shared" si="18"/>
        <v>57.21237943063602</v>
      </c>
      <c r="K48" s="116">
        <f t="shared" si="18"/>
        <v>61.496487980330642</v>
      </c>
      <c r="L48" s="116">
        <f t="shared" si="18"/>
        <v>66.359190602802855</v>
      </c>
      <c r="M48" s="116">
        <f t="shared" si="18"/>
        <v>71.813687430001323</v>
      </c>
      <c r="N48" s="116">
        <f t="shared" si="18"/>
        <v>77.883510319923204</v>
      </c>
      <c r="O48" s="116">
        <f t="shared" si="18"/>
        <v>84.601516519450811</v>
      </c>
      <c r="P48" s="116">
        <f t="shared" si="18"/>
        <v>92.009226400315299</v>
      </c>
      <c r="Q48" s="116">
        <f t="shared" si="18"/>
        <v>100.15644156102276</v>
      </c>
      <c r="R48" s="116">
        <f t="shared" si="18"/>
        <v>109.1010947825194</v>
      </c>
      <c r="S48" s="116">
        <f t="shared" si="18"/>
        <v>118.90929529399479</v>
      </c>
      <c r="T48" s="116">
        <f t="shared" si="18"/>
        <v>129.65554226887949</v>
      </c>
      <c r="U48" s="116">
        <f t="shared" si="18"/>
        <v>141.42308699358682</v>
      </c>
      <c r="V48" s="116">
        <f t="shared" si="18"/>
        <v>154.30443017390934</v>
      </c>
      <c r="W48" s="116">
        <f t="shared" si="18"/>
        <v>168.40194571160342</v>
      </c>
      <c r="X48" s="116">
        <f t="shared" si="18"/>
        <v>183.82862626751208</v>
      </c>
      <c r="Y48" s="116">
        <f t="shared" si="18"/>
        <v>200.70894924060272</v>
      </c>
      <c r="Z48" s="116">
        <f t="shared" si="18"/>
        <v>219.17986460251996</v>
      </c>
      <c r="AA48" s="116">
        <f t="shared" si="18"/>
        <v>239.39190846775247</v>
      </c>
    </row>
    <row r="49" spans="1:29" s="3" customFormat="1" ht="13.2">
      <c r="A49" s="110" t="s">
        <v>741</v>
      </c>
      <c r="B49" s="110" t="s">
        <v>744</v>
      </c>
      <c r="C49" s="110" t="s">
        <v>79</v>
      </c>
      <c r="D49" s="116">
        <f t="shared" ref="D49:AA50" si="19">D28+D36+D43</f>
        <v>0</v>
      </c>
      <c r="E49" s="116">
        <f t="shared" si="19"/>
        <v>18.104803376155338</v>
      </c>
      <c r="F49" s="116">
        <f t="shared" si="19"/>
        <v>19.049980862850308</v>
      </c>
      <c r="G49" s="116">
        <f t="shared" si="19"/>
        <v>19.990633658087607</v>
      </c>
      <c r="H49" s="116">
        <f t="shared" si="19"/>
        <v>20.956391108354726</v>
      </c>
      <c r="I49" s="116">
        <f t="shared" si="19"/>
        <v>21.972521713612974</v>
      </c>
      <c r="J49" s="116">
        <f t="shared" si="19"/>
        <v>23.074576794729982</v>
      </c>
      <c r="K49" s="116">
        <f t="shared" si="19"/>
        <v>24.269745611316662</v>
      </c>
      <c r="L49" s="116">
        <f t="shared" si="19"/>
        <v>25.576509583794454</v>
      </c>
      <c r="M49" s="116">
        <f t="shared" si="19"/>
        <v>27.012520335872559</v>
      </c>
      <c r="N49" s="116">
        <f t="shared" si="19"/>
        <v>28.595112132041862</v>
      </c>
      <c r="O49" s="116">
        <f t="shared" si="19"/>
        <v>30.341732122171912</v>
      </c>
      <c r="P49" s="116">
        <f t="shared" si="19"/>
        <v>32.270309524594239</v>
      </c>
      <c r="Q49" s="116">
        <f t="shared" si="19"/>
        <v>34.399580524922115</v>
      </c>
      <c r="R49" s="116">
        <f t="shared" si="19"/>
        <v>36.74938230098175</v>
      </c>
      <c r="S49" s="116">
        <f t="shared" si="19"/>
        <v>39.34092699030532</v>
      </c>
      <c r="T49" s="116">
        <f t="shared" si="19"/>
        <v>42.197064428794256</v>
      </c>
      <c r="U49" s="116">
        <f t="shared" si="19"/>
        <v>45.342540977557519</v>
      </c>
      <c r="V49" s="116">
        <f t="shared" si="19"/>
        <v>48.80426061863831</v>
      </c>
      <c r="W49" s="116">
        <f t="shared" si="19"/>
        <v>52.611553661020039</v>
      </c>
      <c r="X49" s="116">
        <f t="shared" si="19"/>
        <v>56.796457795264587</v>
      </c>
      <c r="Y49" s="116">
        <f t="shared" si="19"/>
        <v>61.394015821510607</v>
      </c>
      <c r="Z49" s="116">
        <f t="shared" si="19"/>
        <v>66.44259411529562</v>
      </c>
      <c r="AA49" s="116">
        <f t="shared" si="19"/>
        <v>71.984225761202595</v>
      </c>
    </row>
    <row r="50" spans="1:29" s="3" customFormat="1" ht="26.4">
      <c r="A50" s="110" t="s">
        <v>741</v>
      </c>
      <c r="B50" s="110" t="s">
        <v>745</v>
      </c>
      <c r="C50" s="110" t="s">
        <v>79</v>
      </c>
      <c r="D50" s="121">
        <f t="shared" si="19"/>
        <v>524</v>
      </c>
      <c r="E50" s="121">
        <f t="shared" si="19"/>
        <v>550.09519662384469</v>
      </c>
      <c r="F50" s="121">
        <f t="shared" si="19"/>
        <v>576.28481576099432</v>
      </c>
      <c r="G50" s="121">
        <f t="shared" si="19"/>
        <v>603.30932210290678</v>
      </c>
      <c r="H50" s="121">
        <f t="shared" si="19"/>
        <v>631.80628983455199</v>
      </c>
      <c r="I50" s="121">
        <f t="shared" si="19"/>
        <v>663.33919813093905</v>
      </c>
      <c r="J50" s="121">
        <f t="shared" si="19"/>
        <v>697.47700076684498</v>
      </c>
      <c r="K50" s="121">
        <f t="shared" si="19"/>
        <v>734.7037431358591</v>
      </c>
      <c r="L50" s="121">
        <f t="shared" si="19"/>
        <v>775.48642415486745</v>
      </c>
      <c r="M50" s="121">
        <f t="shared" si="19"/>
        <v>820.28759124899625</v>
      </c>
      <c r="N50" s="121">
        <f t="shared" si="19"/>
        <v>869.57598943687765</v>
      </c>
      <c r="O50" s="121">
        <f t="shared" si="19"/>
        <v>923.83577383415661</v>
      </c>
      <c r="P50" s="121">
        <f t="shared" si="19"/>
        <v>983.57469070987759</v>
      </c>
      <c r="Q50" s="121">
        <f t="shared" si="19"/>
        <v>1049.3315517459782</v>
      </c>
      <c r="R50" s="121">
        <f t="shared" si="19"/>
        <v>1121.683264227516</v>
      </c>
      <c r="S50" s="121">
        <f t="shared" si="19"/>
        <v>1201.2516325312058</v>
      </c>
      <c r="T50" s="121">
        <f t="shared" si="19"/>
        <v>1288.710110371291</v>
      </c>
      <c r="U50" s="121">
        <f t="shared" si="19"/>
        <v>1384.79065638732</v>
      </c>
      <c r="V50" s="121">
        <f t="shared" si="19"/>
        <v>1490.2908259425913</v>
      </c>
      <c r="W50" s="121">
        <f t="shared" si="19"/>
        <v>1606.0812179931745</v>
      </c>
      <c r="X50" s="121">
        <f t="shared" si="19"/>
        <v>1733.1133864654221</v>
      </c>
      <c r="Y50" s="121">
        <f t="shared" si="19"/>
        <v>1872.4283198845144</v>
      </c>
      <c r="Z50" s="121">
        <f t="shared" si="19"/>
        <v>2025.1655903717387</v>
      </c>
      <c r="AA50" s="121">
        <f t="shared" si="19"/>
        <v>2192.5732730782888</v>
      </c>
      <c r="AC50" s="111" t="s">
        <v>746</v>
      </c>
    </row>
    <row r="51" spans="1:29" s="3" customFormat="1" ht="26.4">
      <c r="A51" s="110" t="s">
        <v>741</v>
      </c>
      <c r="B51" s="110" t="s">
        <v>747</v>
      </c>
      <c r="C51" s="110" t="s">
        <v>173</v>
      </c>
      <c r="D51" s="122">
        <f t="shared" ref="D51:AA51" si="20">IFERROR(D49/D47,0)</f>
        <v>0</v>
      </c>
      <c r="E51" s="123">
        <f t="shared" si="20"/>
        <v>3.4551151481212475E-2</v>
      </c>
      <c r="F51" s="123">
        <f t="shared" si="20"/>
        <v>3.4630334857980394E-2</v>
      </c>
      <c r="G51" s="123">
        <f t="shared" si="20"/>
        <v>3.4688808574089569E-2</v>
      </c>
      <c r="H51" s="123">
        <f t="shared" si="20"/>
        <v>3.4735732302807319E-2</v>
      </c>
      <c r="I51" s="123">
        <f t="shared" si="20"/>
        <v>3.4777307644985316E-2</v>
      </c>
      <c r="J51" s="123">
        <f t="shared" si="20"/>
        <v>3.4785486610389035E-2</v>
      </c>
      <c r="K51" s="123">
        <f t="shared" si="20"/>
        <v>3.4796481582379281E-2</v>
      </c>
      <c r="L51" s="123">
        <f t="shared" si="20"/>
        <v>3.4812003916883445E-2</v>
      </c>
      <c r="M51" s="123">
        <f t="shared" si="20"/>
        <v>3.4833002222200163E-2</v>
      </c>
      <c r="N51" s="123">
        <f t="shared" si="20"/>
        <v>3.485986187905394E-2</v>
      </c>
      <c r="O51" s="123">
        <f t="shared" si="20"/>
        <v>3.4892559696617996E-2</v>
      </c>
      <c r="P51" s="123">
        <f t="shared" si="20"/>
        <v>3.4930785793955713E-2</v>
      </c>
      <c r="Q51" s="123">
        <f t="shared" si="20"/>
        <v>3.4974039948196339E-2</v>
      </c>
      <c r="R51" s="123">
        <f t="shared" si="20"/>
        <v>3.5021707142832606E-2</v>
      </c>
      <c r="S51" s="123">
        <f t="shared" si="20"/>
        <v>3.5073115776046403E-2</v>
      </c>
      <c r="T51" s="123">
        <f t="shared" si="20"/>
        <v>3.5127581337707839E-2</v>
      </c>
      <c r="U51" s="123">
        <f t="shared" si="20"/>
        <v>3.5184437999399146E-2</v>
      </c>
      <c r="V51" s="123">
        <f t="shared" si="20"/>
        <v>3.5243060309173527E-2</v>
      </c>
      <c r="W51" s="123">
        <f t="shared" si="20"/>
        <v>3.530287695875995E-2</v>
      </c>
      <c r="X51" s="123">
        <f t="shared" si="20"/>
        <v>3.5363378364036108E-2</v>
      </c>
      <c r="Y51" s="123">
        <f t="shared" si="20"/>
        <v>3.5424119564802348E-2</v>
      </c>
      <c r="Z51" s="123">
        <f t="shared" si="20"/>
        <v>3.5484719713806505E-2</v>
      </c>
      <c r="AA51" s="123">
        <f t="shared" si="20"/>
        <v>3.5544859197409726E-2</v>
      </c>
      <c r="AC51" s="110" t="s">
        <v>748</v>
      </c>
    </row>
    <row r="52" spans="1:29" s="3" customFormat="1" ht="13.2">
      <c r="A52" s="115"/>
      <c r="B52" s="115"/>
      <c r="C52" s="115"/>
    </row>
    <row r="53" spans="1:29" s="106" customFormat="1" ht="15" customHeight="1">
      <c r="A53" s="105" t="s">
        <v>749</v>
      </c>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row>
    <row r="54" spans="1:29" s="3" customFormat="1" ht="13.2">
      <c r="A54" s="110" t="s">
        <v>750</v>
      </c>
      <c r="B54" s="110" t="s">
        <v>751</v>
      </c>
      <c r="C54" s="110" t="s">
        <v>64</v>
      </c>
      <c r="D54" s="124">
        <f>D29*INDEX('1. Assumptions'!$G:$G,MATCH("Starter Plan Price ($/mo)",'1. Assumptions'!$B:$B,0))</f>
        <v>16366</v>
      </c>
      <c r="E54" s="124">
        <f>E29*INDEX('1. Assumptions'!$G:$G,MATCH("Starter Plan Price ($/mo)",'1. Assumptions'!$B:$B,0))</f>
        <v>17340.12</v>
      </c>
      <c r="F54" s="124">
        <f>F29*INDEX('1. Assumptions'!$G:$G,MATCH("Starter Plan Price ($/mo)",'1. Assumptions'!$B:$B,0))</f>
        <v>18292.052800000001</v>
      </c>
      <c r="G54" s="124">
        <f>G29*INDEX('1. Assumptions'!$G:$G,MATCH("Starter Plan Price ($/mo)",'1. Assumptions'!$B:$B,0))</f>
        <v>19258.163064</v>
      </c>
      <c r="H54" s="124">
        <f>H29*INDEX('1. Assumptions'!$G:$G,MATCH("Starter Plan Price ($/mo)",'1. Assumptions'!$B:$B,0))</f>
        <v>20268.971845359996</v>
      </c>
      <c r="I54" s="124">
        <f>I29*INDEX('1. Assumptions'!$G:$G,MATCH("Starter Plan Price ($/mo)",'1. Assumptions'!$B:$B,0))</f>
        <v>21350.699465911199</v>
      </c>
      <c r="J54" s="124">
        <f>J29*INDEX('1. Assumptions'!$G:$G,MATCH("Starter Plan Price ($/mo)",'1. Assumptions'!$B:$B,0))</f>
        <v>22526.490941095286</v>
      </c>
      <c r="K54" s="124">
        <f>K29*INDEX('1. Assumptions'!$G:$G,MATCH("Starter Plan Price ($/mo)",'1. Assumptions'!$B:$B,0))</f>
        <v>23817.396126276002</v>
      </c>
      <c r="L54" s="124">
        <f>L29*INDEX('1. Assumptions'!$G:$G,MATCH("Starter Plan Price ($/mo)",'1. Assumptions'!$B:$B,0))</f>
        <v>25243.16109998972</v>
      </c>
      <c r="M54" s="124">
        <f>M29*INDEX('1. Assumptions'!$G:$G,MATCH("Starter Plan Price ($/mo)",'1. Assumptions'!$B:$B,0))</f>
        <v>26822.875107936055</v>
      </c>
      <c r="N54" s="124">
        <f>N29*INDEX('1. Assumptions'!$G:$G,MATCH("Starter Plan Price ($/mo)",'1. Assumptions'!$B:$B,0))</f>
        <v>28575.507906303072</v>
      </c>
      <c r="O54" s="124">
        <f>O29*INDEX('1. Assumptions'!$G:$G,MATCH("Starter Plan Price ($/mo)",'1. Assumptions'!$B:$B,0))</f>
        <v>30520.364971486611</v>
      </c>
      <c r="P54" s="124">
        <f>P29*INDEX('1. Assumptions'!$G:$G,MATCH("Starter Plan Price ($/mo)",'1. Assumptions'!$B:$B,0))</f>
        <v>32677.482323029097</v>
      </c>
      <c r="Q54" s="124">
        <f>Q29*INDEX('1. Assumptions'!$G:$G,MATCH("Starter Plan Price ($/mo)",'1. Assumptions'!$B:$B,0))</f>
        <v>35067.978277288836</v>
      </c>
      <c r="R54" s="124">
        <f>R29*INDEX('1. Assumptions'!$G:$G,MATCH("Starter Plan Price ($/mo)",'1. Assumptions'!$B:$B,0))</f>
        <v>37714.37603014693</v>
      </c>
      <c r="S54" s="124">
        <f>S29*INDEX('1. Assumptions'!$G:$G,MATCH("Starter Plan Price ($/mo)",'1. Assumptions'!$B:$B,0))</f>
        <v>40640.908339256464</v>
      </c>
      <c r="T54" s="124">
        <f>T29*INDEX('1. Assumptions'!$G:$G,MATCH("Starter Plan Price ($/mo)",'1. Assumptions'!$B:$B,0))</f>
        <v>43873.813569694663</v>
      </c>
      <c r="U54" s="124">
        <f>U29*INDEX('1. Assumptions'!$G:$G,MATCH("Starter Plan Price ($/mo)",'1. Assumptions'!$B:$B,0))</f>
        <v>47441.630848990513</v>
      </c>
      <c r="V54" s="124">
        <f>V29*INDEX('1. Assumptions'!$G:$G,MATCH("Starter Plan Price ($/mo)",'1. Assumptions'!$B:$B,0))</f>
        <v>51375.500945519852</v>
      </c>
      <c r="W54" s="124">
        <f>W29*INDEX('1. Assumptions'!$G:$G,MATCH("Starter Plan Price ($/mo)",'1. Assumptions'!$B:$B,0))</f>
        <v>55709.478658430737</v>
      </c>
      <c r="X54" s="124">
        <f>X29*INDEX('1. Assumptions'!$G:$G,MATCH("Starter Plan Price ($/mo)",'1. Assumptions'!$B:$B,0))</f>
        <v>60480.86192589064</v>
      </c>
      <c r="Y54" s="124">
        <f>Y29*INDEX('1. Assumptions'!$G:$G,MATCH("Starter Plan Price ($/mo)",'1. Assumptions'!$B:$B,0))</f>
        <v>65730.542473974434</v>
      </c>
      <c r="Z54" s="124">
        <f>Z29*INDEX('1. Assumptions'!$G:$G,MATCH("Starter Plan Price ($/mo)",'1. Assumptions'!$B:$B,0))</f>
        <v>71503.382604466475</v>
      </c>
      <c r="AA54" s="124">
        <f>AA29*INDEX('1. Assumptions'!$G:$G,MATCH("Starter Plan Price ($/mo)",'1. Assumptions'!$B:$B,0))</f>
        <v>77848.622628463883</v>
      </c>
    </row>
    <row r="55" spans="1:29" s="3" customFormat="1" ht="13.2">
      <c r="A55" s="110" t="s">
        <v>750</v>
      </c>
      <c r="B55" s="110" t="s">
        <v>752</v>
      </c>
      <c r="C55" s="110" t="s">
        <v>64</v>
      </c>
      <c r="D55" s="124">
        <f>D37*INDEX('1. Assumptions'!$G:$G,MATCH("Growth Plan Price ($/mo)",'1. Assumptions'!$B:$B,0))</f>
        <v>28242.95</v>
      </c>
      <c r="E55" s="124">
        <f>E37*INDEX('1. Assumptions'!$G:$G,MATCH("Growth Plan Price ($/mo)",'1. Assumptions'!$B:$B,0))</f>
        <v>29099.308875000002</v>
      </c>
      <c r="F55" s="124">
        <f>F37*INDEX('1. Assumptions'!$G:$G,MATCH("Growth Plan Price ($/mo)",'1. Assumptions'!$B:$B,0))</f>
        <v>30036.000680937501</v>
      </c>
      <c r="G55" s="124">
        <f>G37*INDEX('1. Assumptions'!$G:$G,MATCH("Growth Plan Price ($/mo)",'1. Assumptions'!$B:$B,0))</f>
        <v>31052.591746211721</v>
      </c>
      <c r="H55" s="124">
        <f>H37*INDEX('1. Assumptions'!$G:$G,MATCH("Growth Plan Price ($/mo)",'1. Assumptions'!$B:$B,0))</f>
        <v>32151.090628430899</v>
      </c>
      <c r="I55" s="124">
        <f>I37*INDEX('1. Assumptions'!$G:$G,MATCH("Growth Plan Price ($/mo)",'1. Assumptions'!$B:$B,0))</f>
        <v>33335.540877833446</v>
      </c>
      <c r="J55" s="124">
        <f>J37*INDEX('1. Assumptions'!$G:$G,MATCH("Growth Plan Price ($/mo)",'1. Assumptions'!$B:$B,0))</f>
        <v>34611.719903770856</v>
      </c>
      <c r="K55" s="124">
        <f>K37*INDEX('1. Assumptions'!$G:$G,MATCH("Growth Plan Price ($/mo)",'1. Assumptions'!$B:$B,0))</f>
        <v>35986.921795060829</v>
      </c>
      <c r="L55" s="124">
        <f>L37*INDEX('1. Assumptions'!$G:$G,MATCH("Growth Plan Price ($/mo)",'1. Assumptions'!$B:$B,0))</f>
        <v>37469.806948801022</v>
      </c>
      <c r="M55" s="124">
        <f>M37*INDEX('1. Assumptions'!$G:$G,MATCH("Growth Plan Price ($/mo)",'1. Assumptions'!$B:$B,0))</f>
        <v>39070.305276433239</v>
      </c>
      <c r="N55" s="124">
        <f>N37*INDEX('1. Assumptions'!$G:$G,MATCH("Growth Plan Price ($/mo)",'1. Assumptions'!$B:$B,0))</f>
        <v>40799.562821329979</v>
      </c>
      <c r="O55" s="124">
        <f>O37*INDEX('1. Assumptions'!$G:$G,MATCH("Growth Plan Price ($/mo)",'1. Assumptions'!$B:$B,0))</f>
        <v>42669.92402692193</v>
      </c>
      <c r="P55" s="124">
        <f>P37*INDEX('1. Assumptions'!$G:$G,MATCH("Growth Plan Price ($/mo)",'1. Assumptions'!$B:$B,0))</f>
        <v>44694.943785141622</v>
      </c>
      <c r="Q55" s="124">
        <f>Q37*INDEX('1. Assumptions'!$G:$G,MATCH("Growth Plan Price ($/mo)",'1. Assumptions'!$B:$B,0))</f>
        <v>46889.424886317975</v>
      </c>
      <c r="R55" s="124">
        <f>R37*INDEX('1. Assumptions'!$G:$G,MATCH("Growth Plan Price ($/mo)",'1. Assumptions'!$B:$B,0))</f>
        <v>49269.477673144196</v>
      </c>
      <c r="S55" s="124">
        <f>S37*INDEX('1. Assumptions'!$G:$G,MATCH("Growth Plan Price ($/mo)",'1. Assumptions'!$B:$B,0))</f>
        <v>51852.599642946785</v>
      </c>
      <c r="T55" s="124">
        <f>T37*INDEX('1. Assumptions'!$G:$G,MATCH("Growth Plan Price ($/mo)",'1. Assumptions'!$B:$B,0))</f>
        <v>54657.773498971634</v>
      </c>
      <c r="U55" s="124">
        <f>U37*INDEX('1. Assumptions'!$G:$G,MATCH("Growth Plan Price ($/mo)",'1. Assumptions'!$B:$B,0))</f>
        <v>57705.582765682811</v>
      </c>
      <c r="V55" s="124">
        <f>V37*INDEX('1. Assumptions'!$G:$G,MATCH("Growth Plan Price ($/mo)",'1. Assumptions'!$B:$B,0))</f>
        <v>61018.344588820095</v>
      </c>
      <c r="W55" s="124">
        <f>W37*INDEX('1. Assumptions'!$G:$G,MATCH("Growth Plan Price ($/mo)",'1. Assumptions'!$B:$B,0))</f>
        <v>64620.259764684219</v>
      </c>
      <c r="X55" s="124">
        <f>X37*INDEX('1. Assumptions'!$G:$G,MATCH("Growth Plan Price ($/mo)",'1. Assumptions'!$B:$B,0))</f>
        <v>68537.580405738467</v>
      </c>
      <c r="Y55" s="124">
        <f>Y37*INDEX('1. Assumptions'!$G:$G,MATCH("Growth Plan Price ($/mo)",'1. Assumptions'!$B:$B,0))</f>
        <v>72798.79596773519</v>
      </c>
      <c r="Z55" s="124">
        <f>Z37*INDEX('1. Assumptions'!$G:$G,MATCH("Growth Plan Price ($/mo)",'1. Assumptions'!$B:$B,0))</f>
        <v>77434.838650449834</v>
      </c>
      <c r="AA55" s="124">
        <f>AA37*INDEX('1. Assumptions'!$G:$G,MATCH("Growth Plan Price ($/mo)",'1. Assumptions'!$B:$B,0))</f>
        <v>82479.309450413566</v>
      </c>
    </row>
    <row r="56" spans="1:29" s="3" customFormat="1" ht="13.2">
      <c r="A56" s="110" t="s">
        <v>750</v>
      </c>
      <c r="B56" s="110" t="s">
        <v>753</v>
      </c>
      <c r="C56" s="110" t="s">
        <v>64</v>
      </c>
      <c r="D56" s="124">
        <f>D44*INDEX('1. Assumptions'!$G:$G,MATCH("Enterprise Plan Price ($/mo)",'1. Assumptions'!$B:$B,0))</f>
        <v>269.55</v>
      </c>
      <c r="E56" s="124">
        <f>E44*INDEX('1. Assumptions'!$G:$G,MATCH("Enterprise Plan Price ($/mo)",'1. Assumptions'!$B:$B,0))</f>
        <v>549.77515268295076</v>
      </c>
      <c r="F56" s="124">
        <f>F44*INDEX('1. Assumptions'!$G:$G,MATCH("Enterprise Plan Price ($/mo)",'1. Assumptions'!$B:$B,0))</f>
        <v>834.83742552311753</v>
      </c>
      <c r="G56" s="124">
        <f>G44*INDEX('1. Assumptions'!$G:$G,MATCH("Enterprise Plan Price ($/mo)",'1. Assumptions'!$B:$B,0))</f>
        <v>1125.4791227497369</v>
      </c>
      <c r="H56" s="124">
        <f>H44*INDEX('1. Assumptions'!$G:$G,MATCH("Enterprise Plan Price ($/mo)",'1. Assumptions'!$B:$B,0))</f>
        <v>1422.4282046097712</v>
      </c>
      <c r="I56" s="124">
        <f>I44*INDEX('1. Assumptions'!$G:$G,MATCH("Enterprise Plan Price ($/mo)",'1. Assumptions'!$B:$B,0))</f>
        <v>2325.42302554549</v>
      </c>
      <c r="J56" s="124">
        <f>J44*INDEX('1. Assumptions'!$G:$G,MATCH("Enterprise Plan Price ($/mo)",'1. Assumptions'!$B:$B,0))</f>
        <v>3270.1049304710114</v>
      </c>
      <c r="K56" s="124">
        <f>K44*INDEX('1. Assumptions'!$G:$G,MATCH("Enterprise Plan Price ($/mo)",'1. Assumptions'!$B:$B,0))</f>
        <v>4259.7701519270695</v>
      </c>
      <c r="L56" s="124">
        <f>L44*INDEX('1. Assumptions'!$G:$G,MATCH("Enterprise Plan Price ($/mo)",'1. Assumptions'!$B:$B,0))</f>
        <v>5297.9493467492202</v>
      </c>
      <c r="M56" s="124">
        <f>M44*INDEX('1. Assumptions'!$G:$G,MATCH("Enterprise Plan Price ($/mo)",'1. Assumptions'!$B:$B,0))</f>
        <v>6388.4325564513556</v>
      </c>
      <c r="N56" s="124">
        <f>N44*INDEX('1. Assumptions'!$G:$G,MATCH("Enterprise Plan Price ($/mo)",'1. Assumptions'!$B:$B,0))</f>
        <v>7535.2938657712257</v>
      </c>
      <c r="O56" s="124">
        <f>O44*INDEX('1. Assumptions'!$G:$G,MATCH("Enterprise Plan Price ($/mo)",'1. Assumptions'!$B:$B,0))</f>
        <v>8742.9162702103913</v>
      </c>
      <c r="P56" s="124">
        <f>P44*INDEX('1. Assumptions'!$G:$G,MATCH("Enterprise Plan Price ($/mo)",'1. Assumptions'!$B:$B,0))</f>
        <v>10016.017183461912</v>
      </c>
      <c r="Q56" s="124">
        <f>Q44*INDEX('1. Assumptions'!$G:$G,MATCH("Enterprise Plan Price ($/mo)",'1. Assumptions'!$B:$B,0))</f>
        <v>11359.674956103292</v>
      </c>
      <c r="R56" s="124">
        <f>R44*INDEX('1. Assumptions'!$G:$G,MATCH("Enterprise Plan Price ($/mo)",'1. Assumptions'!$B:$B,0))</f>
        <v>12779.356733575243</v>
      </c>
      <c r="S56" s="124">
        <f>S44*INDEX('1. Assumptions'!$G:$G,MATCH("Enterprise Plan Price ($/mo)",'1. Assumptions'!$B:$B,0))</f>
        <v>14280.947950962736</v>
      </c>
      <c r="T56" s="124">
        <f>T44*INDEX('1. Assumptions'!$G:$G,MATCH("Enterprise Plan Price ($/mo)",'1. Assumptions'!$B:$B,0))</f>
        <v>15870.783741887566</v>
      </c>
      <c r="U56" s="124">
        <f>U44*INDEX('1. Assumptions'!$G:$G,MATCH("Enterprise Plan Price ($/mo)",'1. Assumptions'!$B:$B,0))</f>
        <v>17555.682526941793</v>
      </c>
      <c r="V56" s="124">
        <f>V44*INDEX('1. Assumptions'!$G:$G,MATCH("Enterprise Plan Price ($/mo)",'1. Assumptions'!$B:$B,0))</f>
        <v>19342.982042029471</v>
      </c>
      <c r="W56" s="124">
        <f>W44*INDEX('1. Assumptions'!$G:$G,MATCH("Enterprise Plan Price ($/mo)",'1. Assumptions'!$B:$B,0))</f>
        <v>21240.578067591312</v>
      </c>
      <c r="X56" s="124">
        <f>X44*INDEX('1. Assumptions'!$G:$G,MATCH("Enterprise Plan Price ($/mo)",'1. Assumptions'!$B:$B,0))</f>
        <v>23256.966125099101</v>
      </c>
      <c r="Y56" s="124">
        <f>Y44*INDEX('1. Assumptions'!$G:$G,MATCH("Enterprise Plan Price ($/mo)",'1. Assumptions'!$B:$B,0))</f>
        <v>25401.286416783842</v>
      </c>
      <c r="Z56" s="124">
        <f>Z44*INDEX('1. Assumptions'!$G:$G,MATCH("Enterprise Plan Price ($/mo)",'1. Assumptions'!$B:$B,0))</f>
        <v>27683.372297841892</v>
      </c>
      <c r="AA56" s="124">
        <f>AA44*INDEX('1. Assumptions'!$G:$G,MATCH("Enterprise Plan Price ($/mo)",'1. Assumptions'!$B:$B,0))</f>
        <v>30113.802587027476</v>
      </c>
    </row>
    <row r="57" spans="1:29" s="3" customFormat="1" ht="26.4">
      <c r="A57" s="110" t="s">
        <v>750</v>
      </c>
      <c r="B57" s="110" t="s">
        <v>754</v>
      </c>
      <c r="C57" s="110" t="s">
        <v>64</v>
      </c>
      <c r="D57" s="124">
        <f t="shared" ref="D57:AA57" si="21">D54+D55+D56</f>
        <v>44878.5</v>
      </c>
      <c r="E57" s="124">
        <f t="shared" si="21"/>
        <v>46989.20402768295</v>
      </c>
      <c r="F57" s="124">
        <f t="shared" si="21"/>
        <v>49162.89090646062</v>
      </c>
      <c r="G57" s="124">
        <f t="shared" si="21"/>
        <v>51436.233932961455</v>
      </c>
      <c r="H57" s="124">
        <f t="shared" si="21"/>
        <v>53842.490678400667</v>
      </c>
      <c r="I57" s="124">
        <f t="shared" si="21"/>
        <v>57011.663369290138</v>
      </c>
      <c r="J57" s="124">
        <f t="shared" si="21"/>
        <v>60408.315775337156</v>
      </c>
      <c r="K57" s="124">
        <f t="shared" si="21"/>
        <v>64064.088073263898</v>
      </c>
      <c r="L57" s="124">
        <f t="shared" si="21"/>
        <v>68010.91739553996</v>
      </c>
      <c r="M57" s="124">
        <f t="shared" si="21"/>
        <v>72281.612940820647</v>
      </c>
      <c r="N57" s="124">
        <f t="shared" si="21"/>
        <v>76910.364593404272</v>
      </c>
      <c r="O57" s="124">
        <f t="shared" si="21"/>
        <v>81933.205268618927</v>
      </c>
      <c r="P57" s="124">
        <f t="shared" si="21"/>
        <v>87388.443291632633</v>
      </c>
      <c r="Q57" s="124">
        <f t="shared" si="21"/>
        <v>93317.078119710102</v>
      </c>
      <c r="R57" s="124">
        <f t="shared" si="21"/>
        <v>99763.210436866371</v>
      </c>
      <c r="S57" s="124">
        <f t="shared" si="21"/>
        <v>106774.45593316598</v>
      </c>
      <c r="T57" s="124">
        <f t="shared" si="21"/>
        <v>114402.37081055387</v>
      </c>
      <c r="U57" s="124">
        <f t="shared" si="21"/>
        <v>122702.89614161511</v>
      </c>
      <c r="V57" s="124">
        <f t="shared" si="21"/>
        <v>131736.82757636943</v>
      </c>
      <c r="W57" s="124">
        <f t="shared" si="21"/>
        <v>141570.31649070629</v>
      </c>
      <c r="X57" s="124">
        <f t="shared" si="21"/>
        <v>152275.40845672821</v>
      </c>
      <c r="Y57" s="124">
        <f t="shared" si="21"/>
        <v>163930.62485849348</v>
      </c>
      <c r="Z57" s="124">
        <f t="shared" si="21"/>
        <v>176621.59355275819</v>
      </c>
      <c r="AA57" s="124">
        <f t="shared" si="21"/>
        <v>190441.73466590495</v>
      </c>
    </row>
    <row r="58" spans="1:29" s="3" customFormat="1" ht="13.2">
      <c r="A58" s="110" t="s">
        <v>750</v>
      </c>
      <c r="B58" s="110" t="s">
        <v>817</v>
      </c>
      <c r="C58" s="110" t="s">
        <v>64</v>
      </c>
      <c r="D58" s="124">
        <f>D67</f>
        <v>415.2</v>
      </c>
      <c r="E58" s="124">
        <f>D58+E67</f>
        <v>859.83300000000008</v>
      </c>
      <c r="F58" s="124">
        <f t="shared" ref="F58:AA58" si="22">E58+F67</f>
        <v>1321.1267102768297</v>
      </c>
      <c r="G58" s="124">
        <f t="shared" si="22"/>
        <v>1799.5443522386677</v>
      </c>
      <c r="H58" s="124">
        <f t="shared" si="22"/>
        <v>2295.9112480458957</v>
      </c>
      <c r="I58" s="124">
        <f t="shared" si="22"/>
        <v>2811.3770423494434</v>
      </c>
      <c r="J58" s="124">
        <f t="shared" si="22"/>
        <v>3353.3799056188504</v>
      </c>
      <c r="K58" s="124">
        <f t="shared" si="22"/>
        <v>3923.9292643160334</v>
      </c>
      <c r="L58" s="124">
        <f t="shared" si="22"/>
        <v>4525.3308524055119</v>
      </c>
      <c r="M58" s="124">
        <f t="shared" si="22"/>
        <v>5160.1867178368566</v>
      </c>
      <c r="N58" s="124">
        <f t="shared" si="22"/>
        <v>5831.4009800666945</v>
      </c>
      <c r="O58" s="124">
        <f t="shared" si="22"/>
        <v>6542.1906162000705</v>
      </c>
      <c r="P58" s="124">
        <f t="shared" si="22"/>
        <v>7296.1007627242589</v>
      </c>
      <c r="Q58" s="124">
        <f t="shared" si="22"/>
        <v>8097.0241880133426</v>
      </c>
      <c r="R58" s="124">
        <f t="shared" si="22"/>
        <v>8949.2247273303092</v>
      </c>
      <c r="S58" s="124">
        <f t="shared" si="22"/>
        <v>9857.3645844256698</v>
      </c>
      <c r="T58" s="124">
        <f t="shared" si="22"/>
        <v>10826.535497913072</v>
      </c>
      <c r="U58" s="124">
        <f t="shared" si="22"/>
        <v>11862.29385103948</v>
      </c>
      <c r="V58" s="124">
        <f t="shared" si="22"/>
        <v>12970.699873945236</v>
      </c>
      <c r="W58" s="124">
        <f t="shared" si="22"/>
        <v>14158.361150969477</v>
      </c>
      <c r="X58" s="124">
        <f t="shared" si="22"/>
        <v>15432.480704366844</v>
      </c>
      <c r="Y58" s="124">
        <f t="shared" si="22"/>
        <v>16800.909981890458</v>
      </c>
      <c r="Z58" s="124">
        <f t="shared" si="22"/>
        <v>18272.207130656487</v>
      </c>
      <c r="AA58" s="124">
        <f t="shared" si="22"/>
        <v>19855.700994877501</v>
      </c>
    </row>
    <row r="59" spans="1:29" s="3" customFormat="1" ht="26.4">
      <c r="A59" s="111" t="s">
        <v>750</v>
      </c>
      <c r="B59" s="111" t="s">
        <v>756</v>
      </c>
      <c r="C59" s="111" t="s">
        <v>64</v>
      </c>
      <c r="D59" s="125">
        <f t="shared" ref="D59:AA59" si="23">D57-D58</f>
        <v>44463.3</v>
      </c>
      <c r="E59" s="125">
        <f t="shared" si="23"/>
        <v>46129.371027682952</v>
      </c>
      <c r="F59" s="125">
        <f t="shared" si="23"/>
        <v>47841.764196183787</v>
      </c>
      <c r="G59" s="125">
        <f t="shared" si="23"/>
        <v>49636.689580722785</v>
      </c>
      <c r="H59" s="125">
        <f t="shared" si="23"/>
        <v>51546.579430354774</v>
      </c>
      <c r="I59" s="125">
        <f t="shared" si="23"/>
        <v>54200.286326940695</v>
      </c>
      <c r="J59" s="125">
        <f t="shared" si="23"/>
        <v>57054.935869718305</v>
      </c>
      <c r="K59" s="125">
        <f t="shared" si="23"/>
        <v>60140.158808947861</v>
      </c>
      <c r="L59" s="125">
        <f t="shared" si="23"/>
        <v>63485.58654313445</v>
      </c>
      <c r="M59" s="125">
        <f t="shared" si="23"/>
        <v>67121.426222983791</v>
      </c>
      <c r="N59" s="125">
        <f t="shared" si="23"/>
        <v>71078.963613337575</v>
      </c>
      <c r="O59" s="125">
        <f t="shared" si="23"/>
        <v>75391.01465241886</v>
      </c>
      <c r="P59" s="125">
        <f t="shared" si="23"/>
        <v>80092.342528908368</v>
      </c>
      <c r="Q59" s="125">
        <f t="shared" si="23"/>
        <v>85220.053931696762</v>
      </c>
      <c r="R59" s="125">
        <f t="shared" si="23"/>
        <v>90813.985709536064</v>
      </c>
      <c r="S59" s="125">
        <f t="shared" si="23"/>
        <v>96917.091348740316</v>
      </c>
      <c r="T59" s="125">
        <f t="shared" si="23"/>
        <v>103575.83531264079</v>
      </c>
      <c r="U59" s="125">
        <f t="shared" si="23"/>
        <v>110840.60229057564</v>
      </c>
      <c r="V59" s="125">
        <f t="shared" si="23"/>
        <v>118766.12770242419</v>
      </c>
      <c r="W59" s="125">
        <f t="shared" si="23"/>
        <v>127411.95533973681</v>
      </c>
      <c r="X59" s="125">
        <f t="shared" si="23"/>
        <v>136842.92775236137</v>
      </c>
      <c r="Y59" s="125">
        <f t="shared" si="23"/>
        <v>147129.71487660302</v>
      </c>
      <c r="Z59" s="125">
        <f t="shared" si="23"/>
        <v>158349.3864221017</v>
      </c>
      <c r="AA59" s="125">
        <f t="shared" si="23"/>
        <v>170586.03367102746</v>
      </c>
      <c r="AC59" s="110" t="s">
        <v>757</v>
      </c>
    </row>
    <row r="60" spans="1:29" s="3" customFormat="1" ht="13.2">
      <c r="A60" s="115"/>
      <c r="B60" s="115"/>
      <c r="C60" s="115"/>
    </row>
    <row r="61" spans="1:29" s="106" customFormat="1" ht="15" customHeight="1">
      <c r="A61" s="105" t="s">
        <v>758</v>
      </c>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row>
    <row r="62" spans="1:29" s="3" customFormat="1" ht="13.2">
      <c r="A62" s="110" t="s">
        <v>759</v>
      </c>
      <c r="B62" s="110" t="s">
        <v>760</v>
      </c>
      <c r="C62" s="110" t="s">
        <v>64</v>
      </c>
      <c r="D62" s="124">
        <f>INDEX('1. Assumptions'!$G:$G,MATCH("Starting MRR ($)",'1. Assumptions'!$B:$B,0))</f>
        <v>41520</v>
      </c>
      <c r="E62" s="124">
        <f t="shared" ref="E62:AA62" si="24">D68</f>
        <v>44463.3</v>
      </c>
      <c r="F62" s="124">
        <f t="shared" si="24"/>
        <v>46129.371027682959</v>
      </c>
      <c r="G62" s="124">
        <f t="shared" si="24"/>
        <v>47841.764196183802</v>
      </c>
      <c r="H62" s="124">
        <f t="shared" si="24"/>
        <v>49636.689580722807</v>
      </c>
      <c r="I62" s="124">
        <f t="shared" si="24"/>
        <v>51546.579430354781</v>
      </c>
      <c r="J62" s="124">
        <f t="shared" si="24"/>
        <v>54200.286326940695</v>
      </c>
      <c r="K62" s="124">
        <f t="shared" si="24"/>
        <v>57054.935869718305</v>
      </c>
      <c r="L62" s="124">
        <f t="shared" si="24"/>
        <v>60140.158808947868</v>
      </c>
      <c r="M62" s="124">
        <f t="shared" si="24"/>
        <v>63485.58654313445</v>
      </c>
      <c r="N62" s="124">
        <f t="shared" si="24"/>
        <v>67121.426222983791</v>
      </c>
      <c r="O62" s="124">
        <f t="shared" si="24"/>
        <v>71078.963613337575</v>
      </c>
      <c r="P62" s="124">
        <f t="shared" si="24"/>
        <v>75391.014652418846</v>
      </c>
      <c r="Q62" s="124">
        <f t="shared" si="24"/>
        <v>80092.342528908368</v>
      </c>
      <c r="R62" s="124">
        <f t="shared" si="24"/>
        <v>85220.053931696733</v>
      </c>
      <c r="S62" s="124">
        <f t="shared" si="24"/>
        <v>90813.985709536006</v>
      </c>
      <c r="T62" s="124">
        <f t="shared" si="24"/>
        <v>96917.091348740258</v>
      </c>
      <c r="U62" s="124">
        <f t="shared" si="24"/>
        <v>103575.83531264073</v>
      </c>
      <c r="V62" s="124">
        <f t="shared" si="24"/>
        <v>110840.60229057558</v>
      </c>
      <c r="W62" s="124">
        <f t="shared" si="24"/>
        <v>118766.12770242413</v>
      </c>
      <c r="X62" s="124">
        <f t="shared" si="24"/>
        <v>127411.95533973671</v>
      </c>
      <c r="Y62" s="124">
        <f t="shared" si="24"/>
        <v>136842.92775236128</v>
      </c>
      <c r="Z62" s="124">
        <f t="shared" si="24"/>
        <v>147129.71487660293</v>
      </c>
      <c r="AA62" s="124">
        <f t="shared" si="24"/>
        <v>158349.38642210164</v>
      </c>
    </row>
    <row r="63" spans="1:29" s="3" customFormat="1" ht="13.2">
      <c r="A63" s="110" t="s">
        <v>759</v>
      </c>
      <c r="B63" s="110" t="s">
        <v>761</v>
      </c>
      <c r="C63" s="110" t="s">
        <v>64</v>
      </c>
      <c r="D63" s="124">
        <f>D17*INDEX('1. Assumptions'!$G:$G,MATCH("Starter Plan Price ($/mo)",'1. Assumptions'!$B:$B,0))+D18*INDEX('1. Assumptions'!$G:$G,MATCH("Growth Plan Price ($/mo)",'1. Assumptions'!$B:$B,0))+D19*INDEX('1. Assumptions'!$G:$G,MATCH("Enterprise Plan Price ($/mo)",'1. Assumptions'!$B:$B,0))</f>
        <v>988</v>
      </c>
      <c r="E63" s="124">
        <f>E17*INDEX('1. Assumptions'!$G:$G,MATCH("Starter Plan Price ($/mo)",'1. Assumptions'!$B:$B,0))+E18*INDEX('1. Assumptions'!$G:$G,MATCH("Growth Plan Price ($/mo)",'1. Assumptions'!$B:$B,0))+E19*INDEX('1. Assumptions'!$G:$G,MATCH("Enterprise Plan Price ($/mo)",'1. Assumptions'!$B:$B,0))</f>
        <v>1057.1600000000001</v>
      </c>
      <c r="F63" s="124">
        <f>F17*INDEX('1. Assumptions'!$G:$G,MATCH("Starter Plan Price ($/mo)",'1. Assumptions'!$B:$B,0))+F18*INDEX('1. Assumptions'!$G:$G,MATCH("Growth Plan Price ($/mo)",'1. Assumptions'!$B:$B,0))+F19*INDEX('1. Assumptions'!$G:$G,MATCH("Enterprise Plan Price ($/mo)",'1. Assumptions'!$B:$B,0))</f>
        <v>1131.1612</v>
      </c>
      <c r="G63" s="124">
        <f>G17*INDEX('1. Assumptions'!$G:$G,MATCH("Starter Plan Price ($/mo)",'1. Assumptions'!$B:$B,0))+G18*INDEX('1. Assumptions'!$G:$G,MATCH("Growth Plan Price ($/mo)",'1. Assumptions'!$B:$B,0))+G19*INDEX('1. Assumptions'!$G:$G,MATCH("Enterprise Plan Price ($/mo)",'1. Assumptions'!$B:$B,0))</f>
        <v>1210.342484</v>
      </c>
      <c r="H63" s="124">
        <f>H17*INDEX('1. Assumptions'!$G:$G,MATCH("Starter Plan Price ($/mo)",'1. Assumptions'!$B:$B,0))+H18*INDEX('1. Assumptions'!$G:$G,MATCH("Growth Plan Price ($/mo)",'1. Assumptions'!$B:$B,0))+H19*INDEX('1. Assumptions'!$G:$G,MATCH("Enterprise Plan Price ($/mo)",'1. Assumptions'!$B:$B,0))</f>
        <v>1295.0664578800001</v>
      </c>
      <c r="I63" s="124">
        <f>I17*INDEX('1. Assumptions'!$G:$G,MATCH("Starter Plan Price ($/mo)",'1. Assumptions'!$B:$B,0))+I18*INDEX('1. Assumptions'!$G:$G,MATCH("Growth Plan Price ($/mo)",'1. Assumptions'!$B:$B,0))+I19*INDEX('1. Assumptions'!$G:$G,MATCH("Enterprise Plan Price ($/mo)",'1. Assumptions'!$B:$B,0))</f>
        <v>1984.7211099316005</v>
      </c>
      <c r="J63" s="124">
        <f>J17*INDEX('1. Assumptions'!$G:$G,MATCH("Starter Plan Price ($/mo)",'1. Assumptions'!$B:$B,0))+J18*INDEX('1. Assumptions'!$G:$G,MATCH("Growth Plan Price ($/mo)",'1. Assumptions'!$B:$B,0))+J19*INDEX('1. Assumptions'!$G:$G,MATCH("Enterprise Plan Price ($/mo)",'1. Assumptions'!$B:$B,0))</f>
        <v>2123.6515876268122</v>
      </c>
      <c r="K63" s="124">
        <f>K17*INDEX('1. Assumptions'!$G:$G,MATCH("Starter Plan Price ($/mo)",'1. Assumptions'!$B:$B,0))+K18*INDEX('1. Assumptions'!$G:$G,MATCH("Growth Plan Price ($/mo)",'1. Assumptions'!$B:$B,0))+K19*INDEX('1. Assumptions'!$G:$G,MATCH("Enterprise Plan Price ($/mo)",'1. Assumptions'!$B:$B,0))</f>
        <v>2272.3071987606895</v>
      </c>
      <c r="L63" s="124">
        <f>L17*INDEX('1. Assumptions'!$G:$G,MATCH("Starter Plan Price ($/mo)",'1. Assumptions'!$B:$B,0))+L18*INDEX('1. Assumptions'!$G:$G,MATCH("Growth Plan Price ($/mo)",'1. Assumptions'!$B:$B,0))+L19*INDEX('1. Assumptions'!$G:$G,MATCH("Enterprise Plan Price ($/mo)",'1. Assumptions'!$B:$B,0))</f>
        <v>2431.3687026739376</v>
      </c>
      <c r="M63" s="124">
        <f>M17*INDEX('1. Assumptions'!$G:$G,MATCH("Starter Plan Price ($/mo)",'1. Assumptions'!$B:$B,0))+M18*INDEX('1. Assumptions'!$G:$G,MATCH("Growth Plan Price ($/mo)",'1. Assumptions'!$B:$B,0))+M19*INDEX('1. Assumptions'!$G:$G,MATCH("Enterprise Plan Price ($/mo)",'1. Assumptions'!$B:$B,0))</f>
        <v>2601.5645118611137</v>
      </c>
      <c r="N63" s="124">
        <f>N17*INDEX('1. Assumptions'!$G:$G,MATCH("Starter Plan Price ($/mo)",'1. Assumptions'!$B:$B,0))+N18*INDEX('1. Assumptions'!$G:$G,MATCH("Growth Plan Price ($/mo)",'1. Assumptions'!$B:$B,0))+N19*INDEX('1. Assumptions'!$G:$G,MATCH("Enterprise Plan Price ($/mo)",'1. Assumptions'!$B:$B,0))</f>
        <v>2783.674027691392</v>
      </c>
      <c r="O63" s="124">
        <f>O17*INDEX('1. Assumptions'!$G:$G,MATCH("Starter Plan Price ($/mo)",'1. Assumptions'!$B:$B,0))+O18*INDEX('1. Assumptions'!$G:$G,MATCH("Growth Plan Price ($/mo)",'1. Assumptions'!$B:$B,0))+O19*INDEX('1. Assumptions'!$G:$G,MATCH("Enterprise Plan Price ($/mo)",'1. Assumptions'!$B:$B,0))</f>
        <v>2978.5312096297894</v>
      </c>
      <c r="P63" s="124">
        <f>P17*INDEX('1. Assumptions'!$G:$G,MATCH("Starter Plan Price ($/mo)",'1. Assumptions'!$B:$B,0))+P18*INDEX('1. Assumptions'!$G:$G,MATCH("Growth Plan Price ($/mo)",'1. Assumptions'!$B:$B,0))+P19*INDEX('1. Assumptions'!$G:$G,MATCH("Enterprise Plan Price ($/mo)",'1. Assumptions'!$B:$B,0))</f>
        <v>3187.0283943038744</v>
      </c>
      <c r="Q63" s="124">
        <f>Q17*INDEX('1. Assumptions'!$G:$G,MATCH("Starter Plan Price ($/mo)",'1. Assumptions'!$B:$B,0))+Q18*INDEX('1. Assumptions'!$G:$G,MATCH("Growth Plan Price ($/mo)",'1. Assumptions'!$B:$B,0))+Q19*INDEX('1. Assumptions'!$G:$G,MATCH("Enterprise Plan Price ($/mo)",'1. Assumptions'!$B:$B,0))</f>
        <v>3410.1203819051461</v>
      </c>
      <c r="R63" s="124">
        <f>R17*INDEX('1. Assumptions'!$G:$G,MATCH("Starter Plan Price ($/mo)",'1. Assumptions'!$B:$B,0))+R18*INDEX('1. Assumptions'!$G:$G,MATCH("Growth Plan Price ($/mo)",'1. Assumptions'!$B:$B,0))+R19*INDEX('1. Assumptions'!$G:$G,MATCH("Enterprise Plan Price ($/mo)",'1. Assumptions'!$B:$B,0))</f>
        <v>3648.8288086385064</v>
      </c>
      <c r="S63" s="124">
        <f>S17*INDEX('1. Assumptions'!$G:$G,MATCH("Starter Plan Price ($/mo)",'1. Assumptions'!$B:$B,0))+S18*INDEX('1. Assumptions'!$G:$G,MATCH("Growth Plan Price ($/mo)",'1. Assumptions'!$B:$B,0))+S19*INDEX('1. Assumptions'!$G:$G,MATCH("Enterprise Plan Price ($/mo)",'1. Assumptions'!$B:$B,0))</f>
        <v>3904.2468252432022</v>
      </c>
      <c r="T63" s="124">
        <f>T17*INDEX('1. Assumptions'!$G:$G,MATCH("Starter Plan Price ($/mo)",'1. Assumptions'!$B:$B,0))+T18*INDEX('1. Assumptions'!$G:$G,MATCH("Growth Plan Price ($/mo)",'1. Assumptions'!$B:$B,0))+T19*INDEX('1. Assumptions'!$G:$G,MATCH("Enterprise Plan Price ($/mo)",'1. Assumptions'!$B:$B,0))</f>
        <v>4177.5441030102265</v>
      </c>
      <c r="U63" s="124">
        <f>U17*INDEX('1. Assumptions'!$G:$G,MATCH("Starter Plan Price ($/mo)",'1. Assumptions'!$B:$B,0))+U18*INDEX('1. Assumptions'!$G:$G,MATCH("Growth Plan Price ($/mo)",'1. Assumptions'!$B:$B,0))+U19*INDEX('1. Assumptions'!$G:$G,MATCH("Enterprise Plan Price ($/mo)",'1. Assumptions'!$B:$B,0))</f>
        <v>4469.972190220943</v>
      </c>
      <c r="V63" s="124">
        <f>V17*INDEX('1. Assumptions'!$G:$G,MATCH("Starter Plan Price ($/mo)",'1. Assumptions'!$B:$B,0))+V18*INDEX('1. Assumptions'!$G:$G,MATCH("Growth Plan Price ($/mo)",'1. Assumptions'!$B:$B,0))+V19*INDEX('1. Assumptions'!$G:$G,MATCH("Enterprise Plan Price ($/mo)",'1. Assumptions'!$B:$B,0))</f>
        <v>4782.8702435364094</v>
      </c>
      <c r="W63" s="124">
        <f>W17*INDEX('1. Assumptions'!$G:$G,MATCH("Starter Plan Price ($/mo)",'1. Assumptions'!$B:$B,0))+W18*INDEX('1. Assumptions'!$G:$G,MATCH("Growth Plan Price ($/mo)",'1. Assumptions'!$B:$B,0))+W19*INDEX('1. Assumptions'!$G:$G,MATCH("Enterprise Plan Price ($/mo)",'1. Assumptions'!$B:$B,0))</f>
        <v>5117.6711605839582</v>
      </c>
      <c r="X63" s="124">
        <f>X17*INDEX('1. Assumptions'!$G:$G,MATCH("Starter Plan Price ($/mo)",'1. Assumptions'!$B:$B,0))+X18*INDEX('1. Assumptions'!$G:$G,MATCH("Growth Plan Price ($/mo)",'1. Assumptions'!$B:$B,0))+X19*INDEX('1. Assumptions'!$G:$G,MATCH("Enterprise Plan Price ($/mo)",'1. Assumptions'!$B:$B,0))</f>
        <v>5475.9081418248352</v>
      </c>
      <c r="Y63" s="124">
        <f>Y17*INDEX('1. Assumptions'!$G:$G,MATCH("Starter Plan Price ($/mo)",'1. Assumptions'!$B:$B,0))+Y18*INDEX('1. Assumptions'!$G:$G,MATCH("Growth Plan Price ($/mo)",'1. Assumptions'!$B:$B,0))+Y19*INDEX('1. Assumptions'!$G:$G,MATCH("Enterprise Plan Price ($/mo)",'1. Assumptions'!$B:$B,0))</f>
        <v>5859.2217117525743</v>
      </c>
      <c r="Z63" s="124">
        <f>Z17*INDEX('1. Assumptions'!$G:$G,MATCH("Starter Plan Price ($/mo)",'1. Assumptions'!$B:$B,0))+Z18*INDEX('1. Assumptions'!$G:$G,MATCH("Growth Plan Price ($/mo)",'1. Assumptions'!$B:$B,0))+Z19*INDEX('1. Assumptions'!$G:$G,MATCH("Enterprise Plan Price ($/mo)",'1. Assumptions'!$B:$B,0))</f>
        <v>6269.3672315752547</v>
      </c>
      <c r="AA63" s="124">
        <f>AA17*INDEX('1. Assumptions'!$G:$G,MATCH("Starter Plan Price ($/mo)",'1. Assumptions'!$B:$B,0))+AA18*INDEX('1. Assumptions'!$G:$G,MATCH("Growth Plan Price ($/mo)",'1. Assumptions'!$B:$B,0))+AA19*INDEX('1. Assumptions'!$G:$G,MATCH("Enterprise Plan Price ($/mo)",'1. Assumptions'!$B:$B,0))</f>
        <v>6708.2229377855238</v>
      </c>
    </row>
    <row r="64" spans="1:29" s="3" customFormat="1" ht="13.2">
      <c r="A64" s="110" t="s">
        <v>759</v>
      </c>
      <c r="B64" s="110" t="s">
        <v>762</v>
      </c>
      <c r="C64" s="110" t="s">
        <v>64</v>
      </c>
      <c r="D64" s="124">
        <f>D12*INDEX('1. Assumptions'!$G:$G,MATCH("Starter Plan Price ($/mo)",'1. Assumptions'!$B:$B,0))</f>
        <v>1568</v>
      </c>
      <c r="E64" s="124">
        <f>E12*INDEX('1. Assumptions'!$G:$G,MATCH("Starter Plan Price ($/mo)",'1. Assumptions'!$B:$B,0))</f>
        <v>1536.6399999999999</v>
      </c>
      <c r="F64" s="124">
        <f>F12*INDEX('1. Assumptions'!$G:$G,MATCH("Starter Plan Price ($/mo)",'1. Assumptions'!$B:$B,0))</f>
        <v>1543.5392000000002</v>
      </c>
      <c r="G64" s="124">
        <f>G12*INDEX('1. Assumptions'!$G:$G,MATCH("Starter Plan Price ($/mo)",'1. Assumptions'!$B:$B,0))</f>
        <v>1583.4165760000001</v>
      </c>
      <c r="H64" s="124">
        <f>H12*INDEX('1. Assumptions'!$G:$G,MATCH("Starter Plan Price ($/mo)",'1. Assumptions'!$B:$B,0))</f>
        <v>1652.4665292800003</v>
      </c>
      <c r="I64" s="124">
        <f>I12*INDEX('1. Assumptions'!$G:$G,MATCH("Starter Plan Price ($/mo)",'1. Assumptions'!$B:$B,0))</f>
        <v>1748.0656528384004</v>
      </c>
      <c r="J64" s="124">
        <f>J12*INDEX('1. Assumptions'!$G:$G,MATCH("Starter Plan Price ($/mo)",'1. Assumptions'!$B:$B,0))</f>
        <v>1868.5471452139527</v>
      </c>
      <c r="K64" s="124">
        <f>K12*INDEX('1. Assumptions'!$G:$G,MATCH("Starter Plan Price ($/mo)",'1. Assumptions'!$B:$B,0))</f>
        <v>2013.0283028668841</v>
      </c>
      <c r="L64" s="124">
        <f>L12*INDEX('1. Assumptions'!$G:$G,MATCH("Starter Plan Price ($/mo)",'1. Assumptions'!$B:$B,0))</f>
        <v>2181.2797587961704</v>
      </c>
      <c r="M64" s="124">
        <f>M12*INDEX('1. Assumptions'!$G:$G,MATCH("Starter Plan Price ($/mo)",'1. Assumptions'!$B:$B,0))</f>
        <v>2373.6276626770136</v>
      </c>
      <c r="N64" s="124">
        <f>N12*INDEX('1. Assumptions'!$G:$G,MATCH("Starter Plan Price ($/mo)",'1. Assumptions'!$B:$B,0))</f>
        <v>2590.8819727856717</v>
      </c>
      <c r="O64" s="124">
        <f>O12*INDEX('1. Assumptions'!$G:$G,MATCH("Starter Plan Price ($/mo)",'1. Assumptions'!$B:$B,0))</f>
        <v>2834.2855742601851</v>
      </c>
      <c r="P64" s="124">
        <f>P12*INDEX('1. Assumptions'!$G:$G,MATCH("Starter Plan Price ($/mo)",'1. Assumptions'!$B:$B,0))</f>
        <v>3105.4801469590416</v>
      </c>
      <c r="Q64" s="124">
        <f>Q12*INDEX('1. Assumptions'!$G:$G,MATCH("Starter Plan Price ($/mo)",'1. Assumptions'!$B:$B,0))</f>
        <v>3406.4856535677586</v>
      </c>
      <c r="R64" s="124">
        <f>R12*INDEX('1. Assumptions'!$G:$G,MATCH("Starter Plan Price ($/mo)",'1. Assumptions'!$B:$B,0))</f>
        <v>3739.6910626165291</v>
      </c>
      <c r="S64" s="124">
        <f>S12*INDEX('1. Assumptions'!$G:$G,MATCH("Starter Plan Price ($/mo)",'1. Assumptions'!$B:$B,0))</f>
        <v>4107.8545069579377</v>
      </c>
      <c r="T64" s="124">
        <f>T12*INDEX('1. Assumptions'!$G:$G,MATCH("Starter Plan Price ($/mo)",'1. Assumptions'!$B:$B,0))</f>
        <v>4514.1115413559419</v>
      </c>
      <c r="U64" s="124">
        <f>U12*INDEX('1. Assumptions'!$G:$G,MATCH("Starter Plan Price ($/mo)",'1. Assumptions'!$B:$B,0))</f>
        <v>4961.9905307792596</v>
      </c>
      <c r="V64" s="124">
        <f>V12*INDEX('1. Assumptions'!$G:$G,MATCH("Starter Plan Price ($/mo)",'1. Assumptions'!$B:$B,0))</f>
        <v>5455.4344953816089</v>
      </c>
      <c r="W64" s="124">
        <f>W12*INDEX('1. Assumptions'!$G:$G,MATCH("Starter Plan Price ($/mo)",'1. Assumptions'!$B:$B,0))</f>
        <v>5998.828975908822</v>
      </c>
      <c r="X64" s="124">
        <f>X12*INDEX('1. Assumptions'!$G:$G,MATCH("Starter Plan Price ($/mo)",'1. Assumptions'!$B:$B,0))</f>
        <v>6597.0356776711642</v>
      </c>
      <c r="Y64" s="124">
        <f>Y12*INDEX('1. Assumptions'!$G:$G,MATCH("Starter Plan Price ($/mo)",'1. Assumptions'!$B:$B,0))</f>
        <v>7255.4318126920198</v>
      </c>
      <c r="Z64" s="124">
        <f>Z12*INDEX('1. Assumptions'!$G:$G,MATCH("Starter Plan Price ($/mo)",'1. Assumptions'!$B:$B,0))</f>
        <v>7979.9551964191387</v>
      </c>
      <c r="AA64" s="124">
        <f>AA12*INDEX('1. Assumptions'!$G:$G,MATCH("Starter Plan Price ($/mo)",'1. Assumptions'!$B:$B,0))</f>
        <v>8777.1552739782273</v>
      </c>
    </row>
    <row r="65" spans="1:30" s="3" customFormat="1" ht="13.2">
      <c r="A65" s="110" t="s">
        <v>759</v>
      </c>
      <c r="B65" s="110" t="s">
        <v>763</v>
      </c>
      <c r="C65" s="110" t="s">
        <v>64</v>
      </c>
      <c r="D65" s="124">
        <f>D27*(INDEX('1. Assumptions'!$G:$G,MATCH("Growth Plan Price ($/mo)",'1. Assumptions'!$B:$B,0))-INDEX('1. Assumptions'!$G:$G,MATCH("Starter Plan Price ($/mo)",'1. Assumptions'!$B:$B,0)))+D35*(INDEX('1. Assumptions'!$G:$G,MATCH("Enterprise Plan Price ($/mo)",'1. Assumptions'!$B:$B,0))-INDEX('1. Assumptions'!$G:$G,MATCH("Growth Plan Price ($/mo)",'1. Assumptions'!$B:$B,0)))</f>
        <v>802.5</v>
      </c>
      <c r="E65" s="124">
        <f>E27*(INDEX('1. Assumptions'!$G:$G,MATCH("Growth Plan Price ($/mo)",'1. Assumptions'!$B:$B,0))-INDEX('1. Assumptions'!$G:$G,MATCH("Starter Plan Price ($/mo)",'1. Assumptions'!$B:$B,0)))+E35*(INDEX('1. Assumptions'!$G:$G,MATCH("Enterprise Plan Price ($/mo)",'1. Assumptions'!$B:$B,0))-INDEX('1. Assumptions'!$G:$G,MATCH("Growth Plan Price ($/mo)",'1. Assumptions'!$B:$B,0)))</f>
        <v>881.24375000000009</v>
      </c>
      <c r="F65" s="124">
        <f>F27*(INDEX('1. Assumptions'!$G:$G,MATCH("Growth Plan Price ($/mo)",'1. Assumptions'!$B:$B,0))-INDEX('1. Assumptions'!$G:$G,MATCH("Starter Plan Price ($/mo)",'1. Assumptions'!$B:$B,0)))+F35*(INDEX('1. Assumptions'!$G:$G,MATCH("Enterprise Plan Price ($/mo)",'1. Assumptions'!$B:$B,0))-INDEX('1. Assumptions'!$G:$G,MATCH("Growth Plan Price ($/mo)",'1. Assumptions'!$B:$B,0)))</f>
        <v>927.46954687499999</v>
      </c>
      <c r="G65" s="124">
        <f>G27*(INDEX('1. Assumptions'!$G:$G,MATCH("Growth Plan Price ($/mo)",'1. Assumptions'!$B:$B,0))-INDEX('1. Assumptions'!$G:$G,MATCH("Starter Plan Price ($/mo)",'1. Assumptions'!$B:$B,0)))+G35*(INDEX('1. Assumptions'!$G:$G,MATCH("Enterprise Plan Price ($/mo)",'1. Assumptions'!$B:$B,0))-INDEX('1. Assumptions'!$G:$G,MATCH("Growth Plan Price ($/mo)",'1. Assumptions'!$B:$B,0)))</f>
        <v>973.39628433593759</v>
      </c>
      <c r="H65" s="124">
        <f>H27*(INDEX('1. Assumptions'!$G:$G,MATCH("Growth Plan Price ($/mo)",'1. Assumptions'!$B:$B,0))-INDEX('1. Assumptions'!$G:$G,MATCH("Starter Plan Price ($/mo)",'1. Assumptions'!$B:$B,0)))+H35*(INDEX('1. Assumptions'!$G:$G,MATCH("Enterprise Plan Price ($/mo)",'1. Assumptions'!$B:$B,0))-INDEX('1. Assumptions'!$G:$G,MATCH("Growth Plan Price ($/mo)",'1. Assumptions'!$B:$B,0)))</f>
        <v>1020.5049600166992</v>
      </c>
      <c r="I65" s="124">
        <f>I27*(INDEX('1. Assumptions'!$G:$G,MATCH("Growth Plan Price ($/mo)",'1. Assumptions'!$B:$B,0))-INDEX('1. Assumptions'!$G:$G,MATCH("Starter Plan Price ($/mo)",'1. Assumptions'!$B:$B,0)))+I35*(INDEX('1. Assumptions'!$G:$G,MATCH("Enterprise Plan Price ($/mo)",'1. Assumptions'!$B:$B,0))-INDEX('1. Assumptions'!$G:$G,MATCH("Growth Plan Price ($/mo)",'1. Assumptions'!$B:$B,0)))</f>
        <v>1070.0564964812399</v>
      </c>
      <c r="J65" s="124">
        <f>J27*(INDEX('1. Assumptions'!$G:$G,MATCH("Growth Plan Price ($/mo)",'1. Assumptions'!$B:$B,0))-INDEX('1. Assumptions'!$G:$G,MATCH("Starter Plan Price ($/mo)",'1. Assumptions'!$B:$B,0)))+J35*(INDEX('1. Assumptions'!$G:$G,MATCH("Enterprise Plan Price ($/mo)",'1. Assumptions'!$B:$B,0))-INDEX('1. Assumptions'!$G:$G,MATCH("Growth Plan Price ($/mo)",'1. Assumptions'!$B:$B,0)))</f>
        <v>1123.1516411083558</v>
      </c>
      <c r="K65" s="124">
        <f>K27*(INDEX('1. Assumptions'!$G:$G,MATCH("Growth Plan Price ($/mo)",'1. Assumptions'!$B:$B,0))-INDEX('1. Assumptions'!$G:$G,MATCH("Starter Plan Price ($/mo)",'1. Assumptions'!$B:$B,0)))+K35*(INDEX('1. Assumptions'!$G:$G,MATCH("Enterprise Plan Price ($/mo)",'1. Assumptions'!$B:$B,0))-INDEX('1. Assumptions'!$G:$G,MATCH("Growth Plan Price ($/mo)",'1. Assumptions'!$B:$B,0)))</f>
        <v>1180.7787097852024</v>
      </c>
      <c r="L65" s="124">
        <f>L27*(INDEX('1. Assumptions'!$G:$G,MATCH("Growth Plan Price ($/mo)",'1. Assumptions'!$B:$B,0))-INDEX('1. Assumptions'!$G:$G,MATCH("Starter Plan Price ($/mo)",'1. Assumptions'!$B:$B,0)))+L35*(INDEX('1. Assumptions'!$G:$G,MATCH("Enterprise Plan Price ($/mo)",'1. Assumptions'!$B:$B,0))-INDEX('1. Assumptions'!$G:$G,MATCH("Growth Plan Price ($/mo)",'1. Assumptions'!$B:$B,0)))</f>
        <v>1243.8519530999833</v>
      </c>
      <c r="M65" s="124">
        <f>M27*(INDEX('1. Assumptions'!$G:$G,MATCH("Growth Plan Price ($/mo)",'1. Assumptions'!$B:$B,0))-INDEX('1. Assumptions'!$G:$G,MATCH("Starter Plan Price ($/mo)",'1. Assumptions'!$B:$B,0)))+M35*(INDEX('1. Assumptions'!$G:$G,MATCH("Enterprise Plan Price ($/mo)",'1. Assumptions'!$B:$B,0))-INDEX('1. Assumptions'!$G:$G,MATCH("Growth Plan Price ($/mo)",'1. Assumptions'!$B:$B,0)))</f>
        <v>1313.2427223461982</v>
      </c>
      <c r="N65" s="124">
        <f>N27*(INDEX('1. Assumptions'!$G:$G,MATCH("Growth Plan Price ($/mo)",'1. Assumptions'!$B:$B,0))-INDEX('1. Assumptions'!$G:$G,MATCH("Starter Plan Price ($/mo)",'1. Assumptions'!$B:$B,0)))+N35*(INDEX('1. Assumptions'!$G:$G,MATCH("Enterprise Plan Price ($/mo)",'1. Assumptions'!$B:$B,0))-INDEX('1. Assumptions'!$G:$G,MATCH("Growth Plan Price ($/mo)",'1. Assumptions'!$B:$B,0)))</f>
        <v>1389.8051445731169</v>
      </c>
      <c r="O65" s="124">
        <f>O27*(INDEX('1. Assumptions'!$G:$G,MATCH("Growth Plan Price ($/mo)",'1. Assumptions'!$B:$B,0))-INDEX('1. Assumptions'!$G:$G,MATCH("Starter Plan Price ($/mo)",'1. Assumptions'!$B:$B,0)))+O35*(INDEX('1. Assumptions'!$G:$G,MATCH("Enterprise Plan Price ($/mo)",'1. Assumptions'!$B:$B,0))-INDEX('1. Assumptions'!$G:$G,MATCH("Growth Plan Price ($/mo)",'1. Assumptions'!$B:$B,0)))</f>
        <v>1474.397651911263</v>
      </c>
      <c r="P65" s="124">
        <f>P27*(INDEX('1. Assumptions'!$G:$G,MATCH("Growth Plan Price ($/mo)",'1. Assumptions'!$B:$B,0))-INDEX('1. Assumptions'!$G:$G,MATCH("Starter Plan Price ($/mo)",'1. Assumptions'!$B:$B,0)))+P35*(INDEX('1. Assumptions'!$G:$G,MATCH("Enterprise Plan Price ($/mo)",'1. Assumptions'!$B:$B,0))-INDEX('1. Assumptions'!$G:$G,MATCH("Growth Plan Price ($/mo)",'1. Assumptions'!$B:$B,0)))</f>
        <v>1567.9014276793703</v>
      </c>
      <c r="Q65" s="124">
        <f>Q27*(INDEX('1. Assumptions'!$G:$G,MATCH("Growth Plan Price ($/mo)",'1. Assumptions'!$B:$B,0))-INDEX('1. Assumptions'!$G:$G,MATCH("Starter Plan Price ($/mo)",'1. Assumptions'!$B:$B,0)))+Q35*(INDEX('1. Assumptions'!$G:$G,MATCH("Enterprise Plan Price ($/mo)",'1. Assumptions'!$B:$B,0))-INDEX('1. Assumptions'!$G:$G,MATCH("Growth Plan Price ($/mo)",'1. Assumptions'!$B:$B,0)))</f>
        <v>1671.236612576168</v>
      </c>
      <c r="R65" s="124">
        <f>R27*(INDEX('1. Assumptions'!$G:$G,MATCH("Growth Plan Price ($/mo)",'1. Assumptions'!$B:$B,0))-INDEX('1. Assumptions'!$G:$G,MATCH("Starter Plan Price ($/mo)",'1. Assumptions'!$B:$B,0)))+R35*(INDEX('1. Assumptions'!$G:$G,MATCH("Enterprise Plan Price ($/mo)",'1. Assumptions'!$B:$B,0))-INDEX('1. Assumptions'!$G:$G,MATCH("Growth Plan Price ($/mo)",'1. Assumptions'!$B:$B,0)))</f>
        <v>1785.3769447322768</v>
      </c>
      <c r="S65" s="124">
        <f>S27*(INDEX('1. Assumptions'!$G:$G,MATCH("Growth Plan Price ($/mo)",'1. Assumptions'!$B:$B,0))-INDEX('1. Assumptions'!$G:$G,MATCH("Starter Plan Price ($/mo)",'1. Assumptions'!$B:$B,0)))+S35*(INDEX('1. Assumptions'!$G:$G,MATCH("Enterprise Plan Price ($/mo)",'1. Assumptions'!$B:$B,0))-INDEX('1. Assumptions'!$G:$G,MATCH("Growth Plan Price ($/mo)",'1. Assumptions'!$B:$B,0)))</f>
        <v>1911.363376758781</v>
      </c>
      <c r="T65" s="124">
        <f>T27*(INDEX('1. Assumptions'!$G:$G,MATCH("Growth Plan Price ($/mo)",'1. Assumptions'!$B:$B,0))-INDEX('1. Assumptions'!$G:$G,MATCH("Starter Plan Price ($/mo)",'1. Assumptions'!$B:$B,0)))+T35*(INDEX('1. Assumptions'!$G:$G,MATCH("Enterprise Plan Price ($/mo)",'1. Assumptions'!$B:$B,0))-INDEX('1. Assumptions'!$G:$G,MATCH("Growth Plan Price ($/mo)",'1. Assumptions'!$B:$B,0)))</f>
        <v>2050.3171127812448</v>
      </c>
      <c r="U65" s="124">
        <f>U27*(INDEX('1. Assumptions'!$G:$G,MATCH("Growth Plan Price ($/mo)",'1. Assumptions'!$B:$B,0))-INDEX('1. Assumptions'!$G:$G,MATCH("Starter Plan Price ($/mo)",'1. Assumptions'!$B:$B,0)))+U35*(INDEX('1. Assumptions'!$G:$G,MATCH("Enterprise Plan Price ($/mo)",'1. Assumptions'!$B:$B,0))-INDEX('1. Assumptions'!$G:$G,MATCH("Growth Plan Price ($/mo)",'1. Assumptions'!$B:$B,0)))</f>
        <v>2203.4524322558309</v>
      </c>
      <c r="V65" s="124">
        <f>V27*(INDEX('1. Assumptions'!$G:$G,MATCH("Growth Plan Price ($/mo)",'1. Assumptions'!$B:$B,0))-INDEX('1. Assumptions'!$G:$G,MATCH("Starter Plan Price ($/mo)",'1. Assumptions'!$B:$B,0)))+V35*(INDEX('1. Assumptions'!$G:$G,MATCH("Enterprise Plan Price ($/mo)",'1. Assumptions'!$B:$B,0))-INDEX('1. Assumptions'!$G:$G,MATCH("Growth Plan Price ($/mo)",'1. Assumptions'!$B:$B,0)))</f>
        <v>2372.0896100475879</v>
      </c>
      <c r="W65" s="124">
        <f>W27*(INDEX('1. Assumptions'!$G:$G,MATCH("Growth Plan Price ($/mo)",'1. Assumptions'!$B:$B,0))-INDEX('1. Assumptions'!$G:$G,MATCH("Starter Plan Price ($/mo)",'1. Assumptions'!$B:$B,0)))+W35*(INDEX('1. Assumptions'!$G:$G,MATCH("Enterprise Plan Price ($/mo)",'1. Assumptions'!$B:$B,0))-INDEX('1. Assumptions'!$G:$G,MATCH("Growth Plan Price ($/mo)",'1. Assumptions'!$B:$B,0)))</f>
        <v>2557.668199866268</v>
      </c>
      <c r="X65" s="124">
        <f>X27*(INDEX('1. Assumptions'!$G:$G,MATCH("Growth Plan Price ($/mo)",'1. Assumptions'!$B:$B,0))-INDEX('1. Assumptions'!$G:$G,MATCH("Starter Plan Price ($/mo)",'1. Assumptions'!$B:$B,0)))+X35*(INDEX('1. Assumptions'!$G:$G,MATCH("Enterprise Plan Price ($/mo)",'1. Assumptions'!$B:$B,0))-INDEX('1. Assumptions'!$G:$G,MATCH("Growth Plan Price ($/mo)",'1. Assumptions'!$B:$B,0)))</f>
        <v>2761.7609176469768</v>
      </c>
      <c r="Y65" s="124">
        <f>Y27*(INDEX('1. Assumptions'!$G:$G,MATCH("Growth Plan Price ($/mo)",'1. Assumptions'!$B:$B,0))-INDEX('1. Assumptions'!$G:$G,MATCH("Starter Plan Price ($/mo)",'1. Assumptions'!$B:$B,0)))+Y35*(INDEX('1. Assumptions'!$G:$G,MATCH("Enterprise Plan Price ($/mo)",'1. Assumptions'!$B:$B,0))-INDEX('1. Assumptions'!$G:$G,MATCH("Growth Plan Price ($/mo)",'1. Assumptions'!$B:$B,0)))</f>
        <v>2986.0883404714073</v>
      </c>
      <c r="Z65" s="124">
        <f>Z27*(INDEX('1. Assumptions'!$G:$G,MATCH("Growth Plan Price ($/mo)",'1. Assumptions'!$B:$B,0))-INDEX('1. Assumptions'!$G:$G,MATCH("Starter Plan Price ($/mo)",'1. Assumptions'!$B:$B,0)))+Z35*(INDEX('1. Assumptions'!$G:$G,MATCH("Enterprise Plan Price ($/mo)",'1. Assumptions'!$B:$B,0))-INDEX('1. Assumptions'!$G:$G,MATCH("Growth Plan Price ($/mo)",'1. Assumptions'!$B:$B,0)))</f>
        <v>3232.5346233345822</v>
      </c>
      <c r="AA65" s="124">
        <f>AA27*(INDEX('1. Assumptions'!$G:$G,MATCH("Growth Plan Price ($/mo)",'1. Assumptions'!$B:$B,0))-INDEX('1. Assumptions'!$G:$G,MATCH("Starter Plan Price ($/mo)",'1. Assumptions'!$B:$B,0)))+AA35*(INDEX('1. Assumptions'!$G:$G,MATCH("Enterprise Plan Price ($/mo)",'1. Assumptions'!$B:$B,0))-INDEX('1. Assumptions'!$G:$G,MATCH("Growth Plan Price ($/mo)",'1. Assumptions'!$B:$B,0)))</f>
        <v>3503.1644290832842</v>
      </c>
    </row>
    <row r="66" spans="1:30" s="3" customFormat="1" ht="13.2">
      <c r="A66" s="110" t="s">
        <v>759</v>
      </c>
      <c r="B66" s="110" t="s">
        <v>764</v>
      </c>
      <c r="C66" s="110" t="s">
        <v>64</v>
      </c>
      <c r="D66" s="124">
        <f>D28*INDEX('1. Assumptions'!$G:$G,MATCH("Starter Plan Price ($/mo)",'1. Assumptions'!$B:$B,0))+D36*INDEX('1. Assumptions'!$G:$G,MATCH("Growth Plan Price ($/mo)",'1. Assumptions'!$B:$B,0))+D43*INDEX('1. Assumptions'!$G:$G,MATCH("Enterprise Plan Price ($/mo)",'1. Assumptions'!$B:$B,0))</f>
        <v>0</v>
      </c>
      <c r="E66" s="124">
        <f>E28*INDEX('1. Assumptions'!$G:$G,MATCH("Starter Plan Price ($/mo)",'1. Assumptions'!$B:$B,0))+E36*INDEX('1. Assumptions'!$G:$G,MATCH("Growth Plan Price ($/mo)",'1. Assumptions'!$B:$B,0))+E43*INDEX('1. Assumptions'!$G:$G,MATCH("Enterprise Plan Price ($/mo)",'1. Assumptions'!$B:$B,0))</f>
        <v>1364.3397223170491</v>
      </c>
      <c r="F66" s="124">
        <f>F28*INDEX('1. Assumptions'!$G:$G,MATCH("Starter Plan Price ($/mo)",'1. Assumptions'!$B:$B,0))+F36*INDEX('1. Assumptions'!$G:$G,MATCH("Growth Plan Price ($/mo)",'1. Assumptions'!$B:$B,0))+F43*INDEX('1. Assumptions'!$G:$G,MATCH("Enterprise Plan Price ($/mo)",'1. Assumptions'!$B:$B,0))</f>
        <v>1428.4830680973334</v>
      </c>
      <c r="G66" s="124">
        <f>G28*INDEX('1. Assumptions'!$G:$G,MATCH("Starter Plan Price ($/mo)",'1. Assumptions'!$B:$B,0))+G36*INDEX('1. Assumptions'!$G:$G,MATCH("Growth Plan Price ($/mo)",'1. Assumptions'!$B:$B,0))+G43*INDEX('1. Assumptions'!$G:$G,MATCH("Enterprise Plan Price ($/mo)",'1. Assumptions'!$B:$B,0))</f>
        <v>1493.8123178350995</v>
      </c>
      <c r="H66" s="124">
        <f>H28*INDEX('1. Assumptions'!$G:$G,MATCH("Starter Plan Price ($/mo)",'1. Assumptions'!$B:$B,0))+H36*INDEX('1. Assumptions'!$G:$G,MATCH("Growth Plan Price ($/mo)",'1. Assumptions'!$B:$B,0))+H43*INDEX('1. Assumptions'!$G:$G,MATCH("Enterprise Plan Price ($/mo)",'1. Assumptions'!$B:$B,0))</f>
        <v>1561.7812017374872</v>
      </c>
      <c r="I66" s="124">
        <f>I28*INDEX('1. Assumptions'!$G:$G,MATCH("Starter Plan Price ($/mo)",'1. Assumptions'!$B:$B,0))+I36*INDEX('1. Assumptions'!$G:$G,MATCH("Growth Plan Price ($/mo)",'1. Assumptions'!$B:$B,0))+I43*INDEX('1. Assumptions'!$G:$G,MATCH("Enterprise Plan Price ($/mo)",'1. Assumptions'!$B:$B,0))</f>
        <v>1633.6705683617711</v>
      </c>
      <c r="J66" s="124">
        <f>J28*INDEX('1. Assumptions'!$G:$G,MATCH("Starter Plan Price ($/mo)",'1. Assumptions'!$B:$B,0))+J36*INDEX('1. Assumptions'!$G:$G,MATCH("Growth Plan Price ($/mo)",'1. Assumptions'!$B:$B,0))+J43*INDEX('1. Assumptions'!$G:$G,MATCH("Enterprise Plan Price ($/mo)",'1. Assumptions'!$B:$B,0))</f>
        <v>1718.6979679021019</v>
      </c>
      <c r="K66" s="124">
        <f>K28*INDEX('1. Assumptions'!$G:$G,MATCH("Starter Plan Price ($/mo)",'1. Assumptions'!$B:$B,0))+K36*INDEX('1. Assumptions'!$G:$G,MATCH("Growth Plan Price ($/mo)",'1. Assumptions'!$B:$B,0))+K43*INDEX('1. Assumptions'!$G:$G,MATCH("Enterprise Plan Price ($/mo)",'1. Assumptions'!$B:$B,0))</f>
        <v>1810.3419134860301</v>
      </c>
      <c r="L66" s="124">
        <f>L28*INDEX('1. Assumptions'!$G:$G,MATCH("Starter Plan Price ($/mo)",'1. Assumptions'!$B:$B,0))+L36*INDEX('1. Assumptions'!$G:$G,MATCH("Growth Plan Price ($/mo)",'1. Assumptions'!$B:$B,0))+L43*INDEX('1. Assumptions'!$G:$G,MATCH("Enterprise Plan Price ($/mo)",'1. Assumptions'!$B:$B,0))</f>
        <v>1909.6710922940249</v>
      </c>
      <c r="M66" s="124">
        <f>M28*INDEX('1. Assumptions'!$G:$G,MATCH("Starter Plan Price ($/mo)",'1. Assumptions'!$B:$B,0))+M36*INDEX('1. Assumptions'!$G:$G,MATCH("Growth Plan Price ($/mo)",'1. Assumptions'!$B:$B,0))+M43*INDEX('1. Assumptions'!$G:$G,MATCH("Enterprise Plan Price ($/mo)",'1. Assumptions'!$B:$B,0))</f>
        <v>2017.7393516036507</v>
      </c>
      <c r="N66" s="124">
        <f>N28*INDEX('1. Assumptions'!$G:$G,MATCH("Starter Plan Price ($/mo)",'1. Assumptions'!$B:$B,0))+N36*INDEX('1. Assumptions'!$G:$G,MATCH("Growth Plan Price ($/mo)",'1. Assumptions'!$B:$B,0))+N43*INDEX('1. Assumptions'!$G:$G,MATCH("Enterprise Plan Price ($/mo)",'1. Assumptions'!$B:$B,0))</f>
        <v>2135.6094924665554</v>
      </c>
      <c r="O66" s="124">
        <f>O28*INDEX('1. Assumptions'!$G:$G,MATCH("Starter Plan Price ($/mo)",'1. Assumptions'!$B:$B,0))+O36*INDEX('1. Assumptions'!$G:$G,MATCH("Growth Plan Price ($/mo)",'1. Assumptions'!$B:$B,0))+O43*INDEX('1. Assumptions'!$G:$G,MATCH("Enterprise Plan Price ($/mo)",'1. Assumptions'!$B:$B,0))</f>
        <v>2264.3737605865881</v>
      </c>
      <c r="P66" s="124">
        <f>P28*INDEX('1. Assumptions'!$G:$G,MATCH("Starter Plan Price ($/mo)",'1. Assumptions'!$B:$B,0))+P36*INDEX('1. Assumptions'!$G:$G,MATCH("Growth Plan Price ($/mo)",'1. Assumptions'!$B:$B,0))+P43*INDEX('1. Assumptions'!$G:$G,MATCH("Enterprise Plan Price ($/mo)",'1. Assumptions'!$B:$B,0))</f>
        <v>2405.1719459285896</v>
      </c>
      <c r="Q66" s="124">
        <f>Q28*INDEX('1. Assumptions'!$G:$G,MATCH("Starter Plan Price ($/mo)",'1. Assumptions'!$B:$B,0))+Q36*INDEX('1. Assumptions'!$G:$G,MATCH("Growth Plan Price ($/mo)",'1. Assumptions'!$B:$B,0))+Q43*INDEX('1. Assumptions'!$G:$G,MATCH("Enterprise Plan Price ($/mo)",'1. Assumptions'!$B:$B,0))</f>
        <v>2559.2078199716025</v>
      </c>
      <c r="R66" s="124">
        <f>R28*INDEX('1. Assumptions'!$G:$G,MATCH("Starter Plan Price ($/mo)",'1. Assumptions'!$B:$B,0))+R36*INDEX('1. Assumptions'!$G:$G,MATCH("Growth Plan Price ($/mo)",'1. Assumptions'!$B:$B,0))+R43*INDEX('1. Assumptions'!$G:$G,MATCH("Enterprise Plan Price ($/mo)",'1. Assumptions'!$B:$B,0))</f>
        <v>2727.764498831059</v>
      </c>
      <c r="S66" s="124">
        <f>S28*INDEX('1. Assumptions'!$G:$G,MATCH("Starter Plan Price ($/mo)",'1. Assumptions'!$B:$B,0))+S36*INDEX('1. Assumptions'!$G:$G,MATCH("Growth Plan Price ($/mo)",'1. Assumptions'!$B:$B,0))+S43*INDEX('1. Assumptions'!$G:$G,MATCH("Enterprise Plan Price ($/mo)",'1. Assumptions'!$B:$B,0))</f>
        <v>2912.2192126603068</v>
      </c>
      <c r="T66" s="124">
        <f>T28*INDEX('1. Assumptions'!$G:$G,MATCH("Starter Plan Price ($/mo)",'1. Assumptions'!$B:$B,0))+T36*INDEX('1. Assumptions'!$G:$G,MATCH("Growth Plan Price ($/mo)",'1. Assumptions'!$B:$B,0))+T43*INDEX('1. Assumptions'!$G:$G,MATCH("Enterprise Plan Price ($/mo)",'1. Assumptions'!$B:$B,0))</f>
        <v>3114.0578797595372</v>
      </c>
      <c r="U66" s="124">
        <f>U28*INDEX('1. Assumptions'!$G:$G,MATCH("Starter Plan Price ($/mo)",'1. Assumptions'!$B:$B,0))+U36*INDEX('1. Assumptions'!$G:$G,MATCH("Growth Plan Price ($/mo)",'1. Assumptions'!$B:$B,0))+U43*INDEX('1. Assumptions'!$G:$G,MATCH("Enterprise Plan Price ($/mo)",'1. Assumptions'!$B:$B,0))</f>
        <v>3334.8898221947798</v>
      </c>
      <c r="V66" s="124">
        <f>V28*INDEX('1. Assumptions'!$G:$G,MATCH("Starter Plan Price ($/mo)",'1. Assumptions'!$B:$B,0))+V36*INDEX('1. Assumptions'!$G:$G,MATCH("Growth Plan Price ($/mo)",'1. Assumptions'!$B:$B,0))+V43*INDEX('1. Assumptions'!$G:$G,MATCH("Enterprise Plan Price ($/mo)",'1. Assumptions'!$B:$B,0))</f>
        <v>3576.4629142113054</v>
      </c>
      <c r="W66" s="124">
        <f>W28*INDEX('1. Assumptions'!$G:$G,MATCH("Starter Plan Price ($/mo)",'1. Assumptions'!$B:$B,0))+W36*INDEX('1. Assumptions'!$G:$G,MATCH("Growth Plan Price ($/mo)",'1. Assumptions'!$B:$B,0))+W43*INDEX('1. Assumptions'!$G:$G,MATCH("Enterprise Plan Price ($/mo)",'1. Assumptions'!$B:$B,0))</f>
        <v>3840.6794220222091</v>
      </c>
      <c r="X66" s="124">
        <f>X28*INDEX('1. Assumptions'!$G:$G,MATCH("Starter Plan Price ($/mo)",'1. Assumptions'!$B:$B,0))+X36*INDEX('1. Assumptions'!$G:$G,MATCH("Growth Plan Price ($/mo)",'1. Assumptions'!$B:$B,0))+X43*INDEX('1. Assumptions'!$G:$G,MATCH("Enterprise Plan Price ($/mo)",'1. Assumptions'!$B:$B,0))</f>
        <v>4129.6127711210383</v>
      </c>
      <c r="Y66" s="124">
        <f>Y28*INDEX('1. Assumptions'!$G:$G,MATCH("Starter Plan Price ($/mo)",'1. Assumptions'!$B:$B,0))+Y36*INDEX('1. Assumptions'!$G:$G,MATCH("Growth Plan Price ($/mo)",'1. Assumptions'!$B:$B,0))+Y43*INDEX('1. Assumptions'!$G:$G,MATCH("Enterprise Plan Price ($/mo)",'1. Assumptions'!$B:$B,0))</f>
        <v>4445.5254631507514</v>
      </c>
      <c r="Z66" s="124">
        <f>Z28*INDEX('1. Assumptions'!$G:$G,MATCH("Starter Plan Price ($/mo)",'1. Assumptions'!$B:$B,0))+Z36*INDEX('1. Assumptions'!$G:$G,MATCH("Growth Plan Price ($/mo)",'1. Assumptions'!$B:$B,0))+Z43*INDEX('1. Assumptions'!$G:$G,MATCH("Enterprise Plan Price ($/mo)",'1. Assumptions'!$B:$B,0))</f>
        <v>4790.8883570642392</v>
      </c>
      <c r="AA66" s="124">
        <f>AA28*INDEX('1. Assumptions'!$G:$G,MATCH("Starter Plan Price ($/mo)",'1. Assumptions'!$B:$B,0))+AA36*INDEX('1. Assumptions'!$G:$G,MATCH("Growth Plan Price ($/mo)",'1. Assumptions'!$B:$B,0))+AA43*INDEX('1. Assumptions'!$G:$G,MATCH("Enterprise Plan Price ($/mo)",'1. Assumptions'!$B:$B,0))</f>
        <v>5168.4015277003136</v>
      </c>
    </row>
    <row r="67" spans="1:30" s="3" customFormat="1" ht="13.2">
      <c r="A67" s="110" t="s">
        <v>759</v>
      </c>
      <c r="B67" s="110" t="s">
        <v>755</v>
      </c>
      <c r="C67" s="110" t="s">
        <v>64</v>
      </c>
      <c r="D67" s="124">
        <f>D62*INDEX('1. Assumptions'!$G:$G,MATCH("Contraction MRR Rate (monthly)",'1. Assumptions'!$B:$B,0))</f>
        <v>415.2</v>
      </c>
      <c r="E67" s="124">
        <f>E62*INDEX('1. Assumptions'!$G:$G,MATCH("Contraction MRR Rate (monthly)",'1. Assumptions'!$B:$B,0))</f>
        <v>444.63300000000004</v>
      </c>
      <c r="F67" s="124">
        <f>F62*INDEX('1. Assumptions'!$G:$G,MATCH("Contraction MRR Rate (monthly)",'1. Assumptions'!$B:$B,0))</f>
        <v>461.29371027682959</v>
      </c>
      <c r="G67" s="124">
        <f>G62*INDEX('1. Assumptions'!$G:$G,MATCH("Contraction MRR Rate (monthly)",'1. Assumptions'!$B:$B,0))</f>
        <v>478.417641961838</v>
      </c>
      <c r="H67" s="124">
        <f>H62*INDEX('1. Assumptions'!$G:$G,MATCH("Contraction MRR Rate (monthly)",'1. Assumptions'!$B:$B,0))</f>
        <v>496.3668958072281</v>
      </c>
      <c r="I67" s="124">
        <f>I62*INDEX('1. Assumptions'!$G:$G,MATCH("Contraction MRR Rate (monthly)",'1. Assumptions'!$B:$B,0))</f>
        <v>515.4657943035478</v>
      </c>
      <c r="J67" s="124">
        <f>J62*INDEX('1. Assumptions'!$G:$G,MATCH("Contraction MRR Rate (monthly)",'1. Assumptions'!$B:$B,0))</f>
        <v>542.00286326940693</v>
      </c>
      <c r="K67" s="124">
        <f>K62*INDEX('1. Assumptions'!$G:$G,MATCH("Contraction MRR Rate (monthly)",'1. Assumptions'!$B:$B,0))</f>
        <v>570.54935869718304</v>
      </c>
      <c r="L67" s="124">
        <f>L62*INDEX('1. Assumptions'!$G:$G,MATCH("Contraction MRR Rate (monthly)",'1. Assumptions'!$B:$B,0))</f>
        <v>601.40158808947865</v>
      </c>
      <c r="M67" s="124">
        <f>M62*INDEX('1. Assumptions'!$G:$G,MATCH("Contraction MRR Rate (monthly)",'1. Assumptions'!$B:$B,0))</f>
        <v>634.85586543134457</v>
      </c>
      <c r="N67" s="124">
        <f>N62*INDEX('1. Assumptions'!$G:$G,MATCH("Contraction MRR Rate (monthly)",'1. Assumptions'!$B:$B,0))</f>
        <v>671.21426222983791</v>
      </c>
      <c r="O67" s="124">
        <f>O62*INDEX('1. Assumptions'!$G:$G,MATCH("Contraction MRR Rate (monthly)",'1. Assumptions'!$B:$B,0))</f>
        <v>710.78963613337578</v>
      </c>
      <c r="P67" s="124">
        <f>P62*INDEX('1. Assumptions'!$G:$G,MATCH("Contraction MRR Rate (monthly)",'1. Assumptions'!$B:$B,0))</f>
        <v>753.91014652418846</v>
      </c>
      <c r="Q67" s="124">
        <f>Q62*INDEX('1. Assumptions'!$G:$G,MATCH("Contraction MRR Rate (monthly)",'1. Assumptions'!$B:$B,0))</f>
        <v>800.92342528908375</v>
      </c>
      <c r="R67" s="124">
        <f>R62*INDEX('1. Assumptions'!$G:$G,MATCH("Contraction MRR Rate (monthly)",'1. Assumptions'!$B:$B,0))</f>
        <v>852.20053931696737</v>
      </c>
      <c r="S67" s="124">
        <f>S62*INDEX('1. Assumptions'!$G:$G,MATCH("Contraction MRR Rate (monthly)",'1. Assumptions'!$B:$B,0))</f>
        <v>908.13985709536007</v>
      </c>
      <c r="T67" s="124">
        <f>T62*INDEX('1. Assumptions'!$G:$G,MATCH("Contraction MRR Rate (monthly)",'1. Assumptions'!$B:$B,0))</f>
        <v>969.17091348740257</v>
      </c>
      <c r="U67" s="124">
        <f>U62*INDEX('1. Assumptions'!$G:$G,MATCH("Contraction MRR Rate (monthly)",'1. Assumptions'!$B:$B,0))</f>
        <v>1035.7583531264074</v>
      </c>
      <c r="V67" s="124">
        <f>V62*INDEX('1. Assumptions'!$G:$G,MATCH("Contraction MRR Rate (monthly)",'1. Assumptions'!$B:$B,0))</f>
        <v>1108.4060229057559</v>
      </c>
      <c r="W67" s="124">
        <f>W62*INDEX('1. Assumptions'!$G:$G,MATCH("Contraction MRR Rate (monthly)",'1. Assumptions'!$B:$B,0))</f>
        <v>1187.6612770242414</v>
      </c>
      <c r="X67" s="124">
        <f>X62*INDEX('1. Assumptions'!$G:$G,MATCH("Contraction MRR Rate (monthly)",'1. Assumptions'!$B:$B,0))</f>
        <v>1274.1195533973671</v>
      </c>
      <c r="Y67" s="124">
        <f>Y62*INDEX('1. Assumptions'!$G:$G,MATCH("Contraction MRR Rate (monthly)",'1. Assumptions'!$B:$B,0))</f>
        <v>1368.4292775236129</v>
      </c>
      <c r="Z67" s="124">
        <f>Z62*INDEX('1. Assumptions'!$G:$G,MATCH("Contraction MRR Rate (monthly)",'1. Assumptions'!$B:$B,0))</f>
        <v>1471.2971487660293</v>
      </c>
      <c r="AA67" s="124">
        <f>AA62*INDEX('1. Assumptions'!$G:$G,MATCH("Contraction MRR Rate (monthly)",'1. Assumptions'!$B:$B,0))</f>
        <v>1583.4938642210163</v>
      </c>
    </row>
    <row r="68" spans="1:30" s="3" customFormat="1" ht="26.4">
      <c r="A68" s="110" t="s">
        <v>759</v>
      </c>
      <c r="B68" s="110" t="s">
        <v>765</v>
      </c>
      <c r="C68" s="110" t="s">
        <v>64</v>
      </c>
      <c r="D68" s="126">
        <f t="shared" ref="D68:AA68" si="25">D62+D63+D64+D65-D66-D67</f>
        <v>44463.3</v>
      </c>
      <c r="E68" s="125">
        <f t="shared" si="25"/>
        <v>46129.371027682959</v>
      </c>
      <c r="F68" s="125">
        <f t="shared" si="25"/>
        <v>47841.764196183802</v>
      </c>
      <c r="G68" s="125">
        <f t="shared" si="25"/>
        <v>49636.689580722807</v>
      </c>
      <c r="H68" s="125">
        <f t="shared" si="25"/>
        <v>51546.579430354781</v>
      </c>
      <c r="I68" s="125">
        <f t="shared" si="25"/>
        <v>54200.286326940695</v>
      </c>
      <c r="J68" s="125">
        <f t="shared" si="25"/>
        <v>57054.935869718305</v>
      </c>
      <c r="K68" s="125">
        <f t="shared" si="25"/>
        <v>60140.158808947868</v>
      </c>
      <c r="L68" s="125">
        <f t="shared" si="25"/>
        <v>63485.58654313445</v>
      </c>
      <c r="M68" s="125">
        <f t="shared" si="25"/>
        <v>67121.426222983791</v>
      </c>
      <c r="N68" s="125">
        <f t="shared" si="25"/>
        <v>71078.963613337575</v>
      </c>
      <c r="O68" s="125">
        <f t="shared" si="25"/>
        <v>75391.014652418846</v>
      </c>
      <c r="P68" s="125">
        <f t="shared" si="25"/>
        <v>80092.342528908368</v>
      </c>
      <c r="Q68" s="125">
        <f t="shared" si="25"/>
        <v>85220.053931696733</v>
      </c>
      <c r="R68" s="125">
        <f t="shared" si="25"/>
        <v>90813.985709536006</v>
      </c>
      <c r="S68" s="125">
        <f t="shared" si="25"/>
        <v>96917.091348740258</v>
      </c>
      <c r="T68" s="125">
        <f t="shared" si="25"/>
        <v>103575.83531264073</v>
      </c>
      <c r="U68" s="125">
        <f t="shared" si="25"/>
        <v>110840.60229057558</v>
      </c>
      <c r="V68" s="125">
        <f t="shared" si="25"/>
        <v>118766.12770242413</v>
      </c>
      <c r="W68" s="125">
        <f t="shared" si="25"/>
        <v>127411.95533973671</v>
      </c>
      <c r="X68" s="125">
        <f t="shared" si="25"/>
        <v>136842.92775236128</v>
      </c>
      <c r="Y68" s="125">
        <f t="shared" si="25"/>
        <v>147129.71487660293</v>
      </c>
      <c r="Z68" s="125">
        <f t="shared" si="25"/>
        <v>158349.38642210164</v>
      </c>
      <c r="AA68" s="125">
        <f t="shared" si="25"/>
        <v>170586.03367102737</v>
      </c>
    </row>
    <row r="69" spans="1:30" s="3" customFormat="1" ht="13.2">
      <c r="A69" s="110" t="s">
        <v>759</v>
      </c>
      <c r="B69" s="110" t="s">
        <v>766</v>
      </c>
      <c r="C69" s="127" t="s">
        <v>64</v>
      </c>
      <c r="D69" s="128">
        <f t="shared" ref="D69:AA69" si="26">D68-D59</f>
        <v>0</v>
      </c>
      <c r="E69" s="128">
        <f t="shared" si="26"/>
        <v>0</v>
      </c>
      <c r="F69" s="128">
        <f t="shared" si="26"/>
        <v>0</v>
      </c>
      <c r="G69" s="128">
        <f t="shared" si="26"/>
        <v>0</v>
      </c>
      <c r="H69" s="128">
        <f t="shared" si="26"/>
        <v>0</v>
      </c>
      <c r="I69" s="128">
        <f t="shared" si="26"/>
        <v>0</v>
      </c>
      <c r="J69" s="128">
        <f t="shared" si="26"/>
        <v>0</v>
      </c>
      <c r="K69" s="128">
        <f t="shared" si="26"/>
        <v>0</v>
      </c>
      <c r="L69" s="128">
        <f t="shared" si="26"/>
        <v>0</v>
      </c>
      <c r="M69" s="128">
        <f t="shared" si="26"/>
        <v>0</v>
      </c>
      <c r="N69" s="128">
        <f t="shared" si="26"/>
        <v>0</v>
      </c>
      <c r="O69" s="128">
        <f t="shared" si="26"/>
        <v>0</v>
      </c>
      <c r="P69" s="128">
        <f t="shared" si="26"/>
        <v>0</v>
      </c>
      <c r="Q69" s="128">
        <f t="shared" si="26"/>
        <v>0</v>
      </c>
      <c r="R69" s="128">
        <f t="shared" si="26"/>
        <v>0</v>
      </c>
      <c r="S69" s="128">
        <f t="shared" si="26"/>
        <v>0</v>
      </c>
      <c r="T69" s="128">
        <f t="shared" si="26"/>
        <v>0</v>
      </c>
      <c r="U69" s="128">
        <f t="shared" si="26"/>
        <v>0</v>
      </c>
      <c r="V69" s="128">
        <f t="shared" si="26"/>
        <v>0</v>
      </c>
      <c r="W69" s="128">
        <f t="shared" si="26"/>
        <v>0</v>
      </c>
      <c r="X69" s="128">
        <f t="shared" si="26"/>
        <v>0</v>
      </c>
      <c r="Y69" s="128">
        <f t="shared" si="26"/>
        <v>0</v>
      </c>
      <c r="Z69" s="128">
        <f t="shared" si="26"/>
        <v>0</v>
      </c>
      <c r="AA69" s="128">
        <f t="shared" si="26"/>
        <v>0</v>
      </c>
      <c r="AC69" s="129" t="s">
        <v>767</v>
      </c>
      <c r="AD69" s="130" t="str">
        <f>IF(ABS(D69)&gt;1,"ERROR","OK")</f>
        <v>OK</v>
      </c>
    </row>
    <row r="70" spans="1:30" s="3" customFormat="1" ht="13.2">
      <c r="A70" s="115"/>
      <c r="B70" s="115"/>
      <c r="C70" s="115"/>
      <c r="D70" s="131"/>
      <c r="E70" s="132"/>
    </row>
    <row r="71" spans="1:30" s="106" customFormat="1" ht="15" customHeight="1">
      <c r="A71" s="105" t="s">
        <v>768</v>
      </c>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row>
    <row r="72" spans="1:30" s="3" customFormat="1" ht="13.2">
      <c r="A72" s="110" t="s">
        <v>144</v>
      </c>
      <c r="B72" s="110" t="s">
        <v>769</v>
      </c>
      <c r="C72" s="110" t="s">
        <v>120</v>
      </c>
      <c r="D72" s="116" t="str">
        <f>IF(D5&gt;=INDEX('1. Assumptions'!$G:$G,MATCH("AI Usage Revenue Start Month",'1. Assumptions'!$B:$B,0)),"Yes","No")</f>
        <v>No</v>
      </c>
      <c r="E72" s="116" t="str">
        <f>IF(E5&gt;=INDEX('1. Assumptions'!$G:$G,MATCH("AI Usage Revenue Start Month",'1. Assumptions'!$B:$B,0)),"Yes","No")</f>
        <v>No</v>
      </c>
      <c r="F72" s="116" t="str">
        <f>IF(F5&gt;=INDEX('1. Assumptions'!$G:$G,MATCH("AI Usage Revenue Start Month",'1. Assumptions'!$B:$B,0)),"Yes","No")</f>
        <v>No</v>
      </c>
      <c r="G72" s="116" t="str">
        <f>IF(G5&gt;=INDEX('1. Assumptions'!$G:$G,MATCH("AI Usage Revenue Start Month",'1. Assumptions'!$B:$B,0)),"Yes","No")</f>
        <v>No</v>
      </c>
      <c r="H72" s="116" t="str">
        <f>IF(H5&gt;=INDEX('1. Assumptions'!$G:$G,MATCH("AI Usage Revenue Start Month",'1. Assumptions'!$B:$B,0)),"Yes","No")</f>
        <v>No</v>
      </c>
      <c r="I72" s="116" t="str">
        <f>IF(I5&gt;=INDEX('1. Assumptions'!$G:$G,MATCH("AI Usage Revenue Start Month",'1. Assumptions'!$B:$B,0)),"Yes","No")</f>
        <v>No</v>
      </c>
      <c r="J72" s="116" t="str">
        <f>IF(J5&gt;=INDEX('1. Assumptions'!$G:$G,MATCH("AI Usage Revenue Start Month",'1. Assumptions'!$B:$B,0)),"Yes","No")</f>
        <v>No</v>
      </c>
      <c r="K72" s="116" t="str">
        <f>IF(K5&gt;=INDEX('1. Assumptions'!$G:$G,MATCH("AI Usage Revenue Start Month",'1. Assumptions'!$B:$B,0)),"Yes","No")</f>
        <v>No</v>
      </c>
      <c r="L72" s="116" t="str">
        <f>IF(L5&gt;=INDEX('1. Assumptions'!$G:$G,MATCH("AI Usage Revenue Start Month",'1. Assumptions'!$B:$B,0)),"Yes","No")</f>
        <v>No</v>
      </c>
      <c r="M72" s="116" t="str">
        <f>IF(M5&gt;=INDEX('1. Assumptions'!$G:$G,MATCH("AI Usage Revenue Start Month",'1. Assumptions'!$B:$B,0)),"Yes","No")</f>
        <v>Yes</v>
      </c>
      <c r="N72" s="116" t="str">
        <f>IF(N5&gt;=INDEX('1. Assumptions'!$G:$G,MATCH("AI Usage Revenue Start Month",'1. Assumptions'!$B:$B,0)),"Yes","No")</f>
        <v>Yes</v>
      </c>
      <c r="O72" s="116" t="str">
        <f>IF(O5&gt;=INDEX('1. Assumptions'!$G:$G,MATCH("AI Usage Revenue Start Month",'1. Assumptions'!$B:$B,0)),"Yes","No")</f>
        <v>Yes</v>
      </c>
      <c r="P72" s="116" t="str">
        <f>IF(P5&gt;=INDEX('1. Assumptions'!$G:$G,MATCH("AI Usage Revenue Start Month",'1. Assumptions'!$B:$B,0)),"Yes","No")</f>
        <v>Yes</v>
      </c>
      <c r="Q72" s="116" t="str">
        <f>IF(Q5&gt;=INDEX('1. Assumptions'!$G:$G,MATCH("AI Usage Revenue Start Month",'1. Assumptions'!$B:$B,0)),"Yes","No")</f>
        <v>Yes</v>
      </c>
      <c r="R72" s="116" t="str">
        <f>IF(R5&gt;=INDEX('1. Assumptions'!$G:$G,MATCH("AI Usage Revenue Start Month",'1. Assumptions'!$B:$B,0)),"Yes","No")</f>
        <v>Yes</v>
      </c>
      <c r="S72" s="116" t="str">
        <f>IF(S5&gt;=INDEX('1. Assumptions'!$G:$G,MATCH("AI Usage Revenue Start Month",'1. Assumptions'!$B:$B,0)),"Yes","No")</f>
        <v>Yes</v>
      </c>
      <c r="T72" s="116" t="str">
        <f>IF(T5&gt;=INDEX('1. Assumptions'!$G:$G,MATCH("AI Usage Revenue Start Month",'1. Assumptions'!$B:$B,0)),"Yes","No")</f>
        <v>Yes</v>
      </c>
      <c r="U72" s="116" t="str">
        <f>IF(U5&gt;=INDEX('1. Assumptions'!$G:$G,MATCH("AI Usage Revenue Start Month",'1. Assumptions'!$B:$B,0)),"Yes","No")</f>
        <v>Yes</v>
      </c>
      <c r="V72" s="116" t="str">
        <f>IF(V5&gt;=INDEX('1. Assumptions'!$G:$G,MATCH("AI Usage Revenue Start Month",'1. Assumptions'!$B:$B,0)),"Yes","No")</f>
        <v>Yes</v>
      </c>
      <c r="W72" s="116" t="str">
        <f>IF(W5&gt;=INDEX('1. Assumptions'!$G:$G,MATCH("AI Usage Revenue Start Month",'1. Assumptions'!$B:$B,0)),"Yes","No")</f>
        <v>Yes</v>
      </c>
      <c r="X72" s="116" t="str">
        <f>IF(X5&gt;=INDEX('1. Assumptions'!$G:$G,MATCH("AI Usage Revenue Start Month",'1. Assumptions'!$B:$B,0)),"Yes","No")</f>
        <v>Yes</v>
      </c>
      <c r="Y72" s="116" t="str">
        <f>IF(Y5&gt;=INDEX('1. Assumptions'!$G:$G,MATCH("AI Usage Revenue Start Month",'1. Assumptions'!$B:$B,0)),"Yes","No")</f>
        <v>Yes</v>
      </c>
      <c r="Z72" s="116" t="str">
        <f>IF(Z5&gt;=INDEX('1. Assumptions'!$G:$G,MATCH("AI Usage Revenue Start Month",'1. Assumptions'!$B:$B,0)),"Yes","No")</f>
        <v>Yes</v>
      </c>
      <c r="AA72" s="116" t="str">
        <f>IF(AA5&gt;=INDEX('1. Assumptions'!$G:$G,MATCH("AI Usage Revenue Start Month",'1. Assumptions'!$B:$B,0)),"Yes","No")</f>
        <v>Yes</v>
      </c>
    </row>
    <row r="73" spans="1:30" s="3" customFormat="1" ht="13.2">
      <c r="A73" s="110" t="s">
        <v>144</v>
      </c>
      <c r="B73" s="110" t="s">
        <v>770</v>
      </c>
      <c r="C73" s="110" t="s">
        <v>79</v>
      </c>
      <c r="D73" s="116">
        <f t="shared" ref="D73:AA73" si="27">D50</f>
        <v>524</v>
      </c>
      <c r="E73" s="116">
        <f t="shared" si="27"/>
        <v>550.09519662384469</v>
      </c>
      <c r="F73" s="116">
        <f t="shared" si="27"/>
        <v>576.28481576099432</v>
      </c>
      <c r="G73" s="116">
        <f t="shared" si="27"/>
        <v>603.30932210290678</v>
      </c>
      <c r="H73" s="116">
        <f t="shared" si="27"/>
        <v>631.80628983455199</v>
      </c>
      <c r="I73" s="116">
        <f t="shared" si="27"/>
        <v>663.33919813093905</v>
      </c>
      <c r="J73" s="116">
        <f t="shared" si="27"/>
        <v>697.47700076684498</v>
      </c>
      <c r="K73" s="116">
        <f t="shared" si="27"/>
        <v>734.7037431358591</v>
      </c>
      <c r="L73" s="116">
        <f t="shared" si="27"/>
        <v>775.48642415486745</v>
      </c>
      <c r="M73" s="116">
        <f t="shared" si="27"/>
        <v>820.28759124899625</v>
      </c>
      <c r="N73" s="116">
        <f t="shared" si="27"/>
        <v>869.57598943687765</v>
      </c>
      <c r="O73" s="116">
        <f t="shared" si="27"/>
        <v>923.83577383415661</v>
      </c>
      <c r="P73" s="116">
        <f t="shared" si="27"/>
        <v>983.57469070987759</v>
      </c>
      <c r="Q73" s="116">
        <f t="shared" si="27"/>
        <v>1049.3315517459782</v>
      </c>
      <c r="R73" s="116">
        <f t="shared" si="27"/>
        <v>1121.683264227516</v>
      </c>
      <c r="S73" s="116">
        <f t="shared" si="27"/>
        <v>1201.2516325312058</v>
      </c>
      <c r="T73" s="116">
        <f t="shared" si="27"/>
        <v>1288.710110371291</v>
      </c>
      <c r="U73" s="116">
        <f t="shared" si="27"/>
        <v>1384.79065638732</v>
      </c>
      <c r="V73" s="116">
        <f t="shared" si="27"/>
        <v>1490.2908259425913</v>
      </c>
      <c r="W73" s="116">
        <f t="shared" si="27"/>
        <v>1606.0812179931745</v>
      </c>
      <c r="X73" s="116">
        <f t="shared" si="27"/>
        <v>1733.1133864654221</v>
      </c>
      <c r="Y73" s="116">
        <f t="shared" si="27"/>
        <v>1872.4283198845144</v>
      </c>
      <c r="Z73" s="116">
        <f t="shared" si="27"/>
        <v>2025.1655903717387</v>
      </c>
      <c r="AA73" s="116">
        <f t="shared" si="27"/>
        <v>2192.5732730782888</v>
      </c>
    </row>
    <row r="74" spans="1:30" s="3" customFormat="1" ht="26.4">
      <c r="A74" s="110" t="s">
        <v>144</v>
      </c>
      <c r="B74" s="110" t="s">
        <v>771</v>
      </c>
      <c r="C74" s="110" t="s">
        <v>173</v>
      </c>
      <c r="D74" s="133">
        <f>IF(D5&lt;INDEX('1. Assumptions'!$G:$G,MATCH("AI Usage Revenue Start Month",'1. Assumptions'!$B:$B,0)),0,INDEX('1. Assumptions'!$G:$G,MATCH("% Customers Exceeding Query Limit ; M24",'1. Assumptions'!$B:$B,0))*(D5-INDEX('1. Assumptions'!$G:$G,MATCH("AI Usage Revenue Start Month",'1. Assumptions'!$B:$B,0))+1)/('3. Revenue Model'!$AA$5-INDEX('1. Assumptions'!$G:$G,MATCH("AI Usage Revenue Start Month",'1. Assumptions'!$B:$B,0))+1))</f>
        <v>0</v>
      </c>
      <c r="E74" s="133">
        <f>IF(E5&lt;INDEX('1. Assumptions'!$G:$G,MATCH("AI Usage Revenue Start Month",'1. Assumptions'!$B:$B,0)),0,INDEX('1. Assumptions'!$G:$G,MATCH("% Customers Exceeding Query Limit ; M24",'1. Assumptions'!$B:$B,0))*(E5-INDEX('1. Assumptions'!$G:$G,MATCH("AI Usage Revenue Start Month",'1. Assumptions'!$B:$B,0))+1)/('3. Revenue Model'!$AA$5-INDEX('1. Assumptions'!$G:$G,MATCH("AI Usage Revenue Start Month",'1. Assumptions'!$B:$B,0))+1))</f>
        <v>0</v>
      </c>
      <c r="F74" s="133">
        <f>IF(F5&lt;INDEX('1. Assumptions'!$G:$G,MATCH("AI Usage Revenue Start Month",'1. Assumptions'!$B:$B,0)),0,INDEX('1. Assumptions'!$G:$G,MATCH("% Customers Exceeding Query Limit ; M24",'1. Assumptions'!$B:$B,0))*(F5-INDEX('1. Assumptions'!$G:$G,MATCH("AI Usage Revenue Start Month",'1. Assumptions'!$B:$B,0))+1)/('3. Revenue Model'!$AA$5-INDEX('1. Assumptions'!$G:$G,MATCH("AI Usage Revenue Start Month",'1. Assumptions'!$B:$B,0))+1))</f>
        <v>0</v>
      </c>
      <c r="G74" s="133">
        <f>IF(G5&lt;INDEX('1. Assumptions'!$G:$G,MATCH("AI Usage Revenue Start Month",'1. Assumptions'!$B:$B,0)),0,INDEX('1. Assumptions'!$G:$G,MATCH("% Customers Exceeding Query Limit ; M24",'1. Assumptions'!$B:$B,0))*(G5-INDEX('1. Assumptions'!$G:$G,MATCH("AI Usage Revenue Start Month",'1. Assumptions'!$B:$B,0))+1)/('3. Revenue Model'!$AA$5-INDEX('1. Assumptions'!$G:$G,MATCH("AI Usage Revenue Start Month",'1. Assumptions'!$B:$B,0))+1))</f>
        <v>0</v>
      </c>
      <c r="H74" s="133">
        <f>IF(H5&lt;INDEX('1. Assumptions'!$G:$G,MATCH("AI Usage Revenue Start Month",'1. Assumptions'!$B:$B,0)),0,INDEX('1. Assumptions'!$G:$G,MATCH("% Customers Exceeding Query Limit ; M24",'1. Assumptions'!$B:$B,0))*(H5-INDEX('1. Assumptions'!$G:$G,MATCH("AI Usage Revenue Start Month",'1. Assumptions'!$B:$B,0))+1)/('3. Revenue Model'!$AA$5-INDEX('1. Assumptions'!$G:$G,MATCH("AI Usage Revenue Start Month",'1. Assumptions'!$B:$B,0))+1))</f>
        <v>0</v>
      </c>
      <c r="I74" s="133">
        <f>IF(I5&lt;INDEX('1. Assumptions'!$G:$G,MATCH("AI Usage Revenue Start Month",'1. Assumptions'!$B:$B,0)),0,INDEX('1. Assumptions'!$G:$G,MATCH("% Customers Exceeding Query Limit ; M24",'1. Assumptions'!$B:$B,0))*(I5-INDEX('1. Assumptions'!$G:$G,MATCH("AI Usage Revenue Start Month",'1. Assumptions'!$B:$B,0))+1)/('3. Revenue Model'!$AA$5-INDEX('1. Assumptions'!$G:$G,MATCH("AI Usage Revenue Start Month",'1. Assumptions'!$B:$B,0))+1))</f>
        <v>0</v>
      </c>
      <c r="J74" s="133">
        <f>IF(J5&lt;INDEX('1. Assumptions'!$G:$G,MATCH("AI Usage Revenue Start Month",'1. Assumptions'!$B:$B,0)),0,INDEX('1. Assumptions'!$G:$G,MATCH("% Customers Exceeding Query Limit ; M24",'1. Assumptions'!$B:$B,0))*(J5-INDEX('1. Assumptions'!$G:$G,MATCH("AI Usage Revenue Start Month",'1. Assumptions'!$B:$B,0))+1)/('3. Revenue Model'!$AA$5-INDEX('1. Assumptions'!$G:$G,MATCH("AI Usage Revenue Start Month",'1. Assumptions'!$B:$B,0))+1))</f>
        <v>0</v>
      </c>
      <c r="K74" s="133">
        <f>IF(K5&lt;INDEX('1. Assumptions'!$G:$G,MATCH("AI Usage Revenue Start Month",'1. Assumptions'!$B:$B,0)),0,INDEX('1. Assumptions'!$G:$G,MATCH("% Customers Exceeding Query Limit ; M24",'1. Assumptions'!$B:$B,0))*(K5-INDEX('1. Assumptions'!$G:$G,MATCH("AI Usage Revenue Start Month",'1. Assumptions'!$B:$B,0))+1)/('3. Revenue Model'!$AA$5-INDEX('1. Assumptions'!$G:$G,MATCH("AI Usage Revenue Start Month",'1. Assumptions'!$B:$B,0))+1))</f>
        <v>0</v>
      </c>
      <c r="L74" s="133">
        <f>IF(L5&lt;INDEX('1. Assumptions'!$G:$G,MATCH("AI Usage Revenue Start Month",'1. Assumptions'!$B:$B,0)),0,INDEX('1. Assumptions'!$G:$G,MATCH("% Customers Exceeding Query Limit ; M24",'1. Assumptions'!$B:$B,0))*(L5-INDEX('1. Assumptions'!$G:$G,MATCH("AI Usage Revenue Start Month",'1. Assumptions'!$B:$B,0))+1)/('3. Revenue Model'!$AA$5-INDEX('1. Assumptions'!$G:$G,MATCH("AI Usage Revenue Start Month",'1. Assumptions'!$B:$B,0))+1))</f>
        <v>0</v>
      </c>
      <c r="M74" s="133">
        <f>IF(M5&lt;INDEX('1. Assumptions'!$G:$G,MATCH("AI Usage Revenue Start Month",'1. Assumptions'!$B:$B,0)),0,INDEX('1. Assumptions'!$G:$G,MATCH("% Customers Exceeding Query Limit ; M24",'1. Assumptions'!$B:$B,0))*(M5-INDEX('1. Assumptions'!$G:$G,MATCH("AI Usage Revenue Start Month",'1. Assumptions'!$B:$B,0))+1)/('3. Revenue Model'!$AA$5-INDEX('1. Assumptions'!$G:$G,MATCH("AI Usage Revenue Start Month",'1. Assumptions'!$B:$B,0))+1))</f>
        <v>1.3333333333333334E-2</v>
      </c>
      <c r="N74" s="133">
        <f>IF(N5&lt;INDEX('1. Assumptions'!$G:$G,MATCH("AI Usage Revenue Start Month",'1. Assumptions'!$B:$B,0)),0,INDEX('1. Assumptions'!$G:$G,MATCH("% Customers Exceeding Query Limit ; M24",'1. Assumptions'!$B:$B,0))*(N5-INDEX('1. Assumptions'!$G:$G,MATCH("AI Usage Revenue Start Month",'1. Assumptions'!$B:$B,0))+1)/('3. Revenue Model'!$AA$5-INDEX('1. Assumptions'!$G:$G,MATCH("AI Usage Revenue Start Month",'1. Assumptions'!$B:$B,0))+1))</f>
        <v>2.6666666666666668E-2</v>
      </c>
      <c r="O74" s="133">
        <f>IF(O5&lt;INDEX('1. Assumptions'!$G:$G,MATCH("AI Usage Revenue Start Month",'1. Assumptions'!$B:$B,0)),0,INDEX('1. Assumptions'!$G:$G,MATCH("% Customers Exceeding Query Limit ; M24",'1. Assumptions'!$B:$B,0))*(O5-INDEX('1. Assumptions'!$G:$G,MATCH("AI Usage Revenue Start Month",'1. Assumptions'!$B:$B,0))+1)/('3. Revenue Model'!$AA$5-INDEX('1. Assumptions'!$G:$G,MATCH("AI Usage Revenue Start Month",'1. Assumptions'!$B:$B,0))+1))</f>
        <v>4.0000000000000008E-2</v>
      </c>
      <c r="P74" s="133">
        <f>IF(P5&lt;INDEX('1. Assumptions'!$G:$G,MATCH("AI Usage Revenue Start Month",'1. Assumptions'!$B:$B,0)),0,INDEX('1. Assumptions'!$G:$G,MATCH("% Customers Exceeding Query Limit ; M24",'1. Assumptions'!$B:$B,0))*(P5-INDEX('1. Assumptions'!$G:$G,MATCH("AI Usage Revenue Start Month",'1. Assumptions'!$B:$B,0))+1)/('3. Revenue Model'!$AA$5-INDEX('1. Assumptions'!$G:$G,MATCH("AI Usage Revenue Start Month",'1. Assumptions'!$B:$B,0))+1))</f>
        <v>5.3333333333333337E-2</v>
      </c>
      <c r="Q74" s="133">
        <f>IF(Q5&lt;INDEX('1. Assumptions'!$G:$G,MATCH("AI Usage Revenue Start Month",'1. Assumptions'!$B:$B,0)),0,INDEX('1. Assumptions'!$G:$G,MATCH("% Customers Exceeding Query Limit ; M24",'1. Assumptions'!$B:$B,0))*(Q5-INDEX('1. Assumptions'!$G:$G,MATCH("AI Usage Revenue Start Month",'1. Assumptions'!$B:$B,0))+1)/('3. Revenue Model'!$AA$5-INDEX('1. Assumptions'!$G:$G,MATCH("AI Usage Revenue Start Month",'1. Assumptions'!$B:$B,0))+1))</f>
        <v>6.6666666666666666E-2</v>
      </c>
      <c r="R74" s="133">
        <f>IF(R5&lt;INDEX('1. Assumptions'!$G:$G,MATCH("AI Usage Revenue Start Month",'1. Assumptions'!$B:$B,0)),0,INDEX('1. Assumptions'!$G:$G,MATCH("% Customers Exceeding Query Limit ; M24",'1. Assumptions'!$B:$B,0))*(R5-INDEX('1. Assumptions'!$G:$G,MATCH("AI Usage Revenue Start Month",'1. Assumptions'!$B:$B,0))+1)/('3. Revenue Model'!$AA$5-INDEX('1. Assumptions'!$G:$G,MATCH("AI Usage Revenue Start Month",'1. Assumptions'!$B:$B,0))+1))</f>
        <v>8.0000000000000016E-2</v>
      </c>
      <c r="S74" s="133">
        <f>IF(S5&lt;INDEX('1. Assumptions'!$G:$G,MATCH("AI Usage Revenue Start Month",'1. Assumptions'!$B:$B,0)),0,INDEX('1. Assumptions'!$G:$G,MATCH("% Customers Exceeding Query Limit ; M24",'1. Assumptions'!$B:$B,0))*(S5-INDEX('1. Assumptions'!$G:$G,MATCH("AI Usage Revenue Start Month",'1. Assumptions'!$B:$B,0))+1)/('3. Revenue Model'!$AA$5-INDEX('1. Assumptions'!$G:$G,MATCH("AI Usage Revenue Start Month",'1. Assumptions'!$B:$B,0))+1))</f>
        <v>9.3333333333333338E-2</v>
      </c>
      <c r="T74" s="133">
        <f>IF(T5&lt;INDEX('1. Assumptions'!$G:$G,MATCH("AI Usage Revenue Start Month",'1. Assumptions'!$B:$B,0)),0,INDEX('1. Assumptions'!$G:$G,MATCH("% Customers Exceeding Query Limit ; M24",'1. Assumptions'!$B:$B,0))*(T5-INDEX('1. Assumptions'!$G:$G,MATCH("AI Usage Revenue Start Month",'1. Assumptions'!$B:$B,0))+1)/('3. Revenue Model'!$AA$5-INDEX('1. Assumptions'!$G:$G,MATCH("AI Usage Revenue Start Month",'1. Assumptions'!$B:$B,0))+1))</f>
        <v>0.10666666666666667</v>
      </c>
      <c r="U74" s="133">
        <f>IF(U5&lt;INDEX('1. Assumptions'!$G:$G,MATCH("AI Usage Revenue Start Month",'1. Assumptions'!$B:$B,0)),0,INDEX('1. Assumptions'!$G:$G,MATCH("% Customers Exceeding Query Limit ; M24",'1. Assumptions'!$B:$B,0))*(U5-INDEX('1. Assumptions'!$G:$G,MATCH("AI Usage Revenue Start Month",'1. Assumptions'!$B:$B,0))+1)/('3. Revenue Model'!$AA$5-INDEX('1. Assumptions'!$G:$G,MATCH("AI Usage Revenue Start Month",'1. Assumptions'!$B:$B,0))+1))</f>
        <v>0.12000000000000001</v>
      </c>
      <c r="V74" s="133">
        <f>IF(V5&lt;INDEX('1. Assumptions'!$G:$G,MATCH("AI Usage Revenue Start Month",'1. Assumptions'!$B:$B,0)),0,INDEX('1. Assumptions'!$G:$G,MATCH("% Customers Exceeding Query Limit ; M24",'1. Assumptions'!$B:$B,0))*(V5-INDEX('1. Assumptions'!$G:$G,MATCH("AI Usage Revenue Start Month",'1. Assumptions'!$B:$B,0))+1)/('3. Revenue Model'!$AA$5-INDEX('1. Assumptions'!$G:$G,MATCH("AI Usage Revenue Start Month",'1. Assumptions'!$B:$B,0))+1))</f>
        <v>0.13333333333333333</v>
      </c>
      <c r="W74" s="133">
        <f>IF(W5&lt;INDEX('1. Assumptions'!$G:$G,MATCH("AI Usage Revenue Start Month",'1. Assumptions'!$B:$B,0)),0,INDEX('1. Assumptions'!$G:$G,MATCH("% Customers Exceeding Query Limit ; M24",'1. Assumptions'!$B:$B,0))*(W5-INDEX('1. Assumptions'!$G:$G,MATCH("AI Usage Revenue Start Month",'1. Assumptions'!$B:$B,0))+1)/('3. Revenue Model'!$AA$5-INDEX('1. Assumptions'!$G:$G,MATCH("AI Usage Revenue Start Month",'1. Assumptions'!$B:$B,0))+1))</f>
        <v>0.14666666666666667</v>
      </c>
      <c r="X74" s="133">
        <f>IF(X5&lt;INDEX('1. Assumptions'!$G:$G,MATCH("AI Usage Revenue Start Month",'1. Assumptions'!$B:$B,0)),0,INDEX('1. Assumptions'!$G:$G,MATCH("% Customers Exceeding Query Limit ; M24",'1. Assumptions'!$B:$B,0))*(X5-INDEX('1. Assumptions'!$G:$G,MATCH("AI Usage Revenue Start Month",'1. Assumptions'!$B:$B,0))+1)/('3. Revenue Model'!$AA$5-INDEX('1. Assumptions'!$G:$G,MATCH("AI Usage Revenue Start Month",'1. Assumptions'!$B:$B,0))+1))</f>
        <v>0.16000000000000003</v>
      </c>
      <c r="Y74" s="133">
        <f>IF(Y5&lt;INDEX('1. Assumptions'!$G:$G,MATCH("AI Usage Revenue Start Month",'1. Assumptions'!$B:$B,0)),0,INDEX('1. Assumptions'!$G:$G,MATCH("% Customers Exceeding Query Limit ; M24",'1. Assumptions'!$B:$B,0))*(Y5-INDEX('1. Assumptions'!$G:$G,MATCH("AI Usage Revenue Start Month",'1. Assumptions'!$B:$B,0))+1)/('3. Revenue Model'!$AA$5-INDEX('1. Assumptions'!$G:$G,MATCH("AI Usage Revenue Start Month",'1. Assumptions'!$B:$B,0))+1))</f>
        <v>0.17333333333333334</v>
      </c>
      <c r="Z74" s="133">
        <f>IF(Z5&lt;INDEX('1. Assumptions'!$G:$G,MATCH("AI Usage Revenue Start Month",'1. Assumptions'!$B:$B,0)),0,INDEX('1. Assumptions'!$G:$G,MATCH("% Customers Exceeding Query Limit ; M24",'1. Assumptions'!$B:$B,0))*(Z5-INDEX('1. Assumptions'!$G:$G,MATCH("AI Usage Revenue Start Month",'1. Assumptions'!$B:$B,0))+1)/('3. Revenue Model'!$AA$5-INDEX('1. Assumptions'!$G:$G,MATCH("AI Usage Revenue Start Month",'1. Assumptions'!$B:$B,0))+1))</f>
        <v>0.18666666666666668</v>
      </c>
      <c r="AA74" s="133">
        <f>IF(AA5&lt;INDEX('1. Assumptions'!$G:$G,MATCH("AI Usage Revenue Start Month",'1. Assumptions'!$B:$B,0)),0,INDEX('1. Assumptions'!$G:$G,MATCH("% Customers Exceeding Query Limit ; M24",'1. Assumptions'!$B:$B,0))*(AA5-INDEX('1. Assumptions'!$G:$G,MATCH("AI Usage Revenue Start Month",'1. Assumptions'!$B:$B,0))+1)/('3. Revenue Model'!$AA$5-INDEX('1. Assumptions'!$G:$G,MATCH("AI Usage Revenue Start Month",'1. Assumptions'!$B:$B,0))+1))</f>
        <v>0.2</v>
      </c>
      <c r="AC74" s="110" t="s">
        <v>772</v>
      </c>
    </row>
    <row r="75" spans="1:30" s="3" customFormat="1" ht="26.4">
      <c r="A75" s="110" t="s">
        <v>144</v>
      </c>
      <c r="B75" s="110" t="s">
        <v>773</v>
      </c>
      <c r="C75" s="110" t="s">
        <v>79</v>
      </c>
      <c r="D75" s="116">
        <f t="shared" ref="D75:AA75" si="28">D73*D74</f>
        <v>0</v>
      </c>
      <c r="E75" s="116">
        <f t="shared" si="28"/>
        <v>0</v>
      </c>
      <c r="F75" s="116">
        <f t="shared" si="28"/>
        <v>0</v>
      </c>
      <c r="G75" s="116">
        <f t="shared" si="28"/>
        <v>0</v>
      </c>
      <c r="H75" s="116">
        <f t="shared" si="28"/>
        <v>0</v>
      </c>
      <c r="I75" s="116">
        <f t="shared" si="28"/>
        <v>0</v>
      </c>
      <c r="J75" s="116">
        <f t="shared" si="28"/>
        <v>0</v>
      </c>
      <c r="K75" s="116">
        <f t="shared" si="28"/>
        <v>0</v>
      </c>
      <c r="L75" s="116">
        <f t="shared" si="28"/>
        <v>0</v>
      </c>
      <c r="M75" s="116">
        <f t="shared" si="28"/>
        <v>10.937167883319951</v>
      </c>
      <c r="N75" s="116">
        <f t="shared" si="28"/>
        <v>23.188693051650073</v>
      </c>
      <c r="O75" s="116">
        <f t="shared" si="28"/>
        <v>36.953430953366272</v>
      </c>
      <c r="P75" s="116">
        <f t="shared" si="28"/>
        <v>52.457316837860141</v>
      </c>
      <c r="Q75" s="116">
        <f t="shared" si="28"/>
        <v>69.95543678306521</v>
      </c>
      <c r="R75" s="116">
        <f t="shared" si="28"/>
        <v>89.734661138201304</v>
      </c>
      <c r="S75" s="116">
        <f t="shared" si="28"/>
        <v>112.11681903624589</v>
      </c>
      <c r="T75" s="116">
        <f t="shared" si="28"/>
        <v>137.46241177293771</v>
      </c>
      <c r="U75" s="116">
        <f t="shared" si="28"/>
        <v>166.17487876647843</v>
      </c>
      <c r="V75" s="116">
        <f t="shared" si="28"/>
        <v>198.70544345901217</v>
      </c>
      <c r="W75" s="116">
        <f t="shared" si="28"/>
        <v>235.55857863899894</v>
      </c>
      <c r="X75" s="116">
        <f t="shared" si="28"/>
        <v>277.29814183446757</v>
      </c>
      <c r="Y75" s="116">
        <f t="shared" si="28"/>
        <v>324.55424211331587</v>
      </c>
      <c r="Z75" s="116">
        <f t="shared" si="28"/>
        <v>378.03091020272456</v>
      </c>
      <c r="AA75" s="116">
        <f t="shared" si="28"/>
        <v>438.51465461565778</v>
      </c>
    </row>
    <row r="76" spans="1:30" s="3" customFormat="1" ht="26.4">
      <c r="A76" s="110" t="s">
        <v>144</v>
      </c>
      <c r="B76" s="110" t="s">
        <v>774</v>
      </c>
      <c r="C76" s="110" t="s">
        <v>177</v>
      </c>
      <c r="D76" s="116">
        <f>INDEX('1. Assumptions'!$G:$G,MATCH("Avg Overage Queries Per Exceeding Customer/mo",'1. Assumptions'!$B:$B,0))</f>
        <v>250</v>
      </c>
      <c r="E76" s="116">
        <f>INDEX('1. Assumptions'!$G:$G,MATCH("Avg Overage Queries Per Exceeding Customer/mo",'1. Assumptions'!$B:$B,0))</f>
        <v>250</v>
      </c>
      <c r="F76" s="116">
        <f>INDEX('1. Assumptions'!$G:$G,MATCH("Avg Overage Queries Per Exceeding Customer/mo",'1. Assumptions'!$B:$B,0))</f>
        <v>250</v>
      </c>
      <c r="G76" s="116">
        <f>INDEX('1. Assumptions'!$G:$G,MATCH("Avg Overage Queries Per Exceeding Customer/mo",'1. Assumptions'!$B:$B,0))</f>
        <v>250</v>
      </c>
      <c r="H76" s="116">
        <f>INDEX('1. Assumptions'!$G:$G,MATCH("Avg Overage Queries Per Exceeding Customer/mo",'1. Assumptions'!$B:$B,0))</f>
        <v>250</v>
      </c>
      <c r="I76" s="116">
        <f>INDEX('1. Assumptions'!$G:$G,MATCH("Avg Overage Queries Per Exceeding Customer/mo",'1. Assumptions'!$B:$B,0))</f>
        <v>250</v>
      </c>
      <c r="J76" s="116">
        <f>INDEX('1. Assumptions'!$G:$G,MATCH("Avg Overage Queries Per Exceeding Customer/mo",'1. Assumptions'!$B:$B,0))</f>
        <v>250</v>
      </c>
      <c r="K76" s="116">
        <f>INDEX('1. Assumptions'!$G:$G,MATCH("Avg Overage Queries Per Exceeding Customer/mo",'1. Assumptions'!$B:$B,0))</f>
        <v>250</v>
      </c>
      <c r="L76" s="116">
        <f>INDEX('1. Assumptions'!$G:$G,MATCH("Avg Overage Queries Per Exceeding Customer/mo",'1. Assumptions'!$B:$B,0))</f>
        <v>250</v>
      </c>
      <c r="M76" s="116">
        <f>INDEX('1. Assumptions'!$G:$G,MATCH("Avg Overage Queries Per Exceeding Customer/mo",'1. Assumptions'!$B:$B,0))</f>
        <v>250</v>
      </c>
      <c r="N76" s="116">
        <f>INDEX('1. Assumptions'!$G:$G,MATCH("Avg Overage Queries Per Exceeding Customer/mo",'1. Assumptions'!$B:$B,0))</f>
        <v>250</v>
      </c>
      <c r="O76" s="116">
        <f>INDEX('1. Assumptions'!$G:$G,MATCH("Avg Overage Queries Per Exceeding Customer/mo",'1. Assumptions'!$B:$B,0))</f>
        <v>250</v>
      </c>
      <c r="P76" s="116">
        <f>INDEX('1. Assumptions'!$G:$G,MATCH("Avg Overage Queries Per Exceeding Customer/mo",'1. Assumptions'!$B:$B,0))</f>
        <v>250</v>
      </c>
      <c r="Q76" s="116">
        <f>INDEX('1. Assumptions'!$G:$G,MATCH("Avg Overage Queries Per Exceeding Customer/mo",'1. Assumptions'!$B:$B,0))</f>
        <v>250</v>
      </c>
      <c r="R76" s="116">
        <f>INDEX('1. Assumptions'!$G:$G,MATCH("Avg Overage Queries Per Exceeding Customer/mo",'1. Assumptions'!$B:$B,0))</f>
        <v>250</v>
      </c>
      <c r="S76" s="116">
        <f>INDEX('1. Assumptions'!$G:$G,MATCH("Avg Overage Queries Per Exceeding Customer/mo",'1. Assumptions'!$B:$B,0))</f>
        <v>250</v>
      </c>
      <c r="T76" s="116">
        <f>INDEX('1. Assumptions'!$G:$G,MATCH("Avg Overage Queries Per Exceeding Customer/mo",'1. Assumptions'!$B:$B,0))</f>
        <v>250</v>
      </c>
      <c r="U76" s="116">
        <f>INDEX('1. Assumptions'!$G:$G,MATCH("Avg Overage Queries Per Exceeding Customer/mo",'1. Assumptions'!$B:$B,0))</f>
        <v>250</v>
      </c>
      <c r="V76" s="116">
        <f>INDEX('1. Assumptions'!$G:$G,MATCH("Avg Overage Queries Per Exceeding Customer/mo",'1. Assumptions'!$B:$B,0))</f>
        <v>250</v>
      </c>
      <c r="W76" s="116">
        <f>INDEX('1. Assumptions'!$G:$G,MATCH("Avg Overage Queries Per Exceeding Customer/mo",'1. Assumptions'!$B:$B,0))</f>
        <v>250</v>
      </c>
      <c r="X76" s="116">
        <f>INDEX('1. Assumptions'!$G:$G,MATCH("Avg Overage Queries Per Exceeding Customer/mo",'1. Assumptions'!$B:$B,0))</f>
        <v>250</v>
      </c>
      <c r="Y76" s="116">
        <f>INDEX('1. Assumptions'!$G:$G,MATCH("Avg Overage Queries Per Exceeding Customer/mo",'1. Assumptions'!$B:$B,0))</f>
        <v>250</v>
      </c>
      <c r="Z76" s="116">
        <f>INDEX('1. Assumptions'!$G:$G,MATCH("Avg Overage Queries Per Exceeding Customer/mo",'1. Assumptions'!$B:$B,0))</f>
        <v>250</v>
      </c>
      <c r="AA76" s="116">
        <f>INDEX('1. Assumptions'!$G:$G,MATCH("Avg Overage Queries Per Exceeding Customer/mo",'1. Assumptions'!$B:$B,0))</f>
        <v>250</v>
      </c>
    </row>
    <row r="77" spans="1:30" s="3" customFormat="1" ht="13.2">
      <c r="A77" s="110" t="s">
        <v>144</v>
      </c>
      <c r="B77" s="110" t="s">
        <v>775</v>
      </c>
      <c r="C77" s="110" t="s">
        <v>146</v>
      </c>
      <c r="D77" s="124">
        <f>INDEX('1. Assumptions'!$G:$G,MATCH("AI Overage Price Per Query ($/query)",'1. Assumptions'!$B:$B,0))</f>
        <v>0.1</v>
      </c>
      <c r="E77" s="124">
        <f>INDEX('1. Assumptions'!$G:$G,MATCH("AI Overage Price Per Query ($/query)",'1. Assumptions'!$B:$B,0))</f>
        <v>0.1</v>
      </c>
      <c r="F77" s="124">
        <f>INDEX('1. Assumptions'!$G:$G,MATCH("AI Overage Price Per Query ($/query)",'1. Assumptions'!$B:$B,0))</f>
        <v>0.1</v>
      </c>
      <c r="G77" s="124">
        <f>INDEX('1. Assumptions'!$G:$G,MATCH("AI Overage Price Per Query ($/query)",'1. Assumptions'!$B:$B,0))</f>
        <v>0.1</v>
      </c>
      <c r="H77" s="124">
        <f>INDEX('1. Assumptions'!$G:$G,MATCH("AI Overage Price Per Query ($/query)",'1. Assumptions'!$B:$B,0))</f>
        <v>0.1</v>
      </c>
      <c r="I77" s="124">
        <f>INDEX('1. Assumptions'!$G:$G,MATCH("AI Overage Price Per Query ($/query)",'1. Assumptions'!$B:$B,0))</f>
        <v>0.1</v>
      </c>
      <c r="J77" s="124">
        <f>INDEX('1. Assumptions'!$G:$G,MATCH("AI Overage Price Per Query ($/query)",'1. Assumptions'!$B:$B,0))</f>
        <v>0.1</v>
      </c>
      <c r="K77" s="124">
        <f>INDEX('1. Assumptions'!$G:$G,MATCH("AI Overage Price Per Query ($/query)",'1. Assumptions'!$B:$B,0))</f>
        <v>0.1</v>
      </c>
      <c r="L77" s="124">
        <f>INDEX('1. Assumptions'!$G:$G,MATCH("AI Overage Price Per Query ($/query)",'1. Assumptions'!$B:$B,0))</f>
        <v>0.1</v>
      </c>
      <c r="M77" s="124">
        <f>INDEX('1. Assumptions'!$G:$G,MATCH("AI Overage Price Per Query ($/query)",'1. Assumptions'!$B:$B,0))</f>
        <v>0.1</v>
      </c>
      <c r="N77" s="124">
        <f>INDEX('1. Assumptions'!$G:$G,MATCH("AI Overage Price Per Query ($/query)",'1. Assumptions'!$B:$B,0))</f>
        <v>0.1</v>
      </c>
      <c r="O77" s="124">
        <f>INDEX('1. Assumptions'!$G:$G,MATCH("AI Overage Price Per Query ($/query)",'1. Assumptions'!$B:$B,0))</f>
        <v>0.1</v>
      </c>
      <c r="P77" s="124">
        <f>INDEX('1. Assumptions'!$G:$G,MATCH("AI Overage Price Per Query ($/query)",'1. Assumptions'!$B:$B,0))</f>
        <v>0.1</v>
      </c>
      <c r="Q77" s="124">
        <f>INDEX('1. Assumptions'!$G:$G,MATCH("AI Overage Price Per Query ($/query)",'1. Assumptions'!$B:$B,0))</f>
        <v>0.1</v>
      </c>
      <c r="R77" s="124">
        <f>INDEX('1. Assumptions'!$G:$G,MATCH("AI Overage Price Per Query ($/query)",'1. Assumptions'!$B:$B,0))</f>
        <v>0.1</v>
      </c>
      <c r="S77" s="124">
        <f>INDEX('1. Assumptions'!$G:$G,MATCH("AI Overage Price Per Query ($/query)",'1. Assumptions'!$B:$B,0))</f>
        <v>0.1</v>
      </c>
      <c r="T77" s="124">
        <f>INDEX('1. Assumptions'!$G:$G,MATCH("AI Overage Price Per Query ($/query)",'1. Assumptions'!$B:$B,0))</f>
        <v>0.1</v>
      </c>
      <c r="U77" s="124">
        <f>INDEX('1. Assumptions'!$G:$G,MATCH("AI Overage Price Per Query ($/query)",'1. Assumptions'!$B:$B,0))</f>
        <v>0.1</v>
      </c>
      <c r="V77" s="124">
        <f>INDEX('1. Assumptions'!$G:$G,MATCH("AI Overage Price Per Query ($/query)",'1. Assumptions'!$B:$B,0))</f>
        <v>0.1</v>
      </c>
      <c r="W77" s="124">
        <f>INDEX('1. Assumptions'!$G:$G,MATCH("AI Overage Price Per Query ($/query)",'1. Assumptions'!$B:$B,0))</f>
        <v>0.1</v>
      </c>
      <c r="X77" s="124">
        <f>INDEX('1. Assumptions'!$G:$G,MATCH("AI Overage Price Per Query ($/query)",'1. Assumptions'!$B:$B,0))</f>
        <v>0.1</v>
      </c>
      <c r="Y77" s="124">
        <f>INDEX('1. Assumptions'!$G:$G,MATCH("AI Overage Price Per Query ($/query)",'1. Assumptions'!$B:$B,0))</f>
        <v>0.1</v>
      </c>
      <c r="Z77" s="124">
        <f>INDEX('1. Assumptions'!$G:$G,MATCH("AI Overage Price Per Query ($/query)",'1. Assumptions'!$B:$B,0))</f>
        <v>0.1</v>
      </c>
      <c r="AA77" s="124">
        <f>INDEX('1. Assumptions'!$G:$G,MATCH("AI Overage Price Per Query ($/query)",'1. Assumptions'!$B:$B,0))</f>
        <v>0.1</v>
      </c>
    </row>
    <row r="78" spans="1:30" s="3" customFormat="1" ht="26.4">
      <c r="A78" s="110" t="s">
        <v>144</v>
      </c>
      <c r="B78" s="110" t="s">
        <v>144</v>
      </c>
      <c r="C78" s="110" t="s">
        <v>64</v>
      </c>
      <c r="D78" s="125">
        <f t="shared" ref="D78:AA78" si="29">D75*D76*D77</f>
        <v>0</v>
      </c>
      <c r="E78" s="125">
        <f t="shared" si="29"/>
        <v>0</v>
      </c>
      <c r="F78" s="125">
        <f t="shared" si="29"/>
        <v>0</v>
      </c>
      <c r="G78" s="125">
        <f t="shared" si="29"/>
        <v>0</v>
      </c>
      <c r="H78" s="125">
        <f t="shared" si="29"/>
        <v>0</v>
      </c>
      <c r="I78" s="125">
        <f t="shared" si="29"/>
        <v>0</v>
      </c>
      <c r="J78" s="125">
        <f t="shared" si="29"/>
        <v>0</v>
      </c>
      <c r="K78" s="125">
        <f t="shared" si="29"/>
        <v>0</v>
      </c>
      <c r="L78" s="125">
        <f t="shared" si="29"/>
        <v>0</v>
      </c>
      <c r="M78" s="125">
        <f t="shared" si="29"/>
        <v>273.42919708299877</v>
      </c>
      <c r="N78" s="125">
        <f t="shared" si="29"/>
        <v>579.71732629125188</v>
      </c>
      <c r="O78" s="125">
        <f t="shared" si="29"/>
        <v>923.83577383415695</v>
      </c>
      <c r="P78" s="125">
        <f t="shared" si="29"/>
        <v>1311.4329209465036</v>
      </c>
      <c r="Q78" s="125">
        <f t="shared" si="29"/>
        <v>1748.8859195766302</v>
      </c>
      <c r="R78" s="125">
        <f t="shared" si="29"/>
        <v>2243.3665284550329</v>
      </c>
      <c r="S78" s="125">
        <f t="shared" si="29"/>
        <v>2802.9204759061472</v>
      </c>
      <c r="T78" s="125">
        <f t="shared" si="29"/>
        <v>3436.560294323443</v>
      </c>
      <c r="U78" s="125">
        <f t="shared" si="29"/>
        <v>4154.3719691619608</v>
      </c>
      <c r="V78" s="125">
        <f t="shared" si="29"/>
        <v>4967.6360864753042</v>
      </c>
      <c r="W78" s="125">
        <f t="shared" si="29"/>
        <v>5888.9644659749738</v>
      </c>
      <c r="X78" s="125">
        <f t="shared" si="29"/>
        <v>6932.4535458616901</v>
      </c>
      <c r="Y78" s="125">
        <f t="shared" si="29"/>
        <v>8113.8560528328962</v>
      </c>
      <c r="Z78" s="125">
        <f t="shared" si="29"/>
        <v>9450.7727550681138</v>
      </c>
      <c r="AA78" s="125">
        <f t="shared" si="29"/>
        <v>10962.866365391445</v>
      </c>
      <c r="AC78" s="110" t="s">
        <v>776</v>
      </c>
    </row>
    <row r="79" spans="1:30" s="3" customFormat="1" ht="26.4">
      <c r="A79" s="110" t="s">
        <v>144</v>
      </c>
      <c r="B79" s="110" t="s">
        <v>777</v>
      </c>
      <c r="C79" s="110" t="s">
        <v>173</v>
      </c>
      <c r="D79" s="134">
        <f t="shared" ref="D79:AA79" si="30">IFERROR(D78/D59,0)</f>
        <v>0</v>
      </c>
      <c r="E79" s="134">
        <f t="shared" si="30"/>
        <v>0</v>
      </c>
      <c r="F79" s="134">
        <f t="shared" si="30"/>
        <v>0</v>
      </c>
      <c r="G79" s="134">
        <f t="shared" si="30"/>
        <v>0</v>
      </c>
      <c r="H79" s="134">
        <f t="shared" si="30"/>
        <v>0</v>
      </c>
      <c r="I79" s="134">
        <f t="shared" si="30"/>
        <v>0</v>
      </c>
      <c r="J79" s="134">
        <f t="shared" si="30"/>
        <v>0</v>
      </c>
      <c r="K79" s="134">
        <f t="shared" si="30"/>
        <v>0</v>
      </c>
      <c r="L79" s="134">
        <f t="shared" si="30"/>
        <v>0</v>
      </c>
      <c r="M79" s="134">
        <f t="shared" si="30"/>
        <v>4.0736499873325225E-3</v>
      </c>
      <c r="N79" s="134">
        <f t="shared" si="30"/>
        <v>8.1559620008650642E-3</v>
      </c>
      <c r="O79" s="134">
        <f t="shared" si="30"/>
        <v>1.2253924132648829E-2</v>
      </c>
      <c r="P79" s="134">
        <f t="shared" si="30"/>
        <v>1.6374011291693181E-2</v>
      </c>
      <c r="Q79" s="134">
        <f t="shared" si="30"/>
        <v>2.0521999680713054E-2</v>
      </c>
      <c r="R79" s="134">
        <f t="shared" si="30"/>
        <v>2.4702874903325213E-2</v>
      </c>
      <c r="S79" s="134">
        <f t="shared" si="30"/>
        <v>2.8920806814355333E-2</v>
      </c>
      <c r="T79" s="134">
        <f t="shared" si="30"/>
        <v>3.3179170449847507E-2</v>
      </c>
      <c r="U79" s="134">
        <f t="shared" si="30"/>
        <v>3.7480597211760114E-2</v>
      </c>
      <c r="V79" s="134">
        <f t="shared" si="30"/>
        <v>4.1827044314537397E-2</v>
      </c>
      <c r="W79" s="134">
        <f t="shared" si="30"/>
        <v>4.6219873561098572E-2</v>
      </c>
      <c r="X79" s="134">
        <f t="shared" si="30"/>
        <v>5.065993295910072E-2</v>
      </c>
      <c r="Y79" s="134">
        <f t="shared" si="30"/>
        <v>5.5147636625531071E-2</v>
      </c>
      <c r="Z79" s="134">
        <f t="shared" si="30"/>
        <v>5.9683039944820507E-2</v>
      </c>
      <c r="AA79" s="134">
        <f t="shared" si="30"/>
        <v>6.4265908113750769E-2</v>
      </c>
    </row>
    <row r="80" spans="1:30" s="3" customFormat="1" ht="13.2">
      <c r="A80" s="115"/>
      <c r="B80" s="115"/>
      <c r="C80" s="115"/>
    </row>
    <row r="81" spans="1:30" s="106" customFormat="1" ht="15" customHeight="1">
      <c r="A81" s="105" t="s">
        <v>778</v>
      </c>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row>
    <row r="82" spans="1:30" s="3" customFormat="1" ht="13.2">
      <c r="A82" s="110" t="s">
        <v>779</v>
      </c>
      <c r="B82" s="110" t="s">
        <v>712</v>
      </c>
      <c r="C82" s="110" t="s">
        <v>79</v>
      </c>
      <c r="D82" s="116">
        <f t="shared" ref="D82:AA82" si="31">D19</f>
        <v>0</v>
      </c>
      <c r="E82" s="116">
        <f t="shared" si="31"/>
        <v>0</v>
      </c>
      <c r="F82" s="116">
        <f t="shared" si="31"/>
        <v>0</v>
      </c>
      <c r="G82" s="116">
        <f t="shared" si="31"/>
        <v>0</v>
      </c>
      <c r="H82" s="116">
        <f t="shared" si="31"/>
        <v>0</v>
      </c>
      <c r="I82" s="116">
        <f t="shared" si="31"/>
        <v>1</v>
      </c>
      <c r="J82" s="116">
        <f t="shared" si="31"/>
        <v>1.07</v>
      </c>
      <c r="K82" s="116">
        <f t="shared" si="31"/>
        <v>1.1449</v>
      </c>
      <c r="L82" s="116">
        <f t="shared" si="31"/>
        <v>1.2250430000000001</v>
      </c>
      <c r="M82" s="116">
        <f t="shared" si="31"/>
        <v>1.31079601</v>
      </c>
      <c r="N82" s="116">
        <f t="shared" si="31"/>
        <v>1.4025517307000002</v>
      </c>
      <c r="O82" s="116">
        <f t="shared" si="31"/>
        <v>1.5007303518490001</v>
      </c>
      <c r="P82" s="116">
        <f t="shared" si="31"/>
        <v>1.6057814764784302</v>
      </c>
      <c r="Q82" s="116">
        <f t="shared" si="31"/>
        <v>1.7181861798319202</v>
      </c>
      <c r="R82" s="116">
        <f t="shared" si="31"/>
        <v>1.8384592124201549</v>
      </c>
      <c r="S82" s="116">
        <f t="shared" si="31"/>
        <v>1.9671513572895656</v>
      </c>
      <c r="T82" s="116">
        <f t="shared" si="31"/>
        <v>2.1048519522998355</v>
      </c>
      <c r="U82" s="116">
        <f t="shared" si="31"/>
        <v>2.2521915889608235</v>
      </c>
      <c r="V82" s="116">
        <f t="shared" si="31"/>
        <v>2.4098450001880813</v>
      </c>
      <c r="W82" s="116">
        <f t="shared" si="31"/>
        <v>2.5785341502012469</v>
      </c>
      <c r="X82" s="116">
        <f t="shared" si="31"/>
        <v>2.7590315407153345</v>
      </c>
      <c r="Y82" s="116">
        <f t="shared" si="31"/>
        <v>2.9521637485654075</v>
      </c>
      <c r="Z82" s="116">
        <f t="shared" si="31"/>
        <v>3.1588152109649861</v>
      </c>
      <c r="AA82" s="116">
        <f t="shared" si="31"/>
        <v>3.3799322757325352</v>
      </c>
    </row>
    <row r="83" spans="1:30" s="3" customFormat="1" ht="13.2">
      <c r="A83" s="110" t="s">
        <v>779</v>
      </c>
      <c r="B83" s="110" t="s">
        <v>780</v>
      </c>
      <c r="C83" s="110" t="s">
        <v>64</v>
      </c>
      <c r="D83" s="124">
        <f>INDEX('1. Assumptions'!$G:$G,MATCH("Enterprise Implementation Fee ($/logo)",'1. Assumptions'!$B:$B,0))</f>
        <v>3000</v>
      </c>
      <c r="E83" s="124">
        <f>INDEX('1. Assumptions'!$G:$G,MATCH("Enterprise Implementation Fee ($/logo)",'1. Assumptions'!$B:$B,0))</f>
        <v>3000</v>
      </c>
      <c r="F83" s="124">
        <f>INDEX('1. Assumptions'!$G:$G,MATCH("Enterprise Implementation Fee ($/logo)",'1. Assumptions'!$B:$B,0))</f>
        <v>3000</v>
      </c>
      <c r="G83" s="124">
        <f>INDEX('1. Assumptions'!$G:$G,MATCH("Enterprise Implementation Fee ($/logo)",'1. Assumptions'!$B:$B,0))</f>
        <v>3000</v>
      </c>
      <c r="H83" s="124">
        <f>INDEX('1. Assumptions'!$G:$G,MATCH("Enterprise Implementation Fee ($/logo)",'1. Assumptions'!$B:$B,0))</f>
        <v>3000</v>
      </c>
      <c r="I83" s="124">
        <f>INDEX('1. Assumptions'!$G:$G,MATCH("Enterprise Implementation Fee ($/logo)",'1. Assumptions'!$B:$B,0))</f>
        <v>3000</v>
      </c>
      <c r="J83" s="124">
        <f>INDEX('1. Assumptions'!$G:$G,MATCH("Enterprise Implementation Fee ($/logo)",'1. Assumptions'!$B:$B,0))</f>
        <v>3000</v>
      </c>
      <c r="K83" s="124">
        <f>INDEX('1. Assumptions'!$G:$G,MATCH("Enterprise Implementation Fee ($/logo)",'1. Assumptions'!$B:$B,0))</f>
        <v>3000</v>
      </c>
      <c r="L83" s="124">
        <f>INDEX('1. Assumptions'!$G:$G,MATCH("Enterprise Implementation Fee ($/logo)",'1. Assumptions'!$B:$B,0))</f>
        <v>3000</v>
      </c>
      <c r="M83" s="124">
        <f>INDEX('1. Assumptions'!$G:$G,MATCH("Enterprise Implementation Fee ($/logo)",'1. Assumptions'!$B:$B,0))</f>
        <v>3000</v>
      </c>
      <c r="N83" s="124">
        <f>INDEX('1. Assumptions'!$G:$G,MATCH("Enterprise Implementation Fee ($/logo)",'1. Assumptions'!$B:$B,0))</f>
        <v>3000</v>
      </c>
      <c r="O83" s="124">
        <f>INDEX('1. Assumptions'!$G:$G,MATCH("Enterprise Implementation Fee ($/logo)",'1. Assumptions'!$B:$B,0))</f>
        <v>3000</v>
      </c>
      <c r="P83" s="124">
        <f>INDEX('1. Assumptions'!$G:$G,MATCH("Enterprise Implementation Fee ($/logo)",'1. Assumptions'!$B:$B,0))</f>
        <v>3000</v>
      </c>
      <c r="Q83" s="124">
        <f>INDEX('1. Assumptions'!$G:$G,MATCH("Enterprise Implementation Fee ($/logo)",'1. Assumptions'!$B:$B,0))</f>
        <v>3000</v>
      </c>
      <c r="R83" s="124">
        <f>INDEX('1. Assumptions'!$G:$G,MATCH("Enterprise Implementation Fee ($/logo)",'1. Assumptions'!$B:$B,0))</f>
        <v>3000</v>
      </c>
      <c r="S83" s="124">
        <f>INDEX('1. Assumptions'!$G:$G,MATCH("Enterprise Implementation Fee ($/logo)",'1. Assumptions'!$B:$B,0))</f>
        <v>3000</v>
      </c>
      <c r="T83" s="124">
        <f>INDEX('1. Assumptions'!$G:$G,MATCH("Enterprise Implementation Fee ($/logo)",'1. Assumptions'!$B:$B,0))</f>
        <v>3000</v>
      </c>
      <c r="U83" s="124">
        <f>INDEX('1. Assumptions'!$G:$G,MATCH("Enterprise Implementation Fee ($/logo)",'1. Assumptions'!$B:$B,0))</f>
        <v>3000</v>
      </c>
      <c r="V83" s="124">
        <f>INDEX('1. Assumptions'!$G:$G,MATCH("Enterprise Implementation Fee ($/logo)",'1. Assumptions'!$B:$B,0))</f>
        <v>3000</v>
      </c>
      <c r="W83" s="124">
        <f>INDEX('1. Assumptions'!$G:$G,MATCH("Enterprise Implementation Fee ($/logo)",'1. Assumptions'!$B:$B,0))</f>
        <v>3000</v>
      </c>
      <c r="X83" s="124">
        <f>INDEX('1. Assumptions'!$G:$G,MATCH("Enterprise Implementation Fee ($/logo)",'1. Assumptions'!$B:$B,0))</f>
        <v>3000</v>
      </c>
      <c r="Y83" s="124">
        <f>INDEX('1. Assumptions'!$G:$G,MATCH("Enterprise Implementation Fee ($/logo)",'1. Assumptions'!$B:$B,0))</f>
        <v>3000</v>
      </c>
      <c r="Z83" s="124">
        <f>INDEX('1. Assumptions'!$G:$G,MATCH("Enterprise Implementation Fee ($/logo)",'1. Assumptions'!$B:$B,0))</f>
        <v>3000</v>
      </c>
      <c r="AA83" s="124">
        <f>INDEX('1. Assumptions'!$G:$G,MATCH("Enterprise Implementation Fee ($/logo)",'1. Assumptions'!$B:$B,0))</f>
        <v>3000</v>
      </c>
    </row>
    <row r="84" spans="1:30" s="3" customFormat="1" ht="13.2">
      <c r="A84" s="110" t="s">
        <v>779</v>
      </c>
      <c r="B84" s="110" t="s">
        <v>781</v>
      </c>
      <c r="C84" s="110" t="s">
        <v>64</v>
      </c>
      <c r="D84" s="125">
        <f t="shared" ref="D84:AA84" si="32">D82*D83</f>
        <v>0</v>
      </c>
      <c r="E84" s="125">
        <f t="shared" si="32"/>
        <v>0</v>
      </c>
      <c r="F84" s="125">
        <f t="shared" si="32"/>
        <v>0</v>
      </c>
      <c r="G84" s="125">
        <f t="shared" si="32"/>
        <v>0</v>
      </c>
      <c r="H84" s="125">
        <f t="shared" si="32"/>
        <v>0</v>
      </c>
      <c r="I84" s="125">
        <f t="shared" si="32"/>
        <v>3000</v>
      </c>
      <c r="J84" s="125">
        <f t="shared" si="32"/>
        <v>3210</v>
      </c>
      <c r="K84" s="125">
        <f t="shared" si="32"/>
        <v>3434.7000000000003</v>
      </c>
      <c r="L84" s="125">
        <f t="shared" si="32"/>
        <v>3675.1290000000004</v>
      </c>
      <c r="M84" s="125">
        <f t="shared" si="32"/>
        <v>3932.3880300000001</v>
      </c>
      <c r="N84" s="125">
        <f t="shared" si="32"/>
        <v>4207.6551921000009</v>
      </c>
      <c r="O84" s="125">
        <f t="shared" si="32"/>
        <v>4502.1910555470004</v>
      </c>
      <c r="P84" s="125">
        <f t="shared" si="32"/>
        <v>4817.3444294352903</v>
      </c>
      <c r="Q84" s="125">
        <f t="shared" si="32"/>
        <v>5154.5585394957607</v>
      </c>
      <c r="R84" s="125">
        <f t="shared" si="32"/>
        <v>5515.3776372604643</v>
      </c>
      <c r="S84" s="125">
        <f t="shared" si="32"/>
        <v>5901.4540718686967</v>
      </c>
      <c r="T84" s="125">
        <f t="shared" si="32"/>
        <v>6314.5558568995066</v>
      </c>
      <c r="U84" s="125">
        <f t="shared" si="32"/>
        <v>6756.5747668824706</v>
      </c>
      <c r="V84" s="125">
        <f t="shared" si="32"/>
        <v>7229.535000564244</v>
      </c>
      <c r="W84" s="125">
        <f t="shared" si="32"/>
        <v>7735.6024506037402</v>
      </c>
      <c r="X84" s="125">
        <f t="shared" si="32"/>
        <v>8277.0946221460035</v>
      </c>
      <c r="Y84" s="125">
        <f t="shared" si="32"/>
        <v>8856.4912456962229</v>
      </c>
      <c r="Z84" s="125">
        <f t="shared" si="32"/>
        <v>9476.4456328949582</v>
      </c>
      <c r="AA84" s="125">
        <f t="shared" si="32"/>
        <v>10139.796827197606</v>
      </c>
    </row>
    <row r="85" spans="1:30" s="3" customFormat="1" ht="26.4">
      <c r="A85" s="110" t="s">
        <v>779</v>
      </c>
      <c r="B85" s="110" t="s">
        <v>782</v>
      </c>
      <c r="C85" s="110" t="s">
        <v>64</v>
      </c>
      <c r="D85" s="125">
        <f>D84/3</f>
        <v>0</v>
      </c>
      <c r="E85" s="125">
        <f>(E84+D84)/3</f>
        <v>0</v>
      </c>
      <c r="F85" s="125">
        <f t="shared" ref="F85:AA85" si="33">(F84+E84+D84)/3</f>
        <v>0</v>
      </c>
      <c r="G85" s="125">
        <f t="shared" si="33"/>
        <v>0</v>
      </c>
      <c r="H85" s="125">
        <f t="shared" si="33"/>
        <v>0</v>
      </c>
      <c r="I85" s="125">
        <f t="shared" si="33"/>
        <v>1000</v>
      </c>
      <c r="J85" s="125">
        <f t="shared" si="33"/>
        <v>2070</v>
      </c>
      <c r="K85" s="125">
        <f t="shared" si="33"/>
        <v>3214.9</v>
      </c>
      <c r="L85" s="125">
        <f t="shared" si="33"/>
        <v>3439.9430000000007</v>
      </c>
      <c r="M85" s="125">
        <f t="shared" si="33"/>
        <v>3680.7390100000007</v>
      </c>
      <c r="N85" s="125">
        <f t="shared" si="33"/>
        <v>3938.3907407000006</v>
      </c>
      <c r="O85" s="125">
        <f t="shared" si="33"/>
        <v>4214.0780925490008</v>
      </c>
      <c r="P85" s="125">
        <f t="shared" si="33"/>
        <v>4509.0635590274305</v>
      </c>
      <c r="Q85" s="125">
        <f t="shared" si="33"/>
        <v>4824.698008159351</v>
      </c>
      <c r="R85" s="125">
        <f t="shared" si="33"/>
        <v>5162.4268687305057</v>
      </c>
      <c r="S85" s="125">
        <f t="shared" si="33"/>
        <v>5523.7967495416406</v>
      </c>
      <c r="T85" s="125">
        <f t="shared" si="33"/>
        <v>5910.462522009555</v>
      </c>
      <c r="U85" s="125">
        <f t="shared" si="33"/>
        <v>6324.194898550224</v>
      </c>
      <c r="V85" s="125">
        <f t="shared" si="33"/>
        <v>6766.8885414487404</v>
      </c>
      <c r="W85" s="125">
        <f t="shared" si="33"/>
        <v>7240.5707393501516</v>
      </c>
      <c r="X85" s="125">
        <f t="shared" si="33"/>
        <v>7747.410691104662</v>
      </c>
      <c r="Y85" s="125">
        <f t="shared" si="33"/>
        <v>8289.7294394819892</v>
      </c>
      <c r="Z85" s="125">
        <f t="shared" si="33"/>
        <v>8870.0105002457276</v>
      </c>
      <c r="AA85" s="125">
        <f t="shared" si="33"/>
        <v>9490.911235262929</v>
      </c>
      <c r="AC85" s="110" t="s">
        <v>783</v>
      </c>
    </row>
    <row r="86" spans="1:30" s="3" customFormat="1" ht="39.6">
      <c r="A86" s="110" t="s">
        <v>779</v>
      </c>
      <c r="B86" s="110" t="s">
        <v>784</v>
      </c>
      <c r="C86" s="110" t="s">
        <v>785</v>
      </c>
      <c r="D86" s="135" t="str">
        <f>IF(_xlfn.XLOOKUP("Implementation Fee Included in ARR?",'1. Assumptions'!$B:$B,'1. Assumptions'!$G:$G)="No","OK - Excluded from ARR","ERROR - Included in ARR")</f>
        <v>OK - Excluded from ARR</v>
      </c>
      <c r="E86" s="135" t="str">
        <f>IF(_xlfn.XLOOKUP("Implementation Fee Included in ARR?",'1. Assumptions'!$B:$B,'1. Assumptions'!$G:$G)="No","OK - Excluded from ARR","ERROR - Included in ARR")</f>
        <v>OK - Excluded from ARR</v>
      </c>
      <c r="F86" s="135" t="str">
        <f>IF(_xlfn.XLOOKUP("Implementation Fee Included in ARR?",'1. Assumptions'!$B:$B,'1. Assumptions'!$G:$G)="No","OK - Excluded from ARR","ERROR - Included in ARR")</f>
        <v>OK - Excluded from ARR</v>
      </c>
      <c r="G86" s="135" t="str">
        <f>IF(_xlfn.XLOOKUP("Implementation Fee Included in ARR?",'1. Assumptions'!$B:$B,'1. Assumptions'!$G:$G)="No","OK - Excluded from ARR","ERROR - Included in ARR")</f>
        <v>OK - Excluded from ARR</v>
      </c>
      <c r="H86" s="135" t="str">
        <f>IF(_xlfn.XLOOKUP("Implementation Fee Included in ARR?",'1. Assumptions'!$B:$B,'1. Assumptions'!$G:$G)="No","OK - Excluded from ARR","ERROR - Included in ARR")</f>
        <v>OK - Excluded from ARR</v>
      </c>
      <c r="I86" s="135" t="str">
        <f>IF(_xlfn.XLOOKUP("Implementation Fee Included in ARR?",'1. Assumptions'!$B:$B,'1. Assumptions'!$G:$G)="No","OK - Excluded from ARR","ERROR - Included in ARR")</f>
        <v>OK - Excluded from ARR</v>
      </c>
      <c r="J86" s="135" t="str">
        <f>IF(_xlfn.XLOOKUP("Implementation Fee Included in ARR?",'1. Assumptions'!$B:$B,'1. Assumptions'!$G:$G)="No","OK - Excluded from ARR","ERROR - Included in ARR")</f>
        <v>OK - Excluded from ARR</v>
      </c>
      <c r="K86" s="135" t="str">
        <f>IF(_xlfn.XLOOKUP("Implementation Fee Included in ARR?",'1. Assumptions'!$B:$B,'1. Assumptions'!$G:$G)="No","OK - Excluded from ARR","ERROR - Included in ARR")</f>
        <v>OK - Excluded from ARR</v>
      </c>
      <c r="L86" s="135" t="str">
        <f>IF(_xlfn.XLOOKUP("Implementation Fee Included in ARR?",'1. Assumptions'!$B:$B,'1. Assumptions'!$G:$G)="No","OK - Excluded from ARR","ERROR - Included in ARR")</f>
        <v>OK - Excluded from ARR</v>
      </c>
      <c r="M86" s="135" t="str">
        <f>IF(_xlfn.XLOOKUP("Implementation Fee Included in ARR?",'1. Assumptions'!$B:$B,'1. Assumptions'!$G:$G)="No","OK - Excluded from ARR","ERROR - Included in ARR")</f>
        <v>OK - Excluded from ARR</v>
      </c>
      <c r="N86" s="135" t="str">
        <f>IF(_xlfn.XLOOKUP("Implementation Fee Included in ARR?",'1. Assumptions'!$B:$B,'1. Assumptions'!$G:$G)="No","OK - Excluded from ARR","ERROR - Included in ARR")</f>
        <v>OK - Excluded from ARR</v>
      </c>
      <c r="O86" s="135" t="str">
        <f>IF(_xlfn.XLOOKUP("Implementation Fee Included in ARR?",'1. Assumptions'!$B:$B,'1. Assumptions'!$G:$G)="No","OK - Excluded from ARR","ERROR - Included in ARR")</f>
        <v>OK - Excluded from ARR</v>
      </c>
      <c r="P86" s="135" t="str">
        <f>IF(_xlfn.XLOOKUP("Implementation Fee Included in ARR?",'1. Assumptions'!$B:$B,'1. Assumptions'!$G:$G)="No","OK - Excluded from ARR","ERROR - Included in ARR")</f>
        <v>OK - Excluded from ARR</v>
      </c>
      <c r="Q86" s="135" t="str">
        <f>IF(_xlfn.XLOOKUP("Implementation Fee Included in ARR?",'1. Assumptions'!$B:$B,'1. Assumptions'!$G:$G)="No","OK - Excluded from ARR","ERROR - Included in ARR")</f>
        <v>OK - Excluded from ARR</v>
      </c>
      <c r="R86" s="135" t="str">
        <f>IF(_xlfn.XLOOKUP("Implementation Fee Included in ARR?",'1. Assumptions'!$B:$B,'1. Assumptions'!$G:$G)="No","OK - Excluded from ARR","ERROR - Included in ARR")</f>
        <v>OK - Excluded from ARR</v>
      </c>
      <c r="S86" s="135" t="str">
        <f>IF(_xlfn.XLOOKUP("Implementation Fee Included in ARR?",'1. Assumptions'!$B:$B,'1. Assumptions'!$G:$G)="No","OK - Excluded from ARR","ERROR - Included in ARR")</f>
        <v>OK - Excluded from ARR</v>
      </c>
      <c r="T86" s="135" t="str">
        <f>IF(_xlfn.XLOOKUP("Implementation Fee Included in ARR?",'1. Assumptions'!$B:$B,'1. Assumptions'!$G:$G)="No","OK - Excluded from ARR","ERROR - Included in ARR")</f>
        <v>OK - Excluded from ARR</v>
      </c>
      <c r="U86" s="135" t="str">
        <f>IF(_xlfn.XLOOKUP("Implementation Fee Included in ARR?",'1. Assumptions'!$B:$B,'1. Assumptions'!$G:$G)="No","OK - Excluded from ARR","ERROR - Included in ARR")</f>
        <v>OK - Excluded from ARR</v>
      </c>
      <c r="V86" s="135" t="str">
        <f>IF(_xlfn.XLOOKUP("Implementation Fee Included in ARR?",'1. Assumptions'!$B:$B,'1. Assumptions'!$G:$G)="No","OK - Excluded from ARR","ERROR - Included in ARR")</f>
        <v>OK - Excluded from ARR</v>
      </c>
      <c r="W86" s="135" t="str">
        <f>IF(_xlfn.XLOOKUP("Implementation Fee Included in ARR?",'1. Assumptions'!$B:$B,'1. Assumptions'!$G:$G)="No","OK - Excluded from ARR","ERROR - Included in ARR")</f>
        <v>OK - Excluded from ARR</v>
      </c>
      <c r="X86" s="135" t="str">
        <f>IF(_xlfn.XLOOKUP("Implementation Fee Included in ARR?",'1. Assumptions'!$B:$B,'1. Assumptions'!$G:$G)="No","OK - Excluded from ARR","ERROR - Included in ARR")</f>
        <v>OK - Excluded from ARR</v>
      </c>
      <c r="Y86" s="135" t="str">
        <f>IF(_xlfn.XLOOKUP("Implementation Fee Included in ARR?",'1. Assumptions'!$B:$B,'1. Assumptions'!$G:$G)="No","OK - Excluded from ARR","ERROR - Included in ARR")</f>
        <v>OK - Excluded from ARR</v>
      </c>
      <c r="Z86" s="135" t="str">
        <f>IF(_xlfn.XLOOKUP("Implementation Fee Included in ARR?",'1. Assumptions'!$B:$B,'1. Assumptions'!$G:$G)="No","OK - Excluded from ARR","ERROR - Included in ARR")</f>
        <v>OK - Excluded from ARR</v>
      </c>
      <c r="AA86" s="135" t="str">
        <f>IF(_xlfn.XLOOKUP("Implementation Fee Included in ARR?",'1. Assumptions'!$B:$B,'1. Assumptions'!$G:$G)="No","OK - Excluded from ARR","ERROR - Included in ARR")</f>
        <v>OK - Excluded from ARR</v>
      </c>
      <c r="AC86" s="130"/>
    </row>
    <row r="87" spans="1:30" s="3" customFormat="1" ht="13.2">
      <c r="A87" s="115"/>
      <c r="B87" s="115"/>
      <c r="C87" s="115"/>
    </row>
    <row r="88" spans="1:30" s="106" customFormat="1" ht="15" customHeight="1">
      <c r="A88" s="105" t="s">
        <v>786</v>
      </c>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row>
    <row r="89" spans="1:30" s="3" customFormat="1" ht="13.2">
      <c r="A89" s="110" t="s">
        <v>787</v>
      </c>
      <c r="B89" s="110" t="s">
        <v>756</v>
      </c>
      <c r="C89" s="110" t="s">
        <v>64</v>
      </c>
      <c r="D89" s="135">
        <f t="shared" ref="D89:AA89" si="34">D59</f>
        <v>44463.3</v>
      </c>
      <c r="E89" s="135">
        <f t="shared" si="34"/>
        <v>46129.371027682952</v>
      </c>
      <c r="F89" s="135">
        <f t="shared" si="34"/>
        <v>47841.764196183787</v>
      </c>
      <c r="G89" s="135">
        <f t="shared" si="34"/>
        <v>49636.689580722785</v>
      </c>
      <c r="H89" s="135">
        <f t="shared" si="34"/>
        <v>51546.579430354774</v>
      </c>
      <c r="I89" s="135">
        <f t="shared" si="34"/>
        <v>54200.286326940695</v>
      </c>
      <c r="J89" s="135">
        <f t="shared" si="34"/>
        <v>57054.935869718305</v>
      </c>
      <c r="K89" s="135">
        <f t="shared" si="34"/>
        <v>60140.158808947861</v>
      </c>
      <c r="L89" s="135">
        <f t="shared" si="34"/>
        <v>63485.58654313445</v>
      </c>
      <c r="M89" s="135">
        <f t="shared" si="34"/>
        <v>67121.426222983791</v>
      </c>
      <c r="N89" s="135">
        <f t="shared" si="34"/>
        <v>71078.963613337575</v>
      </c>
      <c r="O89" s="135">
        <f t="shared" si="34"/>
        <v>75391.01465241886</v>
      </c>
      <c r="P89" s="135">
        <f t="shared" si="34"/>
        <v>80092.342528908368</v>
      </c>
      <c r="Q89" s="135">
        <f t="shared" si="34"/>
        <v>85220.053931696762</v>
      </c>
      <c r="R89" s="135">
        <f t="shared" si="34"/>
        <v>90813.985709536064</v>
      </c>
      <c r="S89" s="135">
        <f t="shared" si="34"/>
        <v>96917.091348740316</v>
      </c>
      <c r="T89" s="135">
        <f t="shared" si="34"/>
        <v>103575.83531264079</v>
      </c>
      <c r="U89" s="135">
        <f t="shared" si="34"/>
        <v>110840.60229057564</v>
      </c>
      <c r="V89" s="135">
        <f t="shared" si="34"/>
        <v>118766.12770242419</v>
      </c>
      <c r="W89" s="135">
        <f t="shared" si="34"/>
        <v>127411.95533973681</v>
      </c>
      <c r="X89" s="135">
        <f t="shared" si="34"/>
        <v>136842.92775236137</v>
      </c>
      <c r="Y89" s="135">
        <f t="shared" si="34"/>
        <v>147129.71487660302</v>
      </c>
      <c r="Z89" s="135">
        <f t="shared" si="34"/>
        <v>158349.3864221017</v>
      </c>
      <c r="AA89" s="135">
        <f t="shared" si="34"/>
        <v>170586.03367102746</v>
      </c>
    </row>
    <row r="90" spans="1:30" s="3" customFormat="1" ht="13.2">
      <c r="A90" s="110" t="s">
        <v>787</v>
      </c>
      <c r="B90" s="110" t="s">
        <v>144</v>
      </c>
      <c r="C90" s="110" t="s">
        <v>64</v>
      </c>
      <c r="D90" s="135">
        <f t="shared" ref="D90:AA90" si="35">D78</f>
        <v>0</v>
      </c>
      <c r="E90" s="135">
        <f t="shared" si="35"/>
        <v>0</v>
      </c>
      <c r="F90" s="135">
        <f t="shared" si="35"/>
        <v>0</v>
      </c>
      <c r="G90" s="135">
        <f t="shared" si="35"/>
        <v>0</v>
      </c>
      <c r="H90" s="135">
        <f t="shared" si="35"/>
        <v>0</v>
      </c>
      <c r="I90" s="135">
        <f t="shared" si="35"/>
        <v>0</v>
      </c>
      <c r="J90" s="135">
        <f t="shared" si="35"/>
        <v>0</v>
      </c>
      <c r="K90" s="135">
        <f t="shared" si="35"/>
        <v>0</v>
      </c>
      <c r="L90" s="135">
        <f t="shared" si="35"/>
        <v>0</v>
      </c>
      <c r="M90" s="135">
        <f t="shared" si="35"/>
        <v>273.42919708299877</v>
      </c>
      <c r="N90" s="135">
        <f t="shared" si="35"/>
        <v>579.71732629125188</v>
      </c>
      <c r="O90" s="135">
        <f t="shared" si="35"/>
        <v>923.83577383415695</v>
      </c>
      <c r="P90" s="135">
        <f t="shared" si="35"/>
        <v>1311.4329209465036</v>
      </c>
      <c r="Q90" s="135">
        <f t="shared" si="35"/>
        <v>1748.8859195766302</v>
      </c>
      <c r="R90" s="135">
        <f t="shared" si="35"/>
        <v>2243.3665284550329</v>
      </c>
      <c r="S90" s="135">
        <f t="shared" si="35"/>
        <v>2802.9204759061472</v>
      </c>
      <c r="T90" s="135">
        <f t="shared" si="35"/>
        <v>3436.560294323443</v>
      </c>
      <c r="U90" s="135">
        <f t="shared" si="35"/>
        <v>4154.3719691619608</v>
      </c>
      <c r="V90" s="135">
        <f t="shared" si="35"/>
        <v>4967.6360864753042</v>
      </c>
      <c r="W90" s="135">
        <f t="shared" si="35"/>
        <v>5888.9644659749738</v>
      </c>
      <c r="X90" s="135">
        <f t="shared" si="35"/>
        <v>6932.4535458616901</v>
      </c>
      <c r="Y90" s="135">
        <f t="shared" si="35"/>
        <v>8113.8560528328962</v>
      </c>
      <c r="Z90" s="135">
        <f t="shared" si="35"/>
        <v>9450.7727550681138</v>
      </c>
      <c r="AA90" s="135">
        <f t="shared" si="35"/>
        <v>10962.866365391445</v>
      </c>
    </row>
    <row r="91" spans="1:30" s="3" customFormat="1" ht="13.2">
      <c r="A91" s="110" t="s">
        <v>787</v>
      </c>
      <c r="B91" s="110" t="s">
        <v>788</v>
      </c>
      <c r="C91" s="110" t="s">
        <v>64</v>
      </c>
      <c r="D91" s="135">
        <f t="shared" ref="D91:AA91" si="36">D89+D90</f>
        <v>44463.3</v>
      </c>
      <c r="E91" s="135">
        <f t="shared" si="36"/>
        <v>46129.371027682952</v>
      </c>
      <c r="F91" s="135">
        <f t="shared" si="36"/>
        <v>47841.764196183787</v>
      </c>
      <c r="G91" s="135">
        <f t="shared" si="36"/>
        <v>49636.689580722785</v>
      </c>
      <c r="H91" s="135">
        <f t="shared" si="36"/>
        <v>51546.579430354774</v>
      </c>
      <c r="I91" s="135">
        <f t="shared" si="36"/>
        <v>54200.286326940695</v>
      </c>
      <c r="J91" s="135">
        <f t="shared" si="36"/>
        <v>57054.935869718305</v>
      </c>
      <c r="K91" s="135">
        <f t="shared" si="36"/>
        <v>60140.158808947861</v>
      </c>
      <c r="L91" s="135">
        <f t="shared" si="36"/>
        <v>63485.58654313445</v>
      </c>
      <c r="M91" s="135">
        <f t="shared" si="36"/>
        <v>67394.855420066786</v>
      </c>
      <c r="N91" s="135">
        <f t="shared" si="36"/>
        <v>71658.68093962883</v>
      </c>
      <c r="O91" s="135">
        <f t="shared" si="36"/>
        <v>76314.850426253019</v>
      </c>
      <c r="P91" s="135">
        <f t="shared" si="36"/>
        <v>81403.775449854875</v>
      </c>
      <c r="Q91" s="135">
        <f t="shared" si="36"/>
        <v>86968.93985127339</v>
      </c>
      <c r="R91" s="135">
        <f t="shared" si="36"/>
        <v>93057.352237991101</v>
      </c>
      <c r="S91" s="135">
        <f t="shared" si="36"/>
        <v>99720.01182464647</v>
      </c>
      <c r="T91" s="135">
        <f t="shared" si="36"/>
        <v>107012.39560696423</v>
      </c>
      <c r="U91" s="135">
        <f t="shared" si="36"/>
        <v>114994.9742597376</v>
      </c>
      <c r="V91" s="135">
        <f t="shared" si="36"/>
        <v>123733.76378889949</v>
      </c>
      <c r="W91" s="135">
        <f t="shared" si="36"/>
        <v>133300.91980571178</v>
      </c>
      <c r="X91" s="135">
        <f t="shared" si="36"/>
        <v>143775.38129822307</v>
      </c>
      <c r="Y91" s="135">
        <f t="shared" si="36"/>
        <v>155243.5709294359</v>
      </c>
      <c r="Z91" s="135">
        <f t="shared" si="36"/>
        <v>167800.15917716981</v>
      </c>
      <c r="AA91" s="135">
        <f t="shared" si="36"/>
        <v>181548.9000364189</v>
      </c>
    </row>
    <row r="92" spans="1:30" s="3" customFormat="1" ht="26.4">
      <c r="A92" s="110" t="s">
        <v>787</v>
      </c>
      <c r="B92" s="110" t="s">
        <v>789</v>
      </c>
      <c r="C92" s="110" t="s">
        <v>64</v>
      </c>
      <c r="D92" s="135">
        <f>D85</f>
        <v>0</v>
      </c>
      <c r="E92" s="135">
        <f t="shared" ref="E92:AA92" si="37">E85</f>
        <v>0</v>
      </c>
      <c r="F92" s="135">
        <f t="shared" si="37"/>
        <v>0</v>
      </c>
      <c r="G92" s="135">
        <f t="shared" si="37"/>
        <v>0</v>
      </c>
      <c r="H92" s="135">
        <f t="shared" si="37"/>
        <v>0</v>
      </c>
      <c r="I92" s="135">
        <f t="shared" si="37"/>
        <v>1000</v>
      </c>
      <c r="J92" s="135">
        <f t="shared" si="37"/>
        <v>2070</v>
      </c>
      <c r="K92" s="135">
        <f t="shared" si="37"/>
        <v>3214.9</v>
      </c>
      <c r="L92" s="135">
        <f t="shared" si="37"/>
        <v>3439.9430000000007</v>
      </c>
      <c r="M92" s="135">
        <f t="shared" si="37"/>
        <v>3680.7390100000007</v>
      </c>
      <c r="N92" s="135">
        <f t="shared" si="37"/>
        <v>3938.3907407000006</v>
      </c>
      <c r="O92" s="135">
        <f t="shared" si="37"/>
        <v>4214.0780925490008</v>
      </c>
      <c r="P92" s="135">
        <f t="shared" si="37"/>
        <v>4509.0635590274305</v>
      </c>
      <c r="Q92" s="135">
        <f t="shared" si="37"/>
        <v>4824.698008159351</v>
      </c>
      <c r="R92" s="135">
        <f t="shared" si="37"/>
        <v>5162.4268687305057</v>
      </c>
      <c r="S92" s="135">
        <f t="shared" si="37"/>
        <v>5523.7967495416406</v>
      </c>
      <c r="T92" s="135">
        <f t="shared" si="37"/>
        <v>5910.462522009555</v>
      </c>
      <c r="U92" s="135">
        <f t="shared" si="37"/>
        <v>6324.194898550224</v>
      </c>
      <c r="V92" s="135">
        <f t="shared" si="37"/>
        <v>6766.8885414487404</v>
      </c>
      <c r="W92" s="135">
        <f t="shared" si="37"/>
        <v>7240.5707393501516</v>
      </c>
      <c r="X92" s="135">
        <f t="shared" si="37"/>
        <v>7747.410691104662</v>
      </c>
      <c r="Y92" s="135">
        <f t="shared" si="37"/>
        <v>8289.7294394819892</v>
      </c>
      <c r="Z92" s="135">
        <f t="shared" si="37"/>
        <v>8870.0105002457276</v>
      </c>
      <c r="AA92" s="135">
        <f t="shared" si="37"/>
        <v>9490.911235262929</v>
      </c>
    </row>
    <row r="93" spans="1:30" s="3" customFormat="1" ht="13.2">
      <c r="A93" s="110" t="s">
        <v>787</v>
      </c>
      <c r="B93" s="110" t="s">
        <v>790</v>
      </c>
      <c r="C93" s="110" t="s">
        <v>64</v>
      </c>
      <c r="D93" s="135">
        <f t="shared" ref="D93:AA93" si="38">D91+D92</f>
        <v>44463.3</v>
      </c>
      <c r="E93" s="135">
        <f t="shared" si="38"/>
        <v>46129.371027682952</v>
      </c>
      <c r="F93" s="135">
        <f t="shared" si="38"/>
        <v>47841.764196183787</v>
      </c>
      <c r="G93" s="135">
        <f t="shared" si="38"/>
        <v>49636.689580722785</v>
      </c>
      <c r="H93" s="135">
        <f t="shared" si="38"/>
        <v>51546.579430354774</v>
      </c>
      <c r="I93" s="135">
        <f t="shared" si="38"/>
        <v>55200.286326940695</v>
      </c>
      <c r="J93" s="135">
        <f t="shared" si="38"/>
        <v>59124.935869718305</v>
      </c>
      <c r="K93" s="135">
        <f t="shared" si="38"/>
        <v>63355.058808947862</v>
      </c>
      <c r="L93" s="135">
        <f t="shared" si="38"/>
        <v>66925.529543134457</v>
      </c>
      <c r="M93" s="135">
        <f t="shared" si="38"/>
        <v>71075.594430066791</v>
      </c>
      <c r="N93" s="135">
        <f t="shared" si="38"/>
        <v>75597.071680328838</v>
      </c>
      <c r="O93" s="135">
        <f t="shared" si="38"/>
        <v>80528.928518802015</v>
      </c>
      <c r="P93" s="135">
        <f t="shared" si="38"/>
        <v>85912.839008882307</v>
      </c>
      <c r="Q93" s="135">
        <f t="shared" si="38"/>
        <v>91793.63785943274</v>
      </c>
      <c r="R93" s="135">
        <f t="shared" si="38"/>
        <v>98219.779106721602</v>
      </c>
      <c r="S93" s="135">
        <f t="shared" si="38"/>
        <v>105243.80857418811</v>
      </c>
      <c r="T93" s="135">
        <f t="shared" si="38"/>
        <v>112922.85812897378</v>
      </c>
      <c r="U93" s="135">
        <f t="shared" si="38"/>
        <v>121319.16915828783</v>
      </c>
      <c r="V93" s="135">
        <f t="shared" si="38"/>
        <v>130500.65233034824</v>
      </c>
      <c r="W93" s="135">
        <f t="shared" si="38"/>
        <v>140541.49054506194</v>
      </c>
      <c r="X93" s="135">
        <f t="shared" si="38"/>
        <v>151522.79198932773</v>
      </c>
      <c r="Y93" s="135">
        <f t="shared" si="38"/>
        <v>163533.30036891787</v>
      </c>
      <c r="Z93" s="135">
        <f t="shared" si="38"/>
        <v>176670.16967741554</v>
      </c>
      <c r="AA93" s="135">
        <f t="shared" si="38"/>
        <v>191039.81127168183</v>
      </c>
    </row>
    <row r="94" spans="1:30" s="3" customFormat="1" ht="39.6">
      <c r="A94" s="110" t="s">
        <v>787</v>
      </c>
      <c r="B94" s="110" t="s">
        <v>791</v>
      </c>
      <c r="C94" s="110" t="s">
        <v>64</v>
      </c>
      <c r="D94" s="135">
        <f t="shared" ref="D94:AA94" si="39">D91*12</f>
        <v>533559.60000000009</v>
      </c>
      <c r="E94" s="135">
        <f t="shared" si="39"/>
        <v>553552.45233219536</v>
      </c>
      <c r="F94" s="135">
        <f t="shared" si="39"/>
        <v>574101.17035420542</v>
      </c>
      <c r="G94" s="135">
        <f t="shared" si="39"/>
        <v>595640.27496867348</v>
      </c>
      <c r="H94" s="135">
        <f t="shared" si="39"/>
        <v>618558.95316425734</v>
      </c>
      <c r="I94" s="135">
        <f t="shared" si="39"/>
        <v>650403.43592328834</v>
      </c>
      <c r="J94" s="135">
        <f t="shared" si="39"/>
        <v>684659.2304366196</v>
      </c>
      <c r="K94" s="135">
        <f t="shared" si="39"/>
        <v>721681.90570737433</v>
      </c>
      <c r="L94" s="135">
        <f t="shared" si="39"/>
        <v>761827.03851761343</v>
      </c>
      <c r="M94" s="135">
        <f t="shared" si="39"/>
        <v>808738.26504080137</v>
      </c>
      <c r="N94" s="135">
        <f t="shared" si="39"/>
        <v>859904.17127554596</v>
      </c>
      <c r="O94" s="135">
        <f t="shared" si="39"/>
        <v>915778.20511503622</v>
      </c>
      <c r="P94" s="135">
        <f t="shared" si="39"/>
        <v>976845.3053982585</v>
      </c>
      <c r="Q94" s="135">
        <f t="shared" si="39"/>
        <v>1043627.2782152807</v>
      </c>
      <c r="R94" s="135">
        <f t="shared" si="39"/>
        <v>1116688.2268558932</v>
      </c>
      <c r="S94" s="135">
        <f t="shared" si="39"/>
        <v>1196640.1418957575</v>
      </c>
      <c r="T94" s="135">
        <f t="shared" si="39"/>
        <v>1284148.7472835707</v>
      </c>
      <c r="U94" s="135">
        <f t="shared" si="39"/>
        <v>1379939.6911168513</v>
      </c>
      <c r="V94" s="135">
        <f t="shared" si="39"/>
        <v>1484805.1654667938</v>
      </c>
      <c r="W94" s="135">
        <f t="shared" si="39"/>
        <v>1599611.0376685413</v>
      </c>
      <c r="X94" s="135">
        <f t="shared" si="39"/>
        <v>1725304.575578677</v>
      </c>
      <c r="Y94" s="135">
        <f t="shared" si="39"/>
        <v>1862922.8511532308</v>
      </c>
      <c r="Z94" s="135">
        <f t="shared" si="39"/>
        <v>2013601.9101260379</v>
      </c>
      <c r="AA94" s="135">
        <f t="shared" si="39"/>
        <v>2178586.8004370267</v>
      </c>
      <c r="AC94" s="111" t="s">
        <v>792</v>
      </c>
      <c r="AD94" s="136" t="s">
        <v>793</v>
      </c>
    </row>
    <row r="95" spans="1:30" s="3" customFormat="1" ht="13.2">
      <c r="A95" s="110" t="s">
        <v>787</v>
      </c>
      <c r="B95" s="110" t="s">
        <v>794</v>
      </c>
      <c r="C95" s="110" t="s">
        <v>64</v>
      </c>
      <c r="D95" s="135">
        <f t="shared" ref="D95:AA96" si="40">D89*12</f>
        <v>533559.60000000009</v>
      </c>
      <c r="E95" s="135">
        <f t="shared" si="40"/>
        <v>553552.45233219536</v>
      </c>
      <c r="F95" s="135">
        <f t="shared" si="40"/>
        <v>574101.17035420542</v>
      </c>
      <c r="G95" s="135">
        <f t="shared" si="40"/>
        <v>595640.27496867348</v>
      </c>
      <c r="H95" s="135">
        <f t="shared" si="40"/>
        <v>618558.95316425734</v>
      </c>
      <c r="I95" s="135">
        <f t="shared" si="40"/>
        <v>650403.43592328834</v>
      </c>
      <c r="J95" s="135">
        <f t="shared" si="40"/>
        <v>684659.2304366196</v>
      </c>
      <c r="K95" s="135">
        <f t="shared" si="40"/>
        <v>721681.90570737433</v>
      </c>
      <c r="L95" s="135">
        <f t="shared" si="40"/>
        <v>761827.03851761343</v>
      </c>
      <c r="M95" s="135">
        <f t="shared" si="40"/>
        <v>805457.11467580544</v>
      </c>
      <c r="N95" s="135">
        <f t="shared" si="40"/>
        <v>852947.5633600509</v>
      </c>
      <c r="O95" s="135">
        <f t="shared" si="40"/>
        <v>904692.17582902638</v>
      </c>
      <c r="P95" s="135">
        <f t="shared" si="40"/>
        <v>961108.11034690042</v>
      </c>
      <c r="Q95" s="135">
        <f t="shared" si="40"/>
        <v>1022640.6471803612</v>
      </c>
      <c r="R95" s="135">
        <f t="shared" si="40"/>
        <v>1089767.8285144328</v>
      </c>
      <c r="S95" s="135">
        <f t="shared" si="40"/>
        <v>1163005.0961848837</v>
      </c>
      <c r="T95" s="135">
        <f t="shared" si="40"/>
        <v>1242910.0237516896</v>
      </c>
      <c r="U95" s="135">
        <f t="shared" si="40"/>
        <v>1330087.2274869077</v>
      </c>
      <c r="V95" s="135">
        <f t="shared" si="40"/>
        <v>1425193.5324290902</v>
      </c>
      <c r="W95" s="135">
        <f t="shared" si="40"/>
        <v>1528943.4640768417</v>
      </c>
      <c r="X95" s="135">
        <f t="shared" si="40"/>
        <v>1642115.1330283363</v>
      </c>
      <c r="Y95" s="135">
        <f t="shared" si="40"/>
        <v>1765556.5785192363</v>
      </c>
      <c r="Z95" s="135">
        <f t="shared" si="40"/>
        <v>1900192.6370652204</v>
      </c>
      <c r="AA95" s="135">
        <f t="shared" si="40"/>
        <v>2047032.4040523295</v>
      </c>
    </row>
    <row r="96" spans="1:30" s="3" customFormat="1" ht="13.2">
      <c r="A96" s="110" t="s">
        <v>787</v>
      </c>
      <c r="B96" s="110" t="s">
        <v>795</v>
      </c>
      <c r="C96" s="110" t="s">
        <v>64</v>
      </c>
      <c r="D96" s="135">
        <f t="shared" si="40"/>
        <v>0</v>
      </c>
      <c r="E96" s="135">
        <f t="shared" si="40"/>
        <v>0</v>
      </c>
      <c r="F96" s="135">
        <f t="shared" si="40"/>
        <v>0</v>
      </c>
      <c r="G96" s="135">
        <f t="shared" si="40"/>
        <v>0</v>
      </c>
      <c r="H96" s="135">
        <f t="shared" si="40"/>
        <v>0</v>
      </c>
      <c r="I96" s="135">
        <f t="shared" si="40"/>
        <v>0</v>
      </c>
      <c r="J96" s="135">
        <f t="shared" si="40"/>
        <v>0</v>
      </c>
      <c r="K96" s="135">
        <f t="shared" si="40"/>
        <v>0</v>
      </c>
      <c r="L96" s="135">
        <f t="shared" si="40"/>
        <v>0</v>
      </c>
      <c r="M96" s="135">
        <f t="shared" si="40"/>
        <v>3281.150364995985</v>
      </c>
      <c r="N96" s="135">
        <f t="shared" si="40"/>
        <v>6956.6079154950221</v>
      </c>
      <c r="O96" s="135">
        <f t="shared" si="40"/>
        <v>11086.029286009883</v>
      </c>
      <c r="P96" s="135">
        <f t="shared" si="40"/>
        <v>15737.195051358043</v>
      </c>
      <c r="Q96" s="135">
        <f t="shared" si="40"/>
        <v>20986.631034919563</v>
      </c>
      <c r="R96" s="135">
        <f t="shared" si="40"/>
        <v>26920.398341460394</v>
      </c>
      <c r="S96" s="135">
        <f t="shared" si="40"/>
        <v>33635.045710873768</v>
      </c>
      <c r="T96" s="135">
        <f t="shared" si="40"/>
        <v>41238.723531881318</v>
      </c>
      <c r="U96" s="135">
        <f t="shared" si="40"/>
        <v>49852.46362994353</v>
      </c>
      <c r="V96" s="135">
        <f t="shared" si="40"/>
        <v>59611.63303770365</v>
      </c>
      <c r="W96" s="135">
        <f t="shared" si="40"/>
        <v>70667.573591699678</v>
      </c>
      <c r="X96" s="135">
        <f t="shared" si="40"/>
        <v>83189.442550340289</v>
      </c>
      <c r="Y96" s="135">
        <f t="shared" si="40"/>
        <v>97366.272633994755</v>
      </c>
      <c r="Z96" s="135">
        <f t="shared" si="40"/>
        <v>113409.27306081736</v>
      </c>
      <c r="AA96" s="135">
        <f t="shared" si="40"/>
        <v>131554.39638469735</v>
      </c>
    </row>
    <row r="97" spans="1:29" s="3" customFormat="1" ht="13.2">
      <c r="A97" s="110" t="s">
        <v>787</v>
      </c>
      <c r="B97" s="110" t="s">
        <v>796</v>
      </c>
      <c r="C97" s="110" t="s">
        <v>173</v>
      </c>
      <c r="D97" s="122">
        <v>0</v>
      </c>
      <c r="E97" s="122">
        <f t="shared" ref="E97:AA97" si="41">IFERROR(E91/D91-1,0)</f>
        <v>3.7470701177891641E-2</v>
      </c>
      <c r="F97" s="122">
        <f t="shared" si="41"/>
        <v>3.7121537327556409E-2</v>
      </c>
      <c r="G97" s="122">
        <f t="shared" si="41"/>
        <v>3.7517959772105813E-2</v>
      </c>
      <c r="H97" s="122">
        <f t="shared" si="41"/>
        <v>3.8477381665954713E-2</v>
      </c>
      <c r="I97" s="122">
        <f t="shared" si="41"/>
        <v>5.1481726351432888E-2</v>
      </c>
      <c r="J97" s="122">
        <f t="shared" si="41"/>
        <v>5.2668532515826927E-2</v>
      </c>
      <c r="K97" s="122">
        <f t="shared" si="41"/>
        <v>5.4074601823661528E-2</v>
      </c>
      <c r="L97" s="122">
        <f t="shared" si="41"/>
        <v>5.5627184903423332E-2</v>
      </c>
      <c r="M97" s="122">
        <f t="shared" si="41"/>
        <v>6.1577266428439303E-2</v>
      </c>
      <c r="N97" s="122">
        <f t="shared" si="41"/>
        <v>6.3266335286068287E-2</v>
      </c>
      <c r="O97" s="122">
        <f t="shared" si="41"/>
        <v>6.497704710120078E-2</v>
      </c>
      <c r="P97" s="122">
        <f t="shared" si="41"/>
        <v>6.6683286348304449E-2</v>
      </c>
      <c r="Q97" s="122">
        <f t="shared" si="41"/>
        <v>6.8364942174539367E-2</v>
      </c>
      <c r="R97" s="122">
        <f t="shared" si="41"/>
        <v>7.0006744903750473E-2</v>
      </c>
      <c r="S97" s="122">
        <f t="shared" si="41"/>
        <v>7.1597347511197507E-2</v>
      </c>
      <c r="T97" s="122">
        <f t="shared" si="41"/>
        <v>7.3128589225812668E-2</v>
      </c>
      <c r="U97" s="122">
        <f t="shared" si="41"/>
        <v>7.4594897231268664E-2</v>
      </c>
      <c r="V97" s="122">
        <f t="shared" si="41"/>
        <v>7.5992795210542807E-2</v>
      </c>
      <c r="W97" s="122">
        <f t="shared" si="41"/>
        <v>7.7320496232012204E-2</v>
      </c>
      <c r="X97" s="122">
        <f t="shared" si="41"/>
        <v>7.8577563514025117E-2</v>
      </c>
      <c r="Y97" s="122">
        <f t="shared" si="41"/>
        <v>7.9764626792574234E-2</v>
      </c>
      <c r="Z97" s="122">
        <f t="shared" si="41"/>
        <v>8.0883144935137929E-2</v>
      </c>
      <c r="AA97" s="122">
        <f t="shared" si="41"/>
        <v>8.193520749126737E-2</v>
      </c>
    </row>
    <row r="98" spans="1:29" s="3" customFormat="1" ht="13.2">
      <c r="A98" s="115"/>
      <c r="B98" s="115"/>
      <c r="C98" s="115"/>
    </row>
    <row r="99" spans="1:29" s="106" customFormat="1" ht="15" customHeight="1">
      <c r="A99" s="105" t="s">
        <v>797</v>
      </c>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row>
    <row r="100" spans="1:29" s="3" customFormat="1" ht="13.2">
      <c r="A100" s="110" t="s">
        <v>798</v>
      </c>
      <c r="B100" s="110" t="s">
        <v>799</v>
      </c>
      <c r="C100" s="110" t="s">
        <v>79</v>
      </c>
      <c r="D100" s="121">
        <f t="shared" ref="D100:AA100" si="42">D50</f>
        <v>524</v>
      </c>
      <c r="E100" s="121">
        <f t="shared" si="42"/>
        <v>550.09519662384469</v>
      </c>
      <c r="F100" s="121">
        <f t="shared" si="42"/>
        <v>576.28481576099432</v>
      </c>
      <c r="G100" s="121">
        <f t="shared" si="42"/>
        <v>603.30932210290678</v>
      </c>
      <c r="H100" s="121">
        <f t="shared" si="42"/>
        <v>631.80628983455199</v>
      </c>
      <c r="I100" s="121">
        <f t="shared" si="42"/>
        <v>663.33919813093905</v>
      </c>
      <c r="J100" s="121">
        <f t="shared" si="42"/>
        <v>697.47700076684498</v>
      </c>
      <c r="K100" s="121">
        <f t="shared" si="42"/>
        <v>734.7037431358591</v>
      </c>
      <c r="L100" s="121">
        <f t="shared" si="42"/>
        <v>775.48642415486745</v>
      </c>
      <c r="M100" s="121">
        <f t="shared" si="42"/>
        <v>820.28759124899625</v>
      </c>
      <c r="N100" s="121">
        <f t="shared" si="42"/>
        <v>869.57598943687765</v>
      </c>
      <c r="O100" s="121">
        <f t="shared" si="42"/>
        <v>923.83577383415661</v>
      </c>
      <c r="P100" s="121">
        <f t="shared" si="42"/>
        <v>983.57469070987759</v>
      </c>
      <c r="Q100" s="121">
        <f t="shared" si="42"/>
        <v>1049.3315517459782</v>
      </c>
      <c r="R100" s="121">
        <f t="shared" si="42"/>
        <v>1121.683264227516</v>
      </c>
      <c r="S100" s="121">
        <f t="shared" si="42"/>
        <v>1201.2516325312058</v>
      </c>
      <c r="T100" s="121">
        <f t="shared" si="42"/>
        <v>1288.710110371291</v>
      </c>
      <c r="U100" s="121">
        <f t="shared" si="42"/>
        <v>1384.79065638732</v>
      </c>
      <c r="V100" s="121">
        <f t="shared" si="42"/>
        <v>1490.2908259425913</v>
      </c>
      <c r="W100" s="121">
        <f t="shared" si="42"/>
        <v>1606.0812179931745</v>
      </c>
      <c r="X100" s="121">
        <f t="shared" si="42"/>
        <v>1733.1133864654221</v>
      </c>
      <c r="Y100" s="121">
        <f t="shared" si="42"/>
        <v>1872.4283198845144</v>
      </c>
      <c r="Z100" s="121">
        <f t="shared" si="42"/>
        <v>2025.1655903717387</v>
      </c>
      <c r="AA100" s="121">
        <f t="shared" si="42"/>
        <v>2192.5732730782888</v>
      </c>
    </row>
    <row r="101" spans="1:29" s="3" customFormat="1" ht="13.2">
      <c r="A101" s="110" t="s">
        <v>798</v>
      </c>
      <c r="B101" s="110" t="s">
        <v>800</v>
      </c>
      <c r="C101" s="110" t="s">
        <v>290</v>
      </c>
      <c r="D101" s="135">
        <f t="shared" ref="D101:AA101" si="43">IFERROR(D91/D100,0)</f>
        <v>84.853625954198478</v>
      </c>
      <c r="E101" s="135">
        <f t="shared" si="43"/>
        <v>83.857069305090178</v>
      </c>
      <c r="F101" s="135">
        <f t="shared" si="43"/>
        <v>83.01756854899584</v>
      </c>
      <c r="G101" s="135">
        <f t="shared" si="43"/>
        <v>82.27403052170348</v>
      </c>
      <c r="H101" s="135">
        <f t="shared" si="43"/>
        <v>81.586049806267397</v>
      </c>
      <c r="I101" s="135">
        <f t="shared" si="43"/>
        <v>81.708251946603482</v>
      </c>
      <c r="J101" s="135">
        <f t="shared" si="43"/>
        <v>81.801888531075491</v>
      </c>
      <c r="K101" s="135">
        <f t="shared" si="43"/>
        <v>81.856339199059903</v>
      </c>
      <c r="L101" s="135">
        <f t="shared" si="43"/>
        <v>81.865503464256832</v>
      </c>
      <c r="M101" s="135">
        <f t="shared" si="43"/>
        <v>82.16003282147571</v>
      </c>
      <c r="N101" s="135">
        <f t="shared" si="43"/>
        <v>82.406462241481336</v>
      </c>
      <c r="O101" s="135">
        <f t="shared" si="43"/>
        <v>82.606511446863237</v>
      </c>
      <c r="P101" s="135">
        <f t="shared" si="43"/>
        <v>82.763186384048922</v>
      </c>
      <c r="Q101" s="135">
        <f t="shared" si="43"/>
        <v>82.880324818753564</v>
      </c>
      <c r="R101" s="135">
        <f t="shared" si="43"/>
        <v>82.962236493809243</v>
      </c>
      <c r="S101" s="135">
        <f t="shared" si="43"/>
        <v>83.013424601573618</v>
      </c>
      <c r="T101" s="135">
        <f t="shared" si="43"/>
        <v>83.038376703766858</v>
      </c>
      <c r="U101" s="135">
        <f t="shared" si="43"/>
        <v>83.041414042855877</v>
      </c>
      <c r="V101" s="135">
        <f t="shared" si="43"/>
        <v>83.026588928130423</v>
      </c>
      <c r="W101" s="135">
        <f t="shared" si="43"/>
        <v>82.997620738180046</v>
      </c>
      <c r="X101" s="135">
        <f t="shared" si="43"/>
        <v>82.95786208855273</v>
      </c>
      <c r="Y101" s="135">
        <f t="shared" si="43"/>
        <v>82.910287822932972</v>
      </c>
      <c r="Z101" s="135">
        <f t="shared" si="43"/>
        <v>82.857500628562661</v>
      </c>
      <c r="AA101" s="135">
        <f t="shared" si="43"/>
        <v>82.801748185834271</v>
      </c>
    </row>
    <row r="102" spans="1:29" s="3" customFormat="1" ht="13.2">
      <c r="A102" s="110" t="s">
        <v>798</v>
      </c>
      <c r="B102" s="110" t="s">
        <v>801</v>
      </c>
      <c r="C102" s="110" t="s">
        <v>290</v>
      </c>
      <c r="D102" s="135">
        <f t="shared" ref="D102:AA102" si="44">IFERROR(D89/D100,0)</f>
        <v>84.853625954198478</v>
      </c>
      <c r="E102" s="135">
        <f t="shared" si="44"/>
        <v>83.857069305090178</v>
      </c>
      <c r="F102" s="135">
        <f t="shared" si="44"/>
        <v>83.01756854899584</v>
      </c>
      <c r="G102" s="135">
        <f t="shared" si="44"/>
        <v>82.27403052170348</v>
      </c>
      <c r="H102" s="135">
        <f t="shared" si="44"/>
        <v>81.586049806267397</v>
      </c>
      <c r="I102" s="135">
        <f t="shared" si="44"/>
        <v>81.708251946603482</v>
      </c>
      <c r="J102" s="135">
        <f t="shared" si="44"/>
        <v>81.801888531075491</v>
      </c>
      <c r="K102" s="135">
        <f t="shared" si="44"/>
        <v>81.856339199059903</v>
      </c>
      <c r="L102" s="135">
        <f t="shared" si="44"/>
        <v>81.865503464256832</v>
      </c>
      <c r="M102" s="135">
        <f t="shared" si="44"/>
        <v>81.826699488142381</v>
      </c>
      <c r="N102" s="135">
        <f t="shared" si="44"/>
        <v>81.739795574814664</v>
      </c>
      <c r="O102" s="135">
        <f t="shared" si="44"/>
        <v>81.606511446863237</v>
      </c>
      <c r="P102" s="135">
        <f t="shared" si="44"/>
        <v>81.429853050715593</v>
      </c>
      <c r="Q102" s="135">
        <f t="shared" si="44"/>
        <v>81.213658152086907</v>
      </c>
      <c r="R102" s="135">
        <f t="shared" si="44"/>
        <v>80.962236493809229</v>
      </c>
      <c r="S102" s="135">
        <f t="shared" si="44"/>
        <v>80.680091268240275</v>
      </c>
      <c r="T102" s="135">
        <f t="shared" si="44"/>
        <v>80.3717100371002</v>
      </c>
      <c r="U102" s="135">
        <f t="shared" si="44"/>
        <v>80.041414042855877</v>
      </c>
      <c r="V102" s="135">
        <f t="shared" si="44"/>
        <v>79.693255594797094</v>
      </c>
      <c r="W102" s="135">
        <f t="shared" si="44"/>
        <v>79.330954071513389</v>
      </c>
      <c r="X102" s="135">
        <f t="shared" si="44"/>
        <v>78.957862088552716</v>
      </c>
      <c r="Y102" s="135">
        <f t="shared" si="44"/>
        <v>78.576954489599643</v>
      </c>
      <c r="Z102" s="135">
        <f t="shared" si="44"/>
        <v>78.19083396189599</v>
      </c>
      <c r="AA102" s="135">
        <f t="shared" si="44"/>
        <v>77.801748185834271</v>
      </c>
    </row>
    <row r="103" spans="1:29" s="3" customFormat="1" ht="13.2">
      <c r="A103" s="110" t="s">
        <v>798</v>
      </c>
      <c r="B103" s="110" t="s">
        <v>802</v>
      </c>
      <c r="C103" s="110" t="s">
        <v>173</v>
      </c>
      <c r="D103" s="122">
        <f t="shared" ref="D103:AA103" si="45">IFERROR(D90/D91,0)</f>
        <v>0</v>
      </c>
      <c r="E103" s="122">
        <f t="shared" si="45"/>
        <v>0</v>
      </c>
      <c r="F103" s="122">
        <f t="shared" si="45"/>
        <v>0</v>
      </c>
      <c r="G103" s="122">
        <f t="shared" si="45"/>
        <v>0</v>
      </c>
      <c r="H103" s="122">
        <f t="shared" si="45"/>
        <v>0</v>
      </c>
      <c r="I103" s="122">
        <f t="shared" si="45"/>
        <v>0</v>
      </c>
      <c r="J103" s="122">
        <f t="shared" si="45"/>
        <v>0</v>
      </c>
      <c r="K103" s="122">
        <f t="shared" si="45"/>
        <v>0</v>
      </c>
      <c r="L103" s="122">
        <f t="shared" si="45"/>
        <v>0</v>
      </c>
      <c r="M103" s="122">
        <f t="shared" si="45"/>
        <v>4.0571226895396734E-3</v>
      </c>
      <c r="N103" s="122">
        <f t="shared" si="45"/>
        <v>8.0899804279073104E-3</v>
      </c>
      <c r="O103" s="122">
        <f t="shared" si="45"/>
        <v>1.21055832341165E-2</v>
      </c>
      <c r="P103" s="122">
        <f t="shared" si="45"/>
        <v>1.6110222329360543E-2</v>
      </c>
      <c r="Q103" s="122">
        <f t="shared" si="45"/>
        <v>2.0109316298064811E-2</v>
      </c>
      <c r="R103" s="122">
        <f t="shared" si="45"/>
        <v>2.4107353954340945E-2</v>
      </c>
      <c r="S103" s="122">
        <f t="shared" si="45"/>
        <v>2.8107903565384323E-2</v>
      </c>
      <c r="T103" s="122">
        <f t="shared" si="45"/>
        <v>3.2113665663043953E-2</v>
      </c>
      <c r="U103" s="122">
        <f t="shared" si="45"/>
        <v>3.6126552450705687E-2</v>
      </c>
      <c r="V103" s="122">
        <f t="shared" si="45"/>
        <v>4.0147781287494987E-2</v>
      </c>
      <c r="W103" s="122">
        <f t="shared" si="45"/>
        <v>4.4177973224477626E-2</v>
      </c>
      <c r="X103" s="122">
        <f t="shared" si="45"/>
        <v>4.8217250291843733E-2</v>
      </c>
      <c r="Y103" s="122">
        <f t="shared" si="45"/>
        <v>5.2265327344994866E-2</v>
      </c>
      <c r="Z103" s="122">
        <f t="shared" si="45"/>
        <v>5.632159588769893E-2</v>
      </c>
      <c r="AA103" s="122">
        <f t="shared" si="45"/>
        <v>6.0385198495789744E-2</v>
      </c>
    </row>
    <row r="104" spans="1:29" s="3" customFormat="1" ht="26.4">
      <c r="A104" s="110" t="s">
        <v>798</v>
      </c>
      <c r="B104" s="110" t="s">
        <v>803</v>
      </c>
      <c r="C104" s="110" t="s">
        <v>173</v>
      </c>
      <c r="D104" s="122">
        <f t="shared" ref="D104:AA104" si="46">IFERROR(D56/D89,0)</f>
        <v>6.0623030679234332E-3</v>
      </c>
      <c r="E104" s="122">
        <f t="shared" si="46"/>
        <v>1.1918115084487542E-2</v>
      </c>
      <c r="F104" s="122">
        <f t="shared" si="46"/>
        <v>1.7449971579219278E-2</v>
      </c>
      <c r="G104" s="122">
        <f t="shared" si="46"/>
        <v>2.2674338926640166E-2</v>
      </c>
      <c r="H104" s="122">
        <f t="shared" si="46"/>
        <v>2.7595006697420762E-2</v>
      </c>
      <c r="I104" s="122">
        <f t="shared" si="46"/>
        <v>4.2904257212191509E-2</v>
      </c>
      <c r="J104" s="122">
        <f t="shared" si="46"/>
        <v>5.7315022453764727E-2</v>
      </c>
      <c r="K104" s="122">
        <f t="shared" si="46"/>
        <v>7.0830710066121183E-2</v>
      </c>
      <c r="L104" s="122">
        <f t="shared" si="46"/>
        <v>8.3451215232131434E-2</v>
      </c>
      <c r="M104" s="122">
        <f t="shared" si="46"/>
        <v>9.5177246908138877E-2</v>
      </c>
      <c r="N104" s="122">
        <f t="shared" si="46"/>
        <v>0.10601299572630896</v>
      </c>
      <c r="O104" s="122">
        <f t="shared" si="46"/>
        <v>0.11596761643968512</v>
      </c>
      <c r="P104" s="122">
        <f t="shared" si="46"/>
        <v>0.12505586510778793</v>
      </c>
      <c r="Q104" s="122">
        <f t="shared" si="46"/>
        <v>0.1332981432422935</v>
      </c>
      <c r="R104" s="122">
        <f t="shared" si="46"/>
        <v>0.14072013945571521</v>
      </c>
      <c r="S104" s="122">
        <f t="shared" si="46"/>
        <v>0.14735221365213158</v>
      </c>
      <c r="T104" s="122">
        <f t="shared" si="46"/>
        <v>0.15322863382160565</v>
      </c>
      <c r="U104" s="122">
        <f t="shared" si="46"/>
        <v>0.15838674785362913</v>
      </c>
      <c r="V104" s="122">
        <f t="shared" si="46"/>
        <v>0.16286615061235724</v>
      </c>
      <c r="W104" s="122">
        <f t="shared" si="46"/>
        <v>0.16670788868245923</v>
      </c>
      <c r="X104" s="122">
        <f t="shared" si="46"/>
        <v>0.16995373094608301</v>
      </c>
      <c r="Y104" s="122">
        <f t="shared" si="46"/>
        <v>0.17264552193340263</v>
      </c>
      <c r="Z104" s="122">
        <f t="shared" si="46"/>
        <v>0.17482462624798634</v>
      </c>
      <c r="AA104" s="122">
        <f t="shared" si="46"/>
        <v>0.17653146590594562</v>
      </c>
    </row>
    <row r="105" spans="1:29" s="3" customFormat="1" ht="13.2">
      <c r="A105" s="110" t="s">
        <v>798</v>
      </c>
      <c r="B105" s="110" t="s">
        <v>804</v>
      </c>
      <c r="C105" s="110" t="s">
        <v>173</v>
      </c>
      <c r="D105" s="122">
        <f t="shared" ref="D105:AA105" si="47">IFERROR(D12/D9,0)</f>
        <v>0.04</v>
      </c>
      <c r="E105" s="122">
        <f t="shared" si="47"/>
        <v>0.04</v>
      </c>
      <c r="F105" s="122">
        <f t="shared" si="47"/>
        <v>0.04</v>
      </c>
      <c r="G105" s="122">
        <f t="shared" si="47"/>
        <v>0.04</v>
      </c>
      <c r="H105" s="122">
        <f t="shared" si="47"/>
        <v>0.04</v>
      </c>
      <c r="I105" s="122">
        <f t="shared" si="47"/>
        <v>0.04</v>
      </c>
      <c r="J105" s="122">
        <f t="shared" si="47"/>
        <v>0.04</v>
      </c>
      <c r="K105" s="122">
        <f t="shared" si="47"/>
        <v>0.04</v>
      </c>
      <c r="L105" s="122">
        <f t="shared" si="47"/>
        <v>0.04</v>
      </c>
      <c r="M105" s="122">
        <f t="shared" si="47"/>
        <v>0.04</v>
      </c>
      <c r="N105" s="122">
        <f t="shared" si="47"/>
        <v>0.04</v>
      </c>
      <c r="O105" s="122">
        <f t="shared" si="47"/>
        <v>0.04</v>
      </c>
      <c r="P105" s="122">
        <f t="shared" si="47"/>
        <v>0.04</v>
      </c>
      <c r="Q105" s="122">
        <f t="shared" si="47"/>
        <v>0.04</v>
      </c>
      <c r="R105" s="122">
        <f t="shared" si="47"/>
        <v>0.04</v>
      </c>
      <c r="S105" s="122">
        <f t="shared" si="47"/>
        <v>0.04</v>
      </c>
      <c r="T105" s="122">
        <f t="shared" si="47"/>
        <v>0.04</v>
      </c>
      <c r="U105" s="122">
        <f t="shared" si="47"/>
        <v>0.04</v>
      </c>
      <c r="V105" s="122">
        <f t="shared" si="47"/>
        <v>0.04</v>
      </c>
      <c r="W105" s="122">
        <f t="shared" si="47"/>
        <v>0.04</v>
      </c>
      <c r="X105" s="122">
        <f t="shared" si="47"/>
        <v>3.9999999999999994E-2</v>
      </c>
      <c r="Y105" s="122">
        <f t="shared" si="47"/>
        <v>0.04</v>
      </c>
      <c r="Z105" s="122">
        <f t="shared" si="47"/>
        <v>0.04</v>
      </c>
      <c r="AA105" s="122">
        <f t="shared" si="47"/>
        <v>0.04</v>
      </c>
    </row>
    <row r="106" spans="1:29" s="3" customFormat="1" ht="13.2">
      <c r="A106" s="110" t="s">
        <v>798</v>
      </c>
      <c r="B106" s="110" t="s">
        <v>747</v>
      </c>
      <c r="C106" s="110" t="s">
        <v>173</v>
      </c>
      <c r="D106" s="122">
        <f t="shared" ref="D106:AA106" si="48">D51</f>
        <v>0</v>
      </c>
      <c r="E106" s="122">
        <f t="shared" si="48"/>
        <v>3.4551151481212475E-2</v>
      </c>
      <c r="F106" s="122">
        <f t="shared" si="48"/>
        <v>3.4630334857980394E-2</v>
      </c>
      <c r="G106" s="122">
        <f t="shared" si="48"/>
        <v>3.4688808574089569E-2</v>
      </c>
      <c r="H106" s="122">
        <f t="shared" si="48"/>
        <v>3.4735732302807319E-2</v>
      </c>
      <c r="I106" s="122">
        <f t="shared" si="48"/>
        <v>3.4777307644985316E-2</v>
      </c>
      <c r="J106" s="122">
        <f t="shared" si="48"/>
        <v>3.4785486610389035E-2</v>
      </c>
      <c r="K106" s="122">
        <f t="shared" si="48"/>
        <v>3.4796481582379281E-2</v>
      </c>
      <c r="L106" s="122">
        <f t="shared" si="48"/>
        <v>3.4812003916883445E-2</v>
      </c>
      <c r="M106" s="122">
        <f t="shared" si="48"/>
        <v>3.4833002222200163E-2</v>
      </c>
      <c r="N106" s="122">
        <f t="shared" si="48"/>
        <v>3.485986187905394E-2</v>
      </c>
      <c r="O106" s="122">
        <f t="shared" si="48"/>
        <v>3.4892559696617996E-2</v>
      </c>
      <c r="P106" s="122">
        <f t="shared" si="48"/>
        <v>3.4930785793955713E-2</v>
      </c>
      <c r="Q106" s="122">
        <f t="shared" si="48"/>
        <v>3.4974039948196339E-2</v>
      </c>
      <c r="R106" s="122">
        <f t="shared" si="48"/>
        <v>3.5021707142832606E-2</v>
      </c>
      <c r="S106" s="122">
        <f t="shared" si="48"/>
        <v>3.5073115776046403E-2</v>
      </c>
      <c r="T106" s="122">
        <f t="shared" si="48"/>
        <v>3.5127581337707839E-2</v>
      </c>
      <c r="U106" s="122">
        <f t="shared" si="48"/>
        <v>3.5184437999399146E-2</v>
      </c>
      <c r="V106" s="122">
        <f t="shared" si="48"/>
        <v>3.5243060309173527E-2</v>
      </c>
      <c r="W106" s="122">
        <f t="shared" si="48"/>
        <v>3.530287695875995E-2</v>
      </c>
      <c r="X106" s="122">
        <f t="shared" si="48"/>
        <v>3.5363378364036108E-2</v>
      </c>
      <c r="Y106" s="122">
        <f t="shared" si="48"/>
        <v>3.5424119564802348E-2</v>
      </c>
      <c r="Z106" s="122">
        <f t="shared" si="48"/>
        <v>3.5484719713806505E-2</v>
      </c>
      <c r="AA106" s="122">
        <f t="shared" si="48"/>
        <v>3.5544859197409726E-2</v>
      </c>
    </row>
    <row r="107" spans="1:29" s="3" customFormat="1" ht="13.2">
      <c r="A107" s="110" t="s">
        <v>798</v>
      </c>
      <c r="B107" s="110" t="s">
        <v>805</v>
      </c>
      <c r="C107" s="110" t="s">
        <v>64</v>
      </c>
      <c r="D107" s="135">
        <f>D91</f>
        <v>44463.3</v>
      </c>
      <c r="E107" s="135">
        <f t="shared" ref="E107:AA107" si="49">E91-D91</f>
        <v>1666.0710276829486</v>
      </c>
      <c r="F107" s="135">
        <f t="shared" si="49"/>
        <v>1712.3931685008356</v>
      </c>
      <c r="G107" s="135">
        <f t="shared" si="49"/>
        <v>1794.9253845389976</v>
      </c>
      <c r="H107" s="135">
        <f t="shared" si="49"/>
        <v>1909.8898496319889</v>
      </c>
      <c r="I107" s="135">
        <f t="shared" si="49"/>
        <v>2653.7068965859216</v>
      </c>
      <c r="J107" s="135">
        <f t="shared" si="49"/>
        <v>2854.6495427776099</v>
      </c>
      <c r="K107" s="135">
        <f t="shared" si="49"/>
        <v>3085.2229392295558</v>
      </c>
      <c r="L107" s="135">
        <f t="shared" si="49"/>
        <v>3345.4277341865891</v>
      </c>
      <c r="M107" s="135">
        <f t="shared" si="49"/>
        <v>3909.2688769323358</v>
      </c>
      <c r="N107" s="135">
        <f t="shared" si="49"/>
        <v>4263.8255195620441</v>
      </c>
      <c r="O107" s="135">
        <f t="shared" si="49"/>
        <v>4656.1694866241887</v>
      </c>
      <c r="P107" s="135">
        <f t="shared" si="49"/>
        <v>5088.9250236018561</v>
      </c>
      <c r="Q107" s="135">
        <f t="shared" si="49"/>
        <v>5565.1644014185149</v>
      </c>
      <c r="R107" s="135">
        <f t="shared" si="49"/>
        <v>6088.4123867177113</v>
      </c>
      <c r="S107" s="135">
        <f t="shared" si="49"/>
        <v>6662.6595866553689</v>
      </c>
      <c r="T107" s="135">
        <f t="shared" si="49"/>
        <v>7292.3837823177601</v>
      </c>
      <c r="U107" s="135">
        <f t="shared" si="49"/>
        <v>7982.5786527733726</v>
      </c>
      <c r="V107" s="135">
        <f t="shared" si="49"/>
        <v>8738.7895291618916</v>
      </c>
      <c r="W107" s="135">
        <f t="shared" si="49"/>
        <v>9567.1560168122815</v>
      </c>
      <c r="X107" s="135">
        <f t="shared" si="49"/>
        <v>10474.461492511298</v>
      </c>
      <c r="Y107" s="135">
        <f t="shared" si="49"/>
        <v>11468.189631212823</v>
      </c>
      <c r="Z107" s="135">
        <f t="shared" si="49"/>
        <v>12556.588247733918</v>
      </c>
      <c r="AA107" s="135">
        <f t="shared" si="49"/>
        <v>13748.740859249083</v>
      </c>
    </row>
    <row r="108" spans="1:29" s="3" customFormat="1" ht="13.2">
      <c r="A108" s="115"/>
      <c r="B108" s="115"/>
      <c r="C108" s="115"/>
    </row>
    <row r="109" spans="1:29" s="3" customFormat="1" ht="15" customHeight="1">
      <c r="A109" s="53" t="s">
        <v>806</v>
      </c>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row>
    <row r="110" spans="1:29" s="3" customFormat="1" ht="26.4">
      <c r="A110" s="110" t="s">
        <v>807</v>
      </c>
      <c r="B110" s="110" t="s">
        <v>808</v>
      </c>
      <c r="C110" s="110" t="s">
        <v>79</v>
      </c>
      <c r="D110" s="137">
        <f t="shared" ref="D110:AA110" si="50">D24+D25+D26-D27-D28-D29</f>
        <v>0</v>
      </c>
      <c r="E110" s="137">
        <f t="shared" si="50"/>
        <v>0</v>
      </c>
      <c r="F110" s="137">
        <f t="shared" si="50"/>
        <v>0</v>
      </c>
      <c r="G110" s="137">
        <f t="shared" si="50"/>
        <v>0</v>
      </c>
      <c r="H110" s="137">
        <f t="shared" si="50"/>
        <v>0</v>
      </c>
      <c r="I110" s="137">
        <f t="shared" si="50"/>
        <v>0</v>
      </c>
      <c r="J110" s="137">
        <f t="shared" si="50"/>
        <v>0</v>
      </c>
      <c r="K110" s="137">
        <f t="shared" si="50"/>
        <v>0</v>
      </c>
      <c r="L110" s="137">
        <f t="shared" si="50"/>
        <v>0</v>
      </c>
      <c r="M110" s="137">
        <f t="shared" si="50"/>
        <v>0</v>
      </c>
      <c r="N110" s="137">
        <f t="shared" si="50"/>
        <v>0</v>
      </c>
      <c r="O110" s="137">
        <f t="shared" si="50"/>
        <v>0</v>
      </c>
      <c r="P110" s="137">
        <f t="shared" si="50"/>
        <v>0</v>
      </c>
      <c r="Q110" s="137">
        <f t="shared" si="50"/>
        <v>0</v>
      </c>
      <c r="R110" s="137">
        <f t="shared" si="50"/>
        <v>0</v>
      </c>
      <c r="S110" s="137">
        <f t="shared" si="50"/>
        <v>0</v>
      </c>
      <c r="T110" s="137">
        <f t="shared" si="50"/>
        <v>0</v>
      </c>
      <c r="U110" s="137">
        <f t="shared" si="50"/>
        <v>0</v>
      </c>
      <c r="V110" s="137">
        <f t="shared" si="50"/>
        <v>0</v>
      </c>
      <c r="W110" s="137">
        <f t="shared" si="50"/>
        <v>0</v>
      </c>
      <c r="X110" s="137">
        <f t="shared" si="50"/>
        <v>0</v>
      </c>
      <c r="Y110" s="137">
        <f t="shared" si="50"/>
        <v>0</v>
      </c>
      <c r="Z110" s="137">
        <f t="shared" si="50"/>
        <v>0</v>
      </c>
      <c r="AA110" s="137">
        <f t="shared" si="50"/>
        <v>0</v>
      </c>
    </row>
    <row r="111" spans="1:29" s="3" customFormat="1" ht="26.4">
      <c r="A111" s="110" t="s">
        <v>807</v>
      </c>
      <c r="B111" s="110" t="s">
        <v>809</v>
      </c>
      <c r="C111" s="110" t="s">
        <v>79</v>
      </c>
      <c r="D111" s="137">
        <f t="shared" ref="D111:AA111" si="51">D32+D33+D34-D35-D36-D37</f>
        <v>0</v>
      </c>
      <c r="E111" s="137">
        <f t="shared" si="51"/>
        <v>0</v>
      </c>
      <c r="F111" s="137">
        <f t="shared" si="51"/>
        <v>0</v>
      </c>
      <c r="G111" s="137">
        <f t="shared" si="51"/>
        <v>0</v>
      </c>
      <c r="H111" s="137">
        <f t="shared" si="51"/>
        <v>0</v>
      </c>
      <c r="I111" s="137">
        <f t="shared" si="51"/>
        <v>0</v>
      </c>
      <c r="J111" s="137">
        <f t="shared" si="51"/>
        <v>0</v>
      </c>
      <c r="K111" s="137">
        <f t="shared" si="51"/>
        <v>0</v>
      </c>
      <c r="L111" s="137">
        <f t="shared" si="51"/>
        <v>0</v>
      </c>
      <c r="M111" s="137">
        <f t="shared" si="51"/>
        <v>0</v>
      </c>
      <c r="N111" s="137">
        <f t="shared" si="51"/>
        <v>0</v>
      </c>
      <c r="O111" s="137">
        <f t="shared" si="51"/>
        <v>0</v>
      </c>
      <c r="P111" s="137">
        <f t="shared" si="51"/>
        <v>0</v>
      </c>
      <c r="Q111" s="137">
        <f t="shared" si="51"/>
        <v>0</v>
      </c>
      <c r="R111" s="137">
        <f t="shared" si="51"/>
        <v>0</v>
      </c>
      <c r="S111" s="137">
        <f t="shared" si="51"/>
        <v>0</v>
      </c>
      <c r="T111" s="137">
        <f t="shared" si="51"/>
        <v>0</v>
      </c>
      <c r="U111" s="137">
        <f t="shared" si="51"/>
        <v>0</v>
      </c>
      <c r="V111" s="137">
        <f t="shared" si="51"/>
        <v>0</v>
      </c>
      <c r="W111" s="137">
        <f t="shared" si="51"/>
        <v>0</v>
      </c>
      <c r="X111" s="137">
        <f t="shared" si="51"/>
        <v>0</v>
      </c>
      <c r="Y111" s="137">
        <f t="shared" si="51"/>
        <v>0</v>
      </c>
      <c r="Z111" s="137">
        <f t="shared" si="51"/>
        <v>0</v>
      </c>
      <c r="AA111" s="137">
        <f t="shared" si="51"/>
        <v>0</v>
      </c>
    </row>
    <row r="112" spans="1:29" s="3" customFormat="1" ht="26.4">
      <c r="A112" s="110" t="s">
        <v>807</v>
      </c>
      <c r="B112" s="110" t="s">
        <v>810</v>
      </c>
      <c r="C112" s="110" t="s">
        <v>79</v>
      </c>
      <c r="D112" s="137">
        <f t="shared" ref="D112:AA112" si="52">D40+D41+D42-D43-D44</f>
        <v>0</v>
      </c>
      <c r="E112" s="137">
        <f t="shared" si="52"/>
        <v>0</v>
      </c>
      <c r="F112" s="137">
        <f t="shared" si="52"/>
        <v>0</v>
      </c>
      <c r="G112" s="137">
        <f t="shared" si="52"/>
        <v>0</v>
      </c>
      <c r="H112" s="137">
        <f t="shared" si="52"/>
        <v>0</v>
      </c>
      <c r="I112" s="137">
        <f t="shared" si="52"/>
        <v>0</v>
      </c>
      <c r="J112" s="137">
        <f t="shared" si="52"/>
        <v>0</v>
      </c>
      <c r="K112" s="137">
        <f t="shared" si="52"/>
        <v>0</v>
      </c>
      <c r="L112" s="137">
        <f t="shared" si="52"/>
        <v>0</v>
      </c>
      <c r="M112" s="137">
        <f t="shared" si="52"/>
        <v>0</v>
      </c>
      <c r="N112" s="137">
        <f t="shared" si="52"/>
        <v>0</v>
      </c>
      <c r="O112" s="137">
        <f t="shared" si="52"/>
        <v>0</v>
      </c>
      <c r="P112" s="137">
        <f t="shared" si="52"/>
        <v>0</v>
      </c>
      <c r="Q112" s="137">
        <f t="shared" si="52"/>
        <v>0</v>
      </c>
      <c r="R112" s="137">
        <f t="shared" si="52"/>
        <v>0</v>
      </c>
      <c r="S112" s="137">
        <f t="shared" si="52"/>
        <v>0</v>
      </c>
      <c r="T112" s="137">
        <f t="shared" si="52"/>
        <v>0</v>
      </c>
      <c r="U112" s="137">
        <f t="shared" si="52"/>
        <v>0</v>
      </c>
      <c r="V112" s="137">
        <f t="shared" si="52"/>
        <v>0</v>
      </c>
      <c r="W112" s="137">
        <f t="shared" si="52"/>
        <v>0</v>
      </c>
      <c r="X112" s="137">
        <f t="shared" si="52"/>
        <v>0</v>
      </c>
      <c r="Y112" s="137">
        <f t="shared" si="52"/>
        <v>0</v>
      </c>
      <c r="Z112" s="137">
        <f t="shared" si="52"/>
        <v>0</v>
      </c>
      <c r="AA112" s="137">
        <f t="shared" si="52"/>
        <v>0</v>
      </c>
    </row>
    <row r="113" spans="1:27" s="3" customFormat="1" ht="13.2">
      <c r="A113" s="110" t="s">
        <v>807</v>
      </c>
      <c r="B113" s="110" t="s">
        <v>766</v>
      </c>
      <c r="C113" s="110" t="s">
        <v>64</v>
      </c>
      <c r="D113" s="138">
        <f t="shared" ref="D113:AA113" si="53">D69</f>
        <v>0</v>
      </c>
      <c r="E113" s="138">
        <f t="shared" si="53"/>
        <v>0</v>
      </c>
      <c r="F113" s="138">
        <f t="shared" si="53"/>
        <v>0</v>
      </c>
      <c r="G113" s="138">
        <f t="shared" si="53"/>
        <v>0</v>
      </c>
      <c r="H113" s="138">
        <f t="shared" si="53"/>
        <v>0</v>
      </c>
      <c r="I113" s="138">
        <f t="shared" si="53"/>
        <v>0</v>
      </c>
      <c r="J113" s="138">
        <f t="shared" si="53"/>
        <v>0</v>
      </c>
      <c r="K113" s="138">
        <f t="shared" si="53"/>
        <v>0</v>
      </c>
      <c r="L113" s="138">
        <f t="shared" si="53"/>
        <v>0</v>
      </c>
      <c r="M113" s="138">
        <f t="shared" si="53"/>
        <v>0</v>
      </c>
      <c r="N113" s="138">
        <f t="shared" si="53"/>
        <v>0</v>
      </c>
      <c r="O113" s="138">
        <f t="shared" si="53"/>
        <v>0</v>
      </c>
      <c r="P113" s="138">
        <f t="shared" si="53"/>
        <v>0</v>
      </c>
      <c r="Q113" s="138">
        <f t="shared" si="53"/>
        <v>0</v>
      </c>
      <c r="R113" s="138">
        <f t="shared" si="53"/>
        <v>0</v>
      </c>
      <c r="S113" s="138">
        <f t="shared" si="53"/>
        <v>0</v>
      </c>
      <c r="T113" s="138">
        <f t="shared" si="53"/>
        <v>0</v>
      </c>
      <c r="U113" s="138">
        <f t="shared" si="53"/>
        <v>0</v>
      </c>
      <c r="V113" s="138">
        <f t="shared" si="53"/>
        <v>0</v>
      </c>
      <c r="W113" s="138">
        <f t="shared" si="53"/>
        <v>0</v>
      </c>
      <c r="X113" s="138">
        <f t="shared" si="53"/>
        <v>0</v>
      </c>
      <c r="Y113" s="138">
        <f t="shared" si="53"/>
        <v>0</v>
      </c>
      <c r="Z113" s="138">
        <f t="shared" si="53"/>
        <v>0</v>
      </c>
      <c r="AA113" s="138">
        <f t="shared" si="53"/>
        <v>0</v>
      </c>
    </row>
    <row r="114" spans="1:27" s="3" customFormat="1" ht="26.4">
      <c r="A114" s="110" t="s">
        <v>807</v>
      </c>
      <c r="B114" s="110" t="s">
        <v>811</v>
      </c>
      <c r="C114" s="110" t="s">
        <v>785</v>
      </c>
      <c r="D114" s="139" t="str">
        <f>IF(ABS(D94-D91*12)&lt;1,"OK","ERROR - ARR includes implementation revenue")</f>
        <v>OK</v>
      </c>
      <c r="E114" s="139" t="str">
        <f t="shared" ref="E114:AA114" si="54">IF(ABS(E94-E91*12)&lt;1,"OK","ERROR - ARR includes implementation revenue")</f>
        <v>OK</v>
      </c>
      <c r="F114" s="139" t="str">
        <f t="shared" si="54"/>
        <v>OK</v>
      </c>
      <c r="G114" s="139" t="str">
        <f t="shared" si="54"/>
        <v>OK</v>
      </c>
      <c r="H114" s="139" t="str">
        <f t="shared" si="54"/>
        <v>OK</v>
      </c>
      <c r="I114" s="139" t="str">
        <f t="shared" si="54"/>
        <v>OK</v>
      </c>
      <c r="J114" s="139" t="str">
        <f t="shared" si="54"/>
        <v>OK</v>
      </c>
      <c r="K114" s="139" t="str">
        <f t="shared" si="54"/>
        <v>OK</v>
      </c>
      <c r="L114" s="139" t="str">
        <f t="shared" si="54"/>
        <v>OK</v>
      </c>
      <c r="M114" s="139" t="str">
        <f t="shared" si="54"/>
        <v>OK</v>
      </c>
      <c r="N114" s="139" t="str">
        <f t="shared" si="54"/>
        <v>OK</v>
      </c>
      <c r="O114" s="139" t="str">
        <f t="shared" si="54"/>
        <v>OK</v>
      </c>
      <c r="P114" s="139" t="str">
        <f t="shared" si="54"/>
        <v>OK</v>
      </c>
      <c r="Q114" s="139" t="str">
        <f t="shared" si="54"/>
        <v>OK</v>
      </c>
      <c r="R114" s="139" t="str">
        <f t="shared" si="54"/>
        <v>OK</v>
      </c>
      <c r="S114" s="139" t="str">
        <f t="shared" si="54"/>
        <v>OK</v>
      </c>
      <c r="T114" s="139" t="str">
        <f t="shared" si="54"/>
        <v>OK</v>
      </c>
      <c r="U114" s="139" t="str">
        <f t="shared" si="54"/>
        <v>OK</v>
      </c>
      <c r="V114" s="139" t="str">
        <f t="shared" si="54"/>
        <v>OK</v>
      </c>
      <c r="W114" s="139" t="str">
        <f t="shared" si="54"/>
        <v>OK</v>
      </c>
      <c r="X114" s="139" t="str">
        <f t="shared" si="54"/>
        <v>OK</v>
      </c>
      <c r="Y114" s="139" t="str">
        <f t="shared" si="54"/>
        <v>OK</v>
      </c>
      <c r="Z114" s="139" t="str">
        <f t="shared" si="54"/>
        <v>OK</v>
      </c>
      <c r="AA114" s="139" t="str">
        <f t="shared" si="54"/>
        <v>OK</v>
      </c>
    </row>
    <row r="115" spans="1:27" s="3" customFormat="1" ht="26.4">
      <c r="A115" s="110" t="s">
        <v>807</v>
      </c>
      <c r="B115" s="110" t="s">
        <v>812</v>
      </c>
      <c r="C115" s="110" t="s">
        <v>813</v>
      </c>
      <c r="D115" s="139" t="str">
        <f t="shared" ref="D115:AA115" si="55">IF(D29&lt;0,"WARNING: NEGATIVE","OK")</f>
        <v>OK</v>
      </c>
      <c r="E115" s="139" t="str">
        <f t="shared" si="55"/>
        <v>OK</v>
      </c>
      <c r="F115" s="139" t="str">
        <f t="shared" si="55"/>
        <v>OK</v>
      </c>
      <c r="G115" s="139" t="str">
        <f t="shared" si="55"/>
        <v>OK</v>
      </c>
      <c r="H115" s="139" t="str">
        <f t="shared" si="55"/>
        <v>OK</v>
      </c>
      <c r="I115" s="139" t="str">
        <f t="shared" si="55"/>
        <v>OK</v>
      </c>
      <c r="J115" s="139" t="str">
        <f t="shared" si="55"/>
        <v>OK</v>
      </c>
      <c r="K115" s="139" t="str">
        <f t="shared" si="55"/>
        <v>OK</v>
      </c>
      <c r="L115" s="139" t="str">
        <f t="shared" si="55"/>
        <v>OK</v>
      </c>
      <c r="M115" s="139" t="str">
        <f t="shared" si="55"/>
        <v>OK</v>
      </c>
      <c r="N115" s="139" t="str">
        <f t="shared" si="55"/>
        <v>OK</v>
      </c>
      <c r="O115" s="139" t="str">
        <f t="shared" si="55"/>
        <v>OK</v>
      </c>
      <c r="P115" s="139" t="str">
        <f t="shared" si="55"/>
        <v>OK</v>
      </c>
      <c r="Q115" s="139" t="str">
        <f t="shared" si="55"/>
        <v>OK</v>
      </c>
      <c r="R115" s="139" t="str">
        <f t="shared" si="55"/>
        <v>OK</v>
      </c>
      <c r="S115" s="139" t="str">
        <f t="shared" si="55"/>
        <v>OK</v>
      </c>
      <c r="T115" s="139" t="str">
        <f t="shared" si="55"/>
        <v>OK</v>
      </c>
      <c r="U115" s="139" t="str">
        <f t="shared" si="55"/>
        <v>OK</v>
      </c>
      <c r="V115" s="139" t="str">
        <f t="shared" si="55"/>
        <v>OK</v>
      </c>
      <c r="W115" s="139" t="str">
        <f t="shared" si="55"/>
        <v>OK</v>
      </c>
      <c r="X115" s="139" t="str">
        <f t="shared" si="55"/>
        <v>OK</v>
      </c>
      <c r="Y115" s="139" t="str">
        <f t="shared" si="55"/>
        <v>OK</v>
      </c>
      <c r="Z115" s="139" t="str">
        <f t="shared" si="55"/>
        <v>OK</v>
      </c>
      <c r="AA115" s="139" t="str">
        <f t="shared" si="55"/>
        <v>OK</v>
      </c>
    </row>
    <row r="116" spans="1:27" s="3" customFormat="1" ht="26.4">
      <c r="A116" s="110" t="s">
        <v>807</v>
      </c>
      <c r="B116" s="110" t="s">
        <v>814</v>
      </c>
      <c r="C116" s="110" t="s">
        <v>813</v>
      </c>
      <c r="D116" s="139" t="str">
        <f t="shared" ref="D116:AA116" si="56">IF(D37&lt;0,"WARNING: NEGATIVE","OK")</f>
        <v>OK</v>
      </c>
      <c r="E116" s="139" t="str">
        <f t="shared" si="56"/>
        <v>OK</v>
      </c>
      <c r="F116" s="139" t="str">
        <f t="shared" si="56"/>
        <v>OK</v>
      </c>
      <c r="G116" s="139" t="str">
        <f t="shared" si="56"/>
        <v>OK</v>
      </c>
      <c r="H116" s="139" t="str">
        <f t="shared" si="56"/>
        <v>OK</v>
      </c>
      <c r="I116" s="139" t="str">
        <f t="shared" si="56"/>
        <v>OK</v>
      </c>
      <c r="J116" s="139" t="str">
        <f t="shared" si="56"/>
        <v>OK</v>
      </c>
      <c r="K116" s="139" t="str">
        <f t="shared" si="56"/>
        <v>OK</v>
      </c>
      <c r="L116" s="139" t="str">
        <f t="shared" si="56"/>
        <v>OK</v>
      </c>
      <c r="M116" s="139" t="str">
        <f t="shared" si="56"/>
        <v>OK</v>
      </c>
      <c r="N116" s="139" t="str">
        <f t="shared" si="56"/>
        <v>OK</v>
      </c>
      <c r="O116" s="139" t="str">
        <f t="shared" si="56"/>
        <v>OK</v>
      </c>
      <c r="P116" s="139" t="str">
        <f t="shared" si="56"/>
        <v>OK</v>
      </c>
      <c r="Q116" s="139" t="str">
        <f t="shared" si="56"/>
        <v>OK</v>
      </c>
      <c r="R116" s="139" t="str">
        <f t="shared" si="56"/>
        <v>OK</v>
      </c>
      <c r="S116" s="139" t="str">
        <f t="shared" si="56"/>
        <v>OK</v>
      </c>
      <c r="T116" s="139" t="str">
        <f t="shared" si="56"/>
        <v>OK</v>
      </c>
      <c r="U116" s="139" t="str">
        <f t="shared" si="56"/>
        <v>OK</v>
      </c>
      <c r="V116" s="139" t="str">
        <f t="shared" si="56"/>
        <v>OK</v>
      </c>
      <c r="W116" s="139" t="str">
        <f t="shared" si="56"/>
        <v>OK</v>
      </c>
      <c r="X116" s="139" t="str">
        <f t="shared" si="56"/>
        <v>OK</v>
      </c>
      <c r="Y116" s="139" t="str">
        <f t="shared" si="56"/>
        <v>OK</v>
      </c>
      <c r="Z116" s="139" t="str">
        <f t="shared" si="56"/>
        <v>OK</v>
      </c>
      <c r="AA116" s="139" t="str">
        <f t="shared" si="56"/>
        <v>OK</v>
      </c>
    </row>
    <row r="117" spans="1:27" s="3" customFormat="1" ht="26.4">
      <c r="A117" s="110" t="s">
        <v>807</v>
      </c>
      <c r="B117" s="110" t="s">
        <v>815</v>
      </c>
      <c r="C117" s="110" t="s">
        <v>813</v>
      </c>
      <c r="D117" s="139" t="str">
        <f t="shared" ref="D117:AA117" si="57">IF(D44&lt;0,"WARNING: NEGATIVE","OK")</f>
        <v>OK</v>
      </c>
      <c r="E117" s="139" t="str">
        <f t="shared" si="57"/>
        <v>OK</v>
      </c>
      <c r="F117" s="139" t="str">
        <f t="shared" si="57"/>
        <v>OK</v>
      </c>
      <c r="G117" s="139" t="str">
        <f t="shared" si="57"/>
        <v>OK</v>
      </c>
      <c r="H117" s="139" t="str">
        <f t="shared" si="57"/>
        <v>OK</v>
      </c>
      <c r="I117" s="139" t="str">
        <f t="shared" si="57"/>
        <v>OK</v>
      </c>
      <c r="J117" s="139" t="str">
        <f t="shared" si="57"/>
        <v>OK</v>
      </c>
      <c r="K117" s="139" t="str">
        <f t="shared" si="57"/>
        <v>OK</v>
      </c>
      <c r="L117" s="139" t="str">
        <f t="shared" si="57"/>
        <v>OK</v>
      </c>
      <c r="M117" s="139" t="str">
        <f t="shared" si="57"/>
        <v>OK</v>
      </c>
      <c r="N117" s="139" t="str">
        <f t="shared" si="57"/>
        <v>OK</v>
      </c>
      <c r="O117" s="139" t="str">
        <f t="shared" si="57"/>
        <v>OK</v>
      </c>
      <c r="P117" s="139" t="str">
        <f t="shared" si="57"/>
        <v>OK</v>
      </c>
      <c r="Q117" s="139" t="str">
        <f t="shared" si="57"/>
        <v>OK</v>
      </c>
      <c r="R117" s="139" t="str">
        <f t="shared" si="57"/>
        <v>OK</v>
      </c>
      <c r="S117" s="139" t="str">
        <f t="shared" si="57"/>
        <v>OK</v>
      </c>
      <c r="T117" s="139" t="str">
        <f t="shared" si="57"/>
        <v>OK</v>
      </c>
      <c r="U117" s="139" t="str">
        <f t="shared" si="57"/>
        <v>OK</v>
      </c>
      <c r="V117" s="139" t="str">
        <f t="shared" si="57"/>
        <v>OK</v>
      </c>
      <c r="W117" s="139" t="str">
        <f t="shared" si="57"/>
        <v>OK</v>
      </c>
      <c r="X117" s="139" t="str">
        <f t="shared" si="57"/>
        <v>OK</v>
      </c>
      <c r="Y117" s="139" t="str">
        <f t="shared" si="57"/>
        <v>OK</v>
      </c>
      <c r="Z117" s="139" t="str">
        <f t="shared" si="57"/>
        <v>OK</v>
      </c>
      <c r="AA117" s="139" t="str">
        <f t="shared" si="57"/>
        <v>OK</v>
      </c>
    </row>
    <row r="118" spans="1:27" s="3" customFormat="1" ht="13.2">
      <c r="A118" s="110" t="s">
        <v>807</v>
      </c>
      <c r="B118" s="110" t="s">
        <v>816</v>
      </c>
      <c r="C118" s="110" t="s">
        <v>785</v>
      </c>
      <c r="D118" s="139" t="str">
        <f t="shared" ref="D118:AA118" si="58">IF(D79&gt;0.35,"CHECK: AI Usage &gt; 35% of MRR","OK")</f>
        <v>OK</v>
      </c>
      <c r="E118" s="139" t="str">
        <f t="shared" si="58"/>
        <v>OK</v>
      </c>
      <c r="F118" s="139" t="str">
        <f t="shared" si="58"/>
        <v>OK</v>
      </c>
      <c r="G118" s="139" t="str">
        <f t="shared" si="58"/>
        <v>OK</v>
      </c>
      <c r="H118" s="139" t="str">
        <f t="shared" si="58"/>
        <v>OK</v>
      </c>
      <c r="I118" s="139" t="str">
        <f t="shared" si="58"/>
        <v>OK</v>
      </c>
      <c r="J118" s="139" t="str">
        <f t="shared" si="58"/>
        <v>OK</v>
      </c>
      <c r="K118" s="139" t="str">
        <f t="shared" si="58"/>
        <v>OK</v>
      </c>
      <c r="L118" s="139" t="str">
        <f t="shared" si="58"/>
        <v>OK</v>
      </c>
      <c r="M118" s="139" t="str">
        <f t="shared" si="58"/>
        <v>OK</v>
      </c>
      <c r="N118" s="139" t="str">
        <f t="shared" si="58"/>
        <v>OK</v>
      </c>
      <c r="O118" s="139" t="str">
        <f t="shared" si="58"/>
        <v>OK</v>
      </c>
      <c r="P118" s="139" t="str">
        <f t="shared" si="58"/>
        <v>OK</v>
      </c>
      <c r="Q118" s="139" t="str">
        <f t="shared" si="58"/>
        <v>OK</v>
      </c>
      <c r="R118" s="139" t="str">
        <f t="shared" si="58"/>
        <v>OK</v>
      </c>
      <c r="S118" s="139" t="str">
        <f t="shared" si="58"/>
        <v>OK</v>
      </c>
      <c r="T118" s="139" t="str">
        <f t="shared" si="58"/>
        <v>OK</v>
      </c>
      <c r="U118" s="139" t="str">
        <f t="shared" si="58"/>
        <v>OK</v>
      </c>
      <c r="V118" s="139" t="str">
        <f t="shared" si="58"/>
        <v>OK</v>
      </c>
      <c r="W118" s="139" t="str">
        <f t="shared" si="58"/>
        <v>OK</v>
      </c>
      <c r="X118" s="139" t="str">
        <f t="shared" si="58"/>
        <v>OK</v>
      </c>
      <c r="Y118" s="139" t="str">
        <f t="shared" si="58"/>
        <v>OK</v>
      </c>
      <c r="Z118" s="139" t="str">
        <f t="shared" si="58"/>
        <v>OK</v>
      </c>
      <c r="AA118" s="139" t="str">
        <f t="shared" si="58"/>
        <v>OK</v>
      </c>
    </row>
  </sheetData>
  <autoFilter ref="A2:AC118" xr:uid="{AF13CB96-9EC9-4466-84C7-6438ADFF74D6}"/>
  <conditionalFormatting sqref="D110:AA113">
    <cfRule type="expression" dxfId="18" priority="3">
      <formula>AND(D114&lt;&gt;"",NOT(ISERROR(D114)),NOT(ISNUMBER(SEARCH("ERROR",D114))),NOT(ISNUMBER(SEARCH("No",D114))))</formula>
    </cfRule>
    <cfRule type="expression" dxfId="17" priority="4">
      <formula>OR(ISERROR(D114),ISNUMBER(SEARCH("ERROR",D114)),ISNUMBER(SEARCH("No",D114)))</formula>
    </cfRule>
  </conditionalFormatting>
  <conditionalFormatting sqref="D114:AA118">
    <cfRule type="expression" dxfId="16" priority="1">
      <formula>AND(D114&lt;&gt;"",LEFT(D114,2)&lt;&gt;"OK")</formula>
    </cfRule>
    <cfRule type="expression" dxfId="15" priority="2">
      <formula>LEFT(D114,2)="OK"</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2D0A-1A7A-4A75-A5E0-7995B0E5C043}">
  <dimension ref="A1:AC114"/>
  <sheetViews>
    <sheetView showGridLines="0" zoomScaleNormal="100" workbookViewId="0">
      <pane xSplit="3" ySplit="4" topLeftCell="P50" activePane="bottomRight" state="frozen"/>
      <selection pane="topRight" activeCell="D1" sqref="D1"/>
      <selection pane="bottomLeft" activeCell="A6" sqref="A6"/>
      <selection pane="bottomRight" activeCell="A2" sqref="A2"/>
    </sheetView>
  </sheetViews>
  <sheetFormatPr defaultColWidth="9.109375" defaultRowHeight="11.4"/>
  <cols>
    <col min="1" max="1" width="23" style="48" customWidth="1"/>
    <col min="2" max="2" width="30.109375" style="48" customWidth="1"/>
    <col min="3" max="3" width="12.88671875" style="48" customWidth="1"/>
    <col min="4" max="4" width="10.44140625" style="48" bestFit="1" customWidth="1"/>
    <col min="5" max="5" width="10" style="48" bestFit="1" customWidth="1"/>
    <col min="6" max="11" width="10.33203125" style="48" bestFit="1" customWidth="1"/>
    <col min="12" max="27" width="11" style="48" bestFit="1" customWidth="1"/>
    <col min="28" max="28" width="20.44140625" style="48" bestFit="1" customWidth="1"/>
    <col min="29" max="29" width="14.109375" style="48" bestFit="1" customWidth="1"/>
    <col min="30" max="16384" width="9.109375" style="48"/>
  </cols>
  <sheetData>
    <row r="1" spans="1:29" customFormat="1" ht="17.399999999999999">
      <c r="A1" s="59" t="s">
        <v>1318</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row>
    <row r="2" spans="1:29" customFormat="1" ht="14.4"/>
    <row r="3" spans="1:29" s="3" customFormat="1" ht="26.4">
      <c r="A3" s="104" t="s">
        <v>662</v>
      </c>
      <c r="B3" s="104" t="s">
        <v>663</v>
      </c>
      <c r="C3" s="104" t="s">
        <v>32</v>
      </c>
      <c r="D3" s="104" t="str">
        <f>+'3. Revenue Model'!D2</f>
        <v>Month 1</v>
      </c>
      <c r="E3" s="104" t="str">
        <f>+'3. Revenue Model'!E2</f>
        <v>Month 2</v>
      </c>
      <c r="F3" s="104" t="str">
        <f>+'3. Revenue Model'!F2</f>
        <v>Month 3</v>
      </c>
      <c r="G3" s="104" t="str">
        <f>+'3. Revenue Model'!G2</f>
        <v>Month 4</v>
      </c>
      <c r="H3" s="104" t="str">
        <f>+'3. Revenue Model'!H2</f>
        <v>Month 5</v>
      </c>
      <c r="I3" s="104" t="str">
        <f>+'3. Revenue Model'!I2</f>
        <v>Month 6</v>
      </c>
      <c r="J3" s="104" t="str">
        <f>+'3. Revenue Model'!J2</f>
        <v>Month 7</v>
      </c>
      <c r="K3" s="104" t="str">
        <f>+'3. Revenue Model'!K2</f>
        <v>Month 8</v>
      </c>
      <c r="L3" s="104" t="str">
        <f>+'3. Revenue Model'!L2</f>
        <v>Month 9</v>
      </c>
      <c r="M3" s="104" t="str">
        <f>+'3. Revenue Model'!M2</f>
        <v>Month 10</v>
      </c>
      <c r="N3" s="104" t="str">
        <f>+'3. Revenue Model'!N2</f>
        <v>Month 11</v>
      </c>
      <c r="O3" s="104" t="str">
        <f>+'3. Revenue Model'!O2</f>
        <v>Month 12</v>
      </c>
      <c r="P3" s="104" t="str">
        <f>+'3. Revenue Model'!P2</f>
        <v>Month 13</v>
      </c>
      <c r="Q3" s="104" t="str">
        <f>+'3. Revenue Model'!Q2</f>
        <v>Month 14</v>
      </c>
      <c r="R3" s="104" t="str">
        <f>+'3. Revenue Model'!R2</f>
        <v>Month 15</v>
      </c>
      <c r="S3" s="104" t="str">
        <f>+'3. Revenue Model'!S2</f>
        <v>Month 16</v>
      </c>
      <c r="T3" s="104" t="str">
        <f>+'3. Revenue Model'!T2</f>
        <v>Month 17</v>
      </c>
      <c r="U3" s="104" t="str">
        <f>+'3. Revenue Model'!U2</f>
        <v>Month 18</v>
      </c>
      <c r="V3" s="104" t="str">
        <f>+'3. Revenue Model'!V2</f>
        <v>Month 19</v>
      </c>
      <c r="W3" s="104" t="str">
        <f>+'3. Revenue Model'!W2</f>
        <v>Month 20</v>
      </c>
      <c r="X3" s="104" t="str">
        <f>+'3. Revenue Model'!X2</f>
        <v>Month 21</v>
      </c>
      <c r="Y3" s="104" t="str">
        <f>+'3. Revenue Model'!Y2</f>
        <v>Month 22</v>
      </c>
      <c r="Z3" s="104" t="str">
        <f>+'3. Revenue Model'!Z2</f>
        <v>Month 23</v>
      </c>
      <c r="AA3" s="104" t="str">
        <f>+'3. Revenue Model'!AA2</f>
        <v>Month 24</v>
      </c>
      <c r="AB3" s="104" t="str">
        <f>+'3. Revenue Model'!AB2</f>
        <v>Notes / Formula Logic</v>
      </c>
      <c r="AC3" s="104" t="str">
        <f>+'3. Revenue Model'!AC2</f>
        <v>Check / Source</v>
      </c>
    </row>
    <row r="4" spans="1:29" s="3" customFormat="1" ht="13.2">
      <c r="A4" s="105" t="s">
        <v>818</v>
      </c>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row>
    <row r="5" spans="1:29" s="3" customFormat="1" ht="13.2">
      <c r="A5" s="107" t="s">
        <v>691</v>
      </c>
      <c r="B5" s="107" t="s">
        <v>38</v>
      </c>
      <c r="C5" s="108" t="s">
        <v>39</v>
      </c>
      <c r="D5" s="109" t="str">
        <f>INDEX('1. Assumptions'!$G:$G,MATCH("Selected Scenario",'1. Assumptions'!$B:$B,0))</f>
        <v>Base</v>
      </c>
      <c r="E5" s="109" t="str">
        <f>INDEX('1. Assumptions'!$G:$G,MATCH("Selected Scenario",'1. Assumptions'!$B:$B,0))</f>
        <v>Base</v>
      </c>
      <c r="F5" s="109" t="str">
        <f>INDEX('1. Assumptions'!$G:$G,MATCH("Selected Scenario",'1. Assumptions'!$B:$B,0))</f>
        <v>Base</v>
      </c>
      <c r="G5" s="109" t="str">
        <f>INDEX('1. Assumptions'!$G:$G,MATCH("Selected Scenario",'1. Assumptions'!$B:$B,0))</f>
        <v>Base</v>
      </c>
      <c r="H5" s="109" t="str">
        <f>INDEX('1. Assumptions'!$G:$G,MATCH("Selected Scenario",'1. Assumptions'!$B:$B,0))</f>
        <v>Base</v>
      </c>
      <c r="I5" s="109" t="str">
        <f>INDEX('1. Assumptions'!$G:$G,MATCH("Selected Scenario",'1. Assumptions'!$B:$B,0))</f>
        <v>Base</v>
      </c>
      <c r="J5" s="109" t="str">
        <f>INDEX('1. Assumptions'!$G:$G,MATCH("Selected Scenario",'1. Assumptions'!$B:$B,0))</f>
        <v>Base</v>
      </c>
      <c r="K5" s="109" t="str">
        <f>INDEX('1. Assumptions'!$G:$G,MATCH("Selected Scenario",'1. Assumptions'!$B:$B,0))</f>
        <v>Base</v>
      </c>
      <c r="L5" s="109" t="str">
        <f>INDEX('1. Assumptions'!$G:$G,MATCH("Selected Scenario",'1. Assumptions'!$B:$B,0))</f>
        <v>Base</v>
      </c>
      <c r="M5" s="109" t="str">
        <f>INDEX('1. Assumptions'!$G:$G,MATCH("Selected Scenario",'1. Assumptions'!$B:$B,0))</f>
        <v>Base</v>
      </c>
      <c r="N5" s="109" t="str">
        <f>INDEX('1. Assumptions'!$G:$G,MATCH("Selected Scenario",'1. Assumptions'!$B:$B,0))</f>
        <v>Base</v>
      </c>
      <c r="O5" s="109" t="str">
        <f>INDEX('1. Assumptions'!$G:$G,MATCH("Selected Scenario",'1. Assumptions'!$B:$B,0))</f>
        <v>Base</v>
      </c>
      <c r="P5" s="109" t="str">
        <f>INDEX('1. Assumptions'!$G:$G,MATCH("Selected Scenario",'1. Assumptions'!$B:$B,0))</f>
        <v>Base</v>
      </c>
      <c r="Q5" s="109" t="str">
        <f>INDEX('1. Assumptions'!$G:$G,MATCH("Selected Scenario",'1. Assumptions'!$B:$B,0))</f>
        <v>Base</v>
      </c>
      <c r="R5" s="109" t="str">
        <f>INDEX('1. Assumptions'!$G:$G,MATCH("Selected Scenario",'1. Assumptions'!$B:$B,0))</f>
        <v>Base</v>
      </c>
      <c r="S5" s="109" t="str">
        <f>INDEX('1. Assumptions'!$G:$G,MATCH("Selected Scenario",'1. Assumptions'!$B:$B,0))</f>
        <v>Base</v>
      </c>
      <c r="T5" s="109" t="str">
        <f>INDEX('1. Assumptions'!$G:$G,MATCH("Selected Scenario",'1. Assumptions'!$B:$B,0))</f>
        <v>Base</v>
      </c>
      <c r="U5" s="109" t="str">
        <f>INDEX('1. Assumptions'!$G:$G,MATCH("Selected Scenario",'1. Assumptions'!$B:$B,0))</f>
        <v>Base</v>
      </c>
      <c r="V5" s="109" t="str">
        <f>INDEX('1. Assumptions'!$G:$G,MATCH("Selected Scenario",'1. Assumptions'!$B:$B,0))</f>
        <v>Base</v>
      </c>
      <c r="W5" s="109" t="str">
        <f>INDEX('1. Assumptions'!$G:$G,MATCH("Selected Scenario",'1. Assumptions'!$B:$B,0))</f>
        <v>Base</v>
      </c>
      <c r="X5" s="109" t="str">
        <f>INDEX('1. Assumptions'!$G:$G,MATCH("Selected Scenario",'1. Assumptions'!$B:$B,0))</f>
        <v>Base</v>
      </c>
      <c r="Y5" s="109" t="str">
        <f>INDEX('1. Assumptions'!$G:$G,MATCH("Selected Scenario",'1. Assumptions'!$B:$B,0))</f>
        <v>Base</v>
      </c>
      <c r="Z5" s="109" t="str">
        <f>INDEX('1. Assumptions'!$G:$G,MATCH("Selected Scenario",'1. Assumptions'!$B:$B,0))</f>
        <v>Base</v>
      </c>
      <c r="AA5" s="109" t="str">
        <f>INDEX('1. Assumptions'!$G:$G,MATCH("Selected Scenario",'1. Assumptions'!$B:$B,0))</f>
        <v>Base</v>
      </c>
      <c r="AB5" s="140"/>
    </row>
    <row r="6" spans="1:29" s="3" customFormat="1" ht="13.2">
      <c r="A6" s="141" t="s">
        <v>693</v>
      </c>
      <c r="B6" s="141" t="s">
        <v>694</v>
      </c>
      <c r="C6" s="141" t="s">
        <v>159</v>
      </c>
      <c r="D6" s="112">
        <f>+'3. Revenue Model'!D5</f>
        <v>1</v>
      </c>
      <c r="E6" s="112">
        <f>+'3. Revenue Model'!E5</f>
        <v>2</v>
      </c>
      <c r="F6" s="112">
        <f>+'3. Revenue Model'!F5</f>
        <v>3</v>
      </c>
      <c r="G6" s="112">
        <f>+'3. Revenue Model'!G5</f>
        <v>4</v>
      </c>
      <c r="H6" s="112">
        <f>+'3. Revenue Model'!H5</f>
        <v>5</v>
      </c>
      <c r="I6" s="112">
        <f>+'3. Revenue Model'!I5</f>
        <v>6</v>
      </c>
      <c r="J6" s="112">
        <f>+'3. Revenue Model'!J5</f>
        <v>7</v>
      </c>
      <c r="K6" s="112">
        <f>+'3. Revenue Model'!K5</f>
        <v>8</v>
      </c>
      <c r="L6" s="112">
        <f>+'3. Revenue Model'!L5</f>
        <v>9</v>
      </c>
      <c r="M6" s="112">
        <f>+'3. Revenue Model'!M5</f>
        <v>10</v>
      </c>
      <c r="N6" s="112">
        <f>+'3. Revenue Model'!N5</f>
        <v>11</v>
      </c>
      <c r="O6" s="112">
        <f>+'3. Revenue Model'!O5</f>
        <v>12</v>
      </c>
      <c r="P6" s="112">
        <f>+'3. Revenue Model'!P5</f>
        <v>13</v>
      </c>
      <c r="Q6" s="112">
        <f>+'3. Revenue Model'!Q5</f>
        <v>14</v>
      </c>
      <c r="R6" s="112">
        <f>+'3. Revenue Model'!R5</f>
        <v>15</v>
      </c>
      <c r="S6" s="112">
        <f>+'3. Revenue Model'!S5</f>
        <v>16</v>
      </c>
      <c r="T6" s="112">
        <f>+'3. Revenue Model'!T5</f>
        <v>17</v>
      </c>
      <c r="U6" s="112">
        <f>+'3. Revenue Model'!U5</f>
        <v>18</v>
      </c>
      <c r="V6" s="112">
        <f>+'3. Revenue Model'!V5</f>
        <v>19</v>
      </c>
      <c r="W6" s="112">
        <f>+'3. Revenue Model'!W5</f>
        <v>20</v>
      </c>
      <c r="X6" s="112">
        <f>+'3. Revenue Model'!X5</f>
        <v>21</v>
      </c>
      <c r="Y6" s="112">
        <f>+'3. Revenue Model'!Y5</f>
        <v>22</v>
      </c>
      <c r="Z6" s="112">
        <f>+'3. Revenue Model'!Z5</f>
        <v>23</v>
      </c>
      <c r="AA6" s="112">
        <f>+'3. Revenue Model'!AA5</f>
        <v>24</v>
      </c>
      <c r="AB6" s="142"/>
    </row>
    <row r="7" spans="1:29" s="3" customFormat="1" ht="13.2">
      <c r="A7" s="141" t="s">
        <v>693</v>
      </c>
      <c r="B7" s="141" t="s">
        <v>695</v>
      </c>
      <c r="C7" s="141" t="s">
        <v>44</v>
      </c>
      <c r="D7" s="114">
        <f>+'3. Revenue Model'!D6</f>
        <v>46023</v>
      </c>
      <c r="E7" s="114">
        <f>+'3. Revenue Model'!E6</f>
        <v>46054</v>
      </c>
      <c r="F7" s="114">
        <f>+'3. Revenue Model'!F6</f>
        <v>46082</v>
      </c>
      <c r="G7" s="114">
        <f>+'3. Revenue Model'!G6</f>
        <v>46113</v>
      </c>
      <c r="H7" s="114">
        <f>+'3. Revenue Model'!H6</f>
        <v>46143</v>
      </c>
      <c r="I7" s="114">
        <f>+'3. Revenue Model'!I6</f>
        <v>46174</v>
      </c>
      <c r="J7" s="114">
        <f>+'3. Revenue Model'!J6</f>
        <v>46204</v>
      </c>
      <c r="K7" s="114">
        <f>+'3. Revenue Model'!K6</f>
        <v>46235</v>
      </c>
      <c r="L7" s="114">
        <f>+'3. Revenue Model'!L6</f>
        <v>46266</v>
      </c>
      <c r="M7" s="114">
        <f>+'3. Revenue Model'!M6</f>
        <v>46296</v>
      </c>
      <c r="N7" s="114">
        <f>+'3. Revenue Model'!N6</f>
        <v>46327</v>
      </c>
      <c r="O7" s="114">
        <f>+'3. Revenue Model'!O6</f>
        <v>46357</v>
      </c>
      <c r="P7" s="114">
        <f>+'3. Revenue Model'!P6</f>
        <v>46388</v>
      </c>
      <c r="Q7" s="114">
        <f>+'3. Revenue Model'!Q6</f>
        <v>46419</v>
      </c>
      <c r="R7" s="114">
        <f>+'3. Revenue Model'!R6</f>
        <v>46447</v>
      </c>
      <c r="S7" s="114">
        <f>+'3. Revenue Model'!S6</f>
        <v>46478</v>
      </c>
      <c r="T7" s="114">
        <f>+'3. Revenue Model'!T6</f>
        <v>46508</v>
      </c>
      <c r="U7" s="114">
        <f>+'3. Revenue Model'!U6</f>
        <v>46539</v>
      </c>
      <c r="V7" s="114">
        <f>+'3. Revenue Model'!V6</f>
        <v>46569</v>
      </c>
      <c r="W7" s="114">
        <f>+'3. Revenue Model'!W6</f>
        <v>46600</v>
      </c>
      <c r="X7" s="114">
        <f>+'3. Revenue Model'!X6</f>
        <v>46631</v>
      </c>
      <c r="Y7" s="114">
        <f>+'3. Revenue Model'!Y6</f>
        <v>46661</v>
      </c>
      <c r="Z7" s="114">
        <f>+'3. Revenue Model'!Z6</f>
        <v>46692</v>
      </c>
      <c r="AA7" s="114">
        <f>+'3. Revenue Model'!AA6</f>
        <v>46722</v>
      </c>
      <c r="AB7" s="143"/>
    </row>
    <row r="8" spans="1:29" s="3" customFormat="1" ht="13.2"/>
    <row r="9" spans="1:29" s="3" customFormat="1" ht="13.2">
      <c r="A9" s="105" t="s">
        <v>819</v>
      </c>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row>
    <row r="10" spans="1:29" s="3" customFormat="1" ht="13.2">
      <c r="A10" s="141" t="s">
        <v>820</v>
      </c>
      <c r="B10" s="141" t="s">
        <v>799</v>
      </c>
      <c r="C10" s="141" t="s">
        <v>79</v>
      </c>
      <c r="D10" s="144">
        <f>INDEX('3. Revenue Model'!$D:$AA,MATCH($B10,'3. Revenue Model'!$B:$B,0),MATCH(D$3,'3. Revenue Model'!$D$2:$AA$2,0))</f>
        <v>524</v>
      </c>
      <c r="E10" s="144">
        <f>INDEX('3. Revenue Model'!$D:$AA,MATCH($B10,'3. Revenue Model'!$B:$B,0),MATCH(E$3,'3. Revenue Model'!$D$2:$AA$2,0))</f>
        <v>550.09519662384469</v>
      </c>
      <c r="F10" s="144">
        <f>INDEX('3. Revenue Model'!$D:$AA,MATCH($B10,'3. Revenue Model'!$B:$B,0),MATCH(F$3,'3. Revenue Model'!$D$2:$AA$2,0))</f>
        <v>576.28481576099432</v>
      </c>
      <c r="G10" s="144">
        <f>INDEX('3. Revenue Model'!$D:$AA,MATCH($B10,'3. Revenue Model'!$B:$B,0),MATCH(G$3,'3. Revenue Model'!$D$2:$AA$2,0))</f>
        <v>603.30932210290678</v>
      </c>
      <c r="H10" s="144">
        <f>INDEX('3. Revenue Model'!$D:$AA,MATCH($B10,'3. Revenue Model'!$B:$B,0),MATCH(H$3,'3. Revenue Model'!$D$2:$AA$2,0))</f>
        <v>631.80628983455199</v>
      </c>
      <c r="I10" s="144">
        <f>INDEX('3. Revenue Model'!$D:$AA,MATCH($B10,'3. Revenue Model'!$B:$B,0),MATCH(I$3,'3. Revenue Model'!$D$2:$AA$2,0))</f>
        <v>663.33919813093905</v>
      </c>
      <c r="J10" s="144">
        <f>INDEX('3. Revenue Model'!$D:$AA,MATCH($B10,'3. Revenue Model'!$B:$B,0),MATCH(J$3,'3. Revenue Model'!$D$2:$AA$2,0))</f>
        <v>697.47700076684498</v>
      </c>
      <c r="K10" s="144">
        <f>INDEX('3. Revenue Model'!$D:$AA,MATCH($B10,'3. Revenue Model'!$B:$B,0),MATCH(K$3,'3. Revenue Model'!$D$2:$AA$2,0))</f>
        <v>734.7037431358591</v>
      </c>
      <c r="L10" s="144">
        <f>INDEX('3. Revenue Model'!$D:$AA,MATCH($B10,'3. Revenue Model'!$B:$B,0),MATCH(L$3,'3. Revenue Model'!$D$2:$AA$2,0))</f>
        <v>775.48642415486745</v>
      </c>
      <c r="M10" s="144">
        <f>INDEX('3. Revenue Model'!$D:$AA,MATCH($B10,'3. Revenue Model'!$B:$B,0),MATCH(M$3,'3. Revenue Model'!$D$2:$AA$2,0))</f>
        <v>820.28759124899625</v>
      </c>
      <c r="N10" s="144">
        <f>INDEX('3. Revenue Model'!$D:$AA,MATCH($B10,'3. Revenue Model'!$B:$B,0),MATCH(N$3,'3. Revenue Model'!$D$2:$AA$2,0))</f>
        <v>869.57598943687765</v>
      </c>
      <c r="O10" s="144">
        <f>INDEX('3. Revenue Model'!$D:$AA,MATCH($B10,'3. Revenue Model'!$B:$B,0),MATCH(O$3,'3. Revenue Model'!$D$2:$AA$2,0))</f>
        <v>923.83577383415661</v>
      </c>
      <c r="P10" s="144">
        <f>INDEX('3. Revenue Model'!$D:$AA,MATCH($B10,'3. Revenue Model'!$B:$B,0),MATCH(P$3,'3. Revenue Model'!$D$2:$AA$2,0))</f>
        <v>983.57469070987759</v>
      </c>
      <c r="Q10" s="144">
        <f>INDEX('3. Revenue Model'!$D:$AA,MATCH($B10,'3. Revenue Model'!$B:$B,0),MATCH(Q$3,'3. Revenue Model'!$D$2:$AA$2,0))</f>
        <v>1049.3315517459782</v>
      </c>
      <c r="R10" s="144">
        <f>INDEX('3. Revenue Model'!$D:$AA,MATCH($B10,'3. Revenue Model'!$B:$B,0),MATCH(R$3,'3. Revenue Model'!$D$2:$AA$2,0))</f>
        <v>1121.683264227516</v>
      </c>
      <c r="S10" s="144">
        <f>INDEX('3. Revenue Model'!$D:$AA,MATCH($B10,'3. Revenue Model'!$B:$B,0),MATCH(S$3,'3. Revenue Model'!$D$2:$AA$2,0))</f>
        <v>1201.2516325312058</v>
      </c>
      <c r="T10" s="144">
        <f>INDEX('3. Revenue Model'!$D:$AA,MATCH($B10,'3. Revenue Model'!$B:$B,0),MATCH(T$3,'3. Revenue Model'!$D$2:$AA$2,0))</f>
        <v>1288.710110371291</v>
      </c>
      <c r="U10" s="144">
        <f>INDEX('3. Revenue Model'!$D:$AA,MATCH($B10,'3. Revenue Model'!$B:$B,0),MATCH(U$3,'3. Revenue Model'!$D$2:$AA$2,0))</f>
        <v>1384.79065638732</v>
      </c>
      <c r="V10" s="144">
        <f>INDEX('3. Revenue Model'!$D:$AA,MATCH($B10,'3. Revenue Model'!$B:$B,0),MATCH(V$3,'3. Revenue Model'!$D$2:$AA$2,0))</f>
        <v>1490.2908259425913</v>
      </c>
      <c r="W10" s="144">
        <f>INDEX('3. Revenue Model'!$D:$AA,MATCH($B10,'3. Revenue Model'!$B:$B,0),MATCH(W$3,'3. Revenue Model'!$D$2:$AA$2,0))</f>
        <v>1606.0812179931745</v>
      </c>
      <c r="X10" s="144">
        <f>INDEX('3. Revenue Model'!$D:$AA,MATCH($B10,'3. Revenue Model'!$B:$B,0),MATCH(X$3,'3. Revenue Model'!$D$2:$AA$2,0))</f>
        <v>1733.1133864654221</v>
      </c>
      <c r="Y10" s="144">
        <f>INDEX('3. Revenue Model'!$D:$AA,MATCH($B10,'3. Revenue Model'!$B:$B,0),MATCH(Y$3,'3. Revenue Model'!$D$2:$AA$2,0))</f>
        <v>1872.4283198845144</v>
      </c>
      <c r="Z10" s="144">
        <f>INDEX('3. Revenue Model'!$D:$AA,MATCH($B10,'3. Revenue Model'!$B:$B,0),MATCH(Z$3,'3. Revenue Model'!$D$2:$AA$2,0))</f>
        <v>2025.1655903717387</v>
      </c>
      <c r="AA10" s="144">
        <f>INDEX('3. Revenue Model'!$D:$AA,MATCH($B10,'3. Revenue Model'!$B:$B,0),MATCH(AA$3,'3. Revenue Model'!$D$2:$AA$2,0))</f>
        <v>2192.5732730782888</v>
      </c>
    </row>
    <row r="11" spans="1:29" s="3" customFormat="1" ht="13.2">
      <c r="A11" s="141" t="s">
        <v>820</v>
      </c>
      <c r="B11" s="141" t="s">
        <v>723</v>
      </c>
      <c r="C11" s="141" t="s">
        <v>79</v>
      </c>
      <c r="D11" s="144">
        <f>INDEX('3. Revenue Model'!$D:$AA,MATCH($B11,'3. Revenue Model'!$B:$B,0),MATCH(D$3,'3. Revenue Model'!$D$2:$AA$2,0))</f>
        <v>334</v>
      </c>
      <c r="E11" s="144">
        <f>INDEX('3. Revenue Model'!$D:$AA,MATCH($B11,'3. Revenue Model'!$B:$B,0),MATCH(E$3,'3. Revenue Model'!$D$2:$AA$2,0))</f>
        <v>353.88</v>
      </c>
      <c r="F11" s="144">
        <f>INDEX('3. Revenue Model'!$D:$AA,MATCH($B11,'3. Revenue Model'!$B:$B,0),MATCH(F$3,'3. Revenue Model'!$D$2:$AA$2,0))</f>
        <v>373.30720000000002</v>
      </c>
      <c r="G11" s="144">
        <f>INDEX('3. Revenue Model'!$D:$AA,MATCH($B11,'3. Revenue Model'!$B:$B,0),MATCH(G$3,'3. Revenue Model'!$D$2:$AA$2,0))</f>
        <v>393.02373599999999</v>
      </c>
      <c r="H11" s="144">
        <f>INDEX('3. Revenue Model'!$D:$AA,MATCH($B11,'3. Revenue Model'!$B:$B,0),MATCH(H$3,'3. Revenue Model'!$D$2:$AA$2,0))</f>
        <v>413.65248663999995</v>
      </c>
      <c r="I11" s="144">
        <f>INDEX('3. Revenue Model'!$D:$AA,MATCH($B11,'3. Revenue Model'!$B:$B,0),MATCH(I$3,'3. Revenue Model'!$D$2:$AA$2,0))</f>
        <v>435.72856052879996</v>
      </c>
      <c r="J11" s="144">
        <f>INDEX('3. Revenue Model'!$D:$AA,MATCH($B11,'3. Revenue Model'!$B:$B,0),MATCH(J$3,'3. Revenue Model'!$D$2:$AA$2,0))</f>
        <v>459.72430492031197</v>
      </c>
      <c r="K11" s="144">
        <f>INDEX('3. Revenue Model'!$D:$AA,MATCH($B11,'3. Revenue Model'!$B:$B,0),MATCH(K$3,'3. Revenue Model'!$D$2:$AA$2,0))</f>
        <v>486.06930869951026</v>
      </c>
      <c r="L11" s="144">
        <f>INDEX('3. Revenue Model'!$D:$AA,MATCH($B11,'3. Revenue Model'!$B:$B,0),MATCH(L$3,'3. Revenue Model'!$D$2:$AA$2,0))</f>
        <v>515.16655306101472</v>
      </c>
      <c r="M11" s="144">
        <f>INDEX('3. Revenue Model'!$D:$AA,MATCH($B11,'3. Revenue Model'!$B:$B,0),MATCH(M$3,'3. Revenue Model'!$D$2:$AA$2,0))</f>
        <v>547.40561444767457</v>
      </c>
      <c r="N11" s="144">
        <f>INDEX('3. Revenue Model'!$D:$AA,MATCH($B11,'3. Revenue Model'!$B:$B,0),MATCH(N$3,'3. Revenue Model'!$D$2:$AA$2,0))</f>
        <v>583.17363074087905</v>
      </c>
      <c r="O11" s="144">
        <f>INDEX('3. Revenue Model'!$D:$AA,MATCH($B11,'3. Revenue Model'!$B:$B,0),MATCH(O$3,'3. Revenue Model'!$D$2:$AA$2,0))</f>
        <v>622.86459125482884</v>
      </c>
      <c r="P11" s="144">
        <f>INDEX('3. Revenue Model'!$D:$AA,MATCH($B11,'3. Revenue Model'!$B:$B,0),MATCH(P$3,'3. Revenue Model'!$D$2:$AA$2,0))</f>
        <v>666.88739434753256</v>
      </c>
      <c r="Q11" s="144">
        <f>INDEX('3. Revenue Model'!$D:$AA,MATCH($B11,'3. Revenue Model'!$B:$B,0),MATCH(Q$3,'3. Revenue Model'!$D$2:$AA$2,0))</f>
        <v>715.67302606711917</v>
      </c>
      <c r="R11" s="144">
        <f>INDEX('3. Revenue Model'!$D:$AA,MATCH($B11,'3. Revenue Model'!$B:$B,0),MATCH(R$3,'3. Revenue Model'!$D$2:$AA$2,0))</f>
        <v>769.68114347238634</v>
      </c>
      <c r="S11" s="144">
        <f>INDEX('3. Revenue Model'!$D:$AA,MATCH($B11,'3. Revenue Model'!$B:$B,0),MATCH(S$3,'3. Revenue Model'!$D$2:$AA$2,0))</f>
        <v>829.40629263788708</v>
      </c>
      <c r="T11" s="144">
        <f>INDEX('3. Revenue Model'!$D:$AA,MATCH($B11,'3. Revenue Model'!$B:$B,0),MATCH(T$3,'3. Revenue Model'!$D$2:$AA$2,0))</f>
        <v>895.38395040193188</v>
      </c>
      <c r="U11" s="144">
        <f>INDEX('3. Revenue Model'!$D:$AA,MATCH($B11,'3. Revenue Model'!$B:$B,0),MATCH(U$3,'3. Revenue Model'!$D$2:$AA$2,0))</f>
        <v>968.19654793858194</v>
      </c>
      <c r="V11" s="144">
        <f>INDEX('3. Revenue Model'!$D:$AA,MATCH($B11,'3. Revenue Model'!$B:$B,0),MATCH(V$3,'3. Revenue Model'!$D$2:$AA$2,0))</f>
        <v>1048.4796111330581</v>
      </c>
      <c r="W11" s="144">
        <f>INDEX('3. Revenue Model'!$D:$AA,MATCH($B11,'3. Revenue Model'!$B:$B,0),MATCH(W$3,'3. Revenue Model'!$D$2:$AA$2,0))</f>
        <v>1136.9281358863416</v>
      </c>
      <c r="X11" s="144">
        <f>INDEX('3. Revenue Model'!$D:$AA,MATCH($B11,'3. Revenue Model'!$B:$B,0),MATCH(X$3,'3. Revenue Model'!$D$2:$AA$2,0))</f>
        <v>1234.3033046100131</v>
      </c>
      <c r="Y11" s="144">
        <f>INDEX('3. Revenue Model'!$D:$AA,MATCH($B11,'3. Revenue Model'!$B:$B,0),MATCH(Y$3,'3. Revenue Model'!$D$2:$AA$2,0))</f>
        <v>1341.4396423260089</v>
      </c>
      <c r="Z11" s="144">
        <f>INDEX('3. Revenue Model'!$D:$AA,MATCH($B11,'3. Revenue Model'!$B:$B,0),MATCH(Z$3,'3. Revenue Model'!$D$2:$AA$2,0))</f>
        <v>1459.2527062136016</v>
      </c>
      <c r="AA11" s="144">
        <f>INDEX('3. Revenue Model'!$D:$AA,MATCH($B11,'3. Revenue Model'!$B:$B,0),MATCH(AA$3,'3. Revenue Model'!$D$2:$AA$2,0))</f>
        <v>1588.7474005808956</v>
      </c>
    </row>
    <row r="12" spans="1:29" s="3" customFormat="1" ht="13.2">
      <c r="A12" s="141" t="s">
        <v>820</v>
      </c>
      <c r="B12" s="141" t="s">
        <v>732</v>
      </c>
      <c r="C12" s="141" t="s">
        <v>79</v>
      </c>
      <c r="D12" s="144">
        <f>INDEX('3. Revenue Model'!$D:$AA,MATCH($B12,'3. Revenue Model'!$B:$B,0),MATCH(D$3,'3. Revenue Model'!$D$2:$AA$2,0))</f>
        <v>189.55</v>
      </c>
      <c r="E12" s="144">
        <f>INDEX('3. Revenue Model'!$D:$AA,MATCH($B12,'3. Revenue Model'!$B:$B,0),MATCH(E$3,'3. Revenue Model'!$D$2:$AA$2,0))</f>
        <v>195.29737500000002</v>
      </c>
      <c r="F12" s="144">
        <f>INDEX('3. Revenue Model'!$D:$AA,MATCH($B12,'3. Revenue Model'!$B:$B,0),MATCH(F$3,'3. Revenue Model'!$D$2:$AA$2,0))</f>
        <v>201.58389718750001</v>
      </c>
      <c r="G12" s="144">
        <f>INDEX('3. Revenue Model'!$D:$AA,MATCH($B12,'3. Revenue Model'!$B:$B,0),MATCH(G$3,'3. Revenue Model'!$D$2:$AA$2,0))</f>
        <v>208.40665601484378</v>
      </c>
      <c r="H12" s="144">
        <f>INDEX('3. Revenue Model'!$D:$AA,MATCH($B12,'3. Revenue Model'!$B:$B,0),MATCH(H$3,'3. Revenue Model'!$D$2:$AA$2,0))</f>
        <v>215.77913173443557</v>
      </c>
      <c r="I12" s="144">
        <f>INDEX('3. Revenue Model'!$D:$AA,MATCH($B12,'3. Revenue Model'!$B:$B,0),MATCH(I$3,'3. Revenue Model'!$D$2:$AA$2,0))</f>
        <v>223.72846226733856</v>
      </c>
      <c r="J12" s="144">
        <f>INDEX('3. Revenue Model'!$D:$AA,MATCH($B12,'3. Revenue Model'!$B:$B,0),MATCH(J$3,'3. Revenue Model'!$D$2:$AA$2,0))</f>
        <v>232.29342217295874</v>
      </c>
      <c r="K12" s="144">
        <f>INDEX('3. Revenue Model'!$D:$AA,MATCH($B12,'3. Revenue Model'!$B:$B,0),MATCH(K$3,'3. Revenue Model'!$D$2:$AA$2,0))</f>
        <v>241.52296506752234</v>
      </c>
      <c r="L12" s="144">
        <f>INDEX('3. Revenue Model'!$D:$AA,MATCH($B12,'3. Revenue Model'!$B:$B,0),MATCH(L$3,'3. Revenue Model'!$D$2:$AA$2,0))</f>
        <v>251.47521442148337</v>
      </c>
      <c r="M12" s="144">
        <f>INDEX('3. Revenue Model'!$D:$AA,MATCH($B12,'3. Revenue Model'!$B:$B,0),MATCH(M$3,'3. Revenue Model'!$D$2:$AA$2,0))</f>
        <v>262.21681393579354</v>
      </c>
      <c r="N12" s="144">
        <f>INDEX('3. Revenue Model'!$D:$AA,MATCH($B12,'3. Revenue Model'!$B:$B,0),MATCH(N$3,'3. Revenue Model'!$D$2:$AA$2,0))</f>
        <v>273.82256927067101</v>
      </c>
      <c r="O12" s="144">
        <f>INDEX('3. Revenue Model'!$D:$AA,MATCH($B12,'3. Revenue Model'!$B:$B,0),MATCH(O$3,'3. Revenue Model'!$D$2:$AA$2,0))</f>
        <v>286.37532903974449</v>
      </c>
      <c r="P12" s="144">
        <f>INDEX('3. Revenue Model'!$D:$AA,MATCH($B12,'3. Revenue Model'!$B:$B,0),MATCH(P$3,'3. Revenue Model'!$D$2:$AA$2,0))</f>
        <v>299.96606567209142</v>
      </c>
      <c r="Q12" s="144">
        <f>INDEX('3. Revenue Model'!$D:$AA,MATCH($B12,'3. Revenue Model'!$B:$B,0),MATCH(Q$3,'3. Revenue Model'!$D$2:$AA$2,0))</f>
        <v>314.69412675381193</v>
      </c>
      <c r="R12" s="144">
        <f>INDEX('3. Revenue Model'!$D:$AA,MATCH($B12,'3. Revenue Model'!$B:$B,0),MATCH(R$3,'3. Revenue Model'!$D$2:$AA$2,0))</f>
        <v>330.66763539022952</v>
      </c>
      <c r="S12" s="144">
        <f>INDEX('3. Revenue Model'!$D:$AA,MATCH($B12,'3. Revenue Model'!$B:$B,0),MATCH(S$3,'3. Revenue Model'!$D$2:$AA$2,0))</f>
        <v>348.00402444930728</v>
      </c>
      <c r="T12" s="144">
        <f>INDEX('3. Revenue Model'!$D:$AA,MATCH($B12,'3. Revenue Model'!$B:$B,0),MATCH(T$3,'3. Revenue Model'!$D$2:$AA$2,0))</f>
        <v>366.83069462397071</v>
      </c>
      <c r="U12" s="144">
        <f>INDEX('3. Revenue Model'!$D:$AA,MATCH($B12,'3. Revenue Model'!$B:$B,0),MATCH(U$3,'3. Revenue Model'!$D$2:$AA$2,0))</f>
        <v>387.28579037371014</v>
      </c>
      <c r="V12" s="144">
        <f>INDEX('3. Revenue Model'!$D:$AA,MATCH($B12,'3. Revenue Model'!$B:$B,0),MATCH(V$3,'3. Revenue Model'!$D$2:$AA$2,0))</f>
        <v>409.51909120013488</v>
      </c>
      <c r="W12" s="144">
        <f>INDEX('3. Revenue Model'!$D:$AA,MATCH($B12,'3. Revenue Model'!$B:$B,0),MATCH(W$3,'3. Revenue Model'!$D$2:$AA$2,0))</f>
        <v>433.69301855492762</v>
      </c>
      <c r="X12" s="144">
        <f>INDEX('3. Revenue Model'!$D:$AA,MATCH($B12,'3. Revenue Model'!$B:$B,0),MATCH(X$3,'3. Revenue Model'!$D$2:$AA$2,0))</f>
        <v>459.9837611123387</v>
      </c>
      <c r="Y12" s="144">
        <f>INDEX('3. Revenue Model'!$D:$AA,MATCH($B12,'3. Revenue Model'!$B:$B,0),MATCH(Y$3,'3. Revenue Model'!$D$2:$AA$2,0))</f>
        <v>488.58252327339051</v>
      </c>
      <c r="Z12" s="144">
        <f>INDEX('3. Revenue Model'!$D:$AA,MATCH($B12,'3. Revenue Model'!$B:$B,0),MATCH(Z$3,'3. Revenue Model'!$D$2:$AA$2,0))</f>
        <v>519.69690369429418</v>
      </c>
      <c r="AA12" s="144">
        <f>INDEX('3. Revenue Model'!$D:$AA,MATCH($B12,'3. Revenue Model'!$B:$B,0),MATCH(AA$3,'3. Revenue Model'!$D$2:$AA$2,0))</f>
        <v>553.55241241888302</v>
      </c>
    </row>
    <row r="13" spans="1:29" s="3" customFormat="1" ht="13.2">
      <c r="A13" s="141" t="s">
        <v>820</v>
      </c>
      <c r="B13" s="141" t="s">
        <v>739</v>
      </c>
      <c r="C13" s="141" t="s">
        <v>79</v>
      </c>
      <c r="D13" s="144">
        <f>INDEX('3. Revenue Model'!$D:$AA,MATCH($B13,'3. Revenue Model'!$B:$B,0),MATCH(D$3,'3. Revenue Model'!$D$2:$AA$2,0))</f>
        <v>0.45</v>
      </c>
      <c r="E13" s="144">
        <f>INDEX('3. Revenue Model'!$D:$AA,MATCH($B13,'3. Revenue Model'!$B:$B,0),MATCH(E$3,'3. Revenue Model'!$D$2:$AA$2,0))</f>
        <v>0.91782162384465904</v>
      </c>
      <c r="F13" s="144">
        <f>INDEX('3. Revenue Model'!$D:$AA,MATCH($B13,'3. Revenue Model'!$B:$B,0),MATCH(F$3,'3. Revenue Model'!$D$2:$AA$2,0))</f>
        <v>1.3937185734943531</v>
      </c>
      <c r="G13" s="144">
        <f>INDEX('3. Revenue Model'!$D:$AA,MATCH($B13,'3. Revenue Model'!$B:$B,0),MATCH(G$3,'3. Revenue Model'!$D$2:$AA$2,0))</f>
        <v>1.8789300880629998</v>
      </c>
      <c r="H13" s="144">
        <f>INDEX('3. Revenue Model'!$D:$AA,MATCH($B13,'3. Revenue Model'!$B:$B,0),MATCH(H$3,'3. Revenue Model'!$D$2:$AA$2,0))</f>
        <v>2.3746714601164793</v>
      </c>
      <c r="I13" s="144">
        <f>INDEX('3. Revenue Model'!$D:$AA,MATCH($B13,'3. Revenue Model'!$B:$B,0),MATCH(I$3,'3. Revenue Model'!$D$2:$AA$2,0))</f>
        <v>3.8821753348004839</v>
      </c>
      <c r="J13" s="144">
        <f>INDEX('3. Revenue Model'!$D:$AA,MATCH($B13,'3. Revenue Model'!$B:$B,0),MATCH(J$3,'3. Revenue Model'!$D$2:$AA$2,0))</f>
        <v>5.4592736735743097</v>
      </c>
      <c r="K13" s="144">
        <f>INDEX('3. Revenue Model'!$D:$AA,MATCH($B13,'3. Revenue Model'!$B:$B,0),MATCH(K$3,'3. Revenue Model'!$D$2:$AA$2,0))</f>
        <v>7.1114693688264934</v>
      </c>
      <c r="L13" s="144">
        <f>INDEX('3. Revenue Model'!$D:$AA,MATCH($B13,'3. Revenue Model'!$B:$B,0),MATCH(L$3,'3. Revenue Model'!$D$2:$AA$2,0))</f>
        <v>8.8446566723693163</v>
      </c>
      <c r="M13" s="144">
        <f>INDEX('3. Revenue Model'!$D:$AA,MATCH($B13,'3. Revenue Model'!$B:$B,0),MATCH(M$3,'3. Revenue Model'!$D$2:$AA$2,0))</f>
        <v>10.66516286552814</v>
      </c>
      <c r="N13" s="144">
        <f>INDEX('3. Revenue Model'!$D:$AA,MATCH($B13,'3. Revenue Model'!$B:$B,0),MATCH(N$3,'3. Revenue Model'!$D$2:$AA$2,0))</f>
        <v>12.579789425327588</v>
      </c>
      <c r="O13" s="144">
        <f>INDEX('3. Revenue Model'!$D:$AA,MATCH($B13,'3. Revenue Model'!$B:$B,0),MATCH(O$3,'3. Revenue Model'!$D$2:$AA$2,0))</f>
        <v>14.595853539583292</v>
      </c>
      <c r="P13" s="144">
        <f>INDEX('3. Revenue Model'!$D:$AA,MATCH($B13,'3. Revenue Model'!$B:$B,0),MATCH(P$3,'3. Revenue Model'!$D$2:$AA$2,0))</f>
        <v>16.721230690253609</v>
      </c>
      <c r="Q13" s="144">
        <f>INDEX('3. Revenue Model'!$D:$AA,MATCH($B13,'3. Revenue Model'!$B:$B,0),MATCH(Q$3,'3. Revenue Model'!$D$2:$AA$2,0))</f>
        <v>18.964398925047231</v>
      </c>
      <c r="R13" s="144">
        <f>INDEX('3. Revenue Model'!$D:$AA,MATCH($B13,'3. Revenue Model'!$B:$B,0),MATCH(R$3,'3. Revenue Model'!$D$2:$AA$2,0))</f>
        <v>21.334485364900239</v>
      </c>
      <c r="S13" s="144">
        <f>INDEX('3. Revenue Model'!$D:$AA,MATCH($B13,'3. Revenue Model'!$B:$B,0),MATCH(S$3,'3. Revenue Model'!$D$2:$AA$2,0))</f>
        <v>23.841315444011247</v>
      </c>
      <c r="T13" s="144">
        <f>INDEX('3. Revenue Model'!$D:$AA,MATCH($B13,'3. Revenue Model'!$B:$B,0),MATCH(T$3,'3. Revenue Model'!$D$2:$AA$2,0))</f>
        <v>26.495465345388258</v>
      </c>
      <c r="U13" s="144">
        <f>INDEX('3. Revenue Model'!$D:$AA,MATCH($B13,'3. Revenue Model'!$B:$B,0),MATCH(U$3,'3. Revenue Model'!$D$2:$AA$2,0))</f>
        <v>29.308318075028037</v>
      </c>
      <c r="V13" s="144">
        <f>INDEX('3. Revenue Model'!$D:$AA,MATCH($B13,'3. Revenue Model'!$B:$B,0),MATCH(V$3,'3. Revenue Model'!$D$2:$AA$2,0))</f>
        <v>32.292123609398118</v>
      </c>
      <c r="W13" s="144">
        <f>INDEX('3. Revenue Model'!$D:$AA,MATCH($B13,'3. Revenue Model'!$B:$B,0),MATCH(W$3,'3. Revenue Model'!$D$2:$AA$2,0))</f>
        <v>35.460063551905364</v>
      </c>
      <c r="X13" s="144">
        <f>INDEX('3. Revenue Model'!$D:$AA,MATCH($B13,'3. Revenue Model'!$B:$B,0),MATCH(X$3,'3. Revenue Model'!$D$2:$AA$2,0))</f>
        <v>38.826320743070283</v>
      </c>
      <c r="Y13" s="144">
        <f>INDEX('3. Revenue Model'!$D:$AA,MATCH($B13,'3. Revenue Model'!$B:$B,0),MATCH(Y$3,'3. Revenue Model'!$D$2:$AA$2,0))</f>
        <v>42.40615428511493</v>
      </c>
      <c r="Z13" s="144">
        <f>INDEX('3. Revenue Model'!$D:$AA,MATCH($B13,'3. Revenue Model'!$B:$B,0),MATCH(Z$3,'3. Revenue Model'!$D$2:$AA$2,0))</f>
        <v>46.215980463842889</v>
      </c>
      <c r="AA13" s="144">
        <f>INDEX('3. Revenue Model'!$D:$AA,MATCH($B13,'3. Revenue Model'!$B:$B,0),MATCH(AA$3,'3. Revenue Model'!$D$2:$AA$2,0))</f>
        <v>50.273460078509977</v>
      </c>
    </row>
    <row r="14" spans="1:29" s="3" customFormat="1" ht="13.2">
      <c r="A14" s="141" t="s">
        <v>820</v>
      </c>
      <c r="B14" s="141" t="s">
        <v>712</v>
      </c>
      <c r="C14" s="141" t="s">
        <v>79</v>
      </c>
      <c r="D14" s="144">
        <f>INDEX('3. Revenue Model'!$D:$AA,MATCH($B14,'3. Revenue Model'!$B:$B,0),MATCH(D$3,'3. Revenue Model'!$D$2:$AA$2,0))</f>
        <v>0</v>
      </c>
      <c r="E14" s="144">
        <f>INDEX('3. Revenue Model'!$D:$AA,MATCH($B14,'3. Revenue Model'!$B:$B,0),MATCH(E$3,'3. Revenue Model'!$D$2:$AA$2,0))</f>
        <v>0</v>
      </c>
      <c r="F14" s="144">
        <f>INDEX('3. Revenue Model'!$D:$AA,MATCH($B14,'3. Revenue Model'!$B:$B,0),MATCH(F$3,'3. Revenue Model'!$D$2:$AA$2,0))</f>
        <v>0</v>
      </c>
      <c r="G14" s="144">
        <f>INDEX('3. Revenue Model'!$D:$AA,MATCH($B14,'3. Revenue Model'!$B:$B,0),MATCH(G$3,'3. Revenue Model'!$D$2:$AA$2,0))</f>
        <v>0</v>
      </c>
      <c r="H14" s="144">
        <f>INDEX('3. Revenue Model'!$D:$AA,MATCH($B14,'3. Revenue Model'!$B:$B,0),MATCH(H$3,'3. Revenue Model'!$D$2:$AA$2,0))</f>
        <v>0</v>
      </c>
      <c r="I14" s="144">
        <f>INDEX('3. Revenue Model'!$D:$AA,MATCH($B14,'3. Revenue Model'!$B:$B,0),MATCH(I$3,'3. Revenue Model'!$D$2:$AA$2,0))</f>
        <v>1</v>
      </c>
      <c r="J14" s="144">
        <f>INDEX('3. Revenue Model'!$D:$AA,MATCH($B14,'3. Revenue Model'!$B:$B,0),MATCH(J$3,'3. Revenue Model'!$D$2:$AA$2,0))</f>
        <v>1.07</v>
      </c>
      <c r="K14" s="144">
        <f>INDEX('3. Revenue Model'!$D:$AA,MATCH($B14,'3. Revenue Model'!$B:$B,0),MATCH(K$3,'3. Revenue Model'!$D$2:$AA$2,0))</f>
        <v>1.1449</v>
      </c>
      <c r="L14" s="144">
        <f>INDEX('3. Revenue Model'!$D:$AA,MATCH($B14,'3. Revenue Model'!$B:$B,0),MATCH(L$3,'3. Revenue Model'!$D$2:$AA$2,0))</f>
        <v>1.2250430000000001</v>
      </c>
      <c r="M14" s="144">
        <f>INDEX('3. Revenue Model'!$D:$AA,MATCH($B14,'3. Revenue Model'!$B:$B,0),MATCH(M$3,'3. Revenue Model'!$D$2:$AA$2,0))</f>
        <v>1.31079601</v>
      </c>
      <c r="N14" s="144">
        <f>INDEX('3. Revenue Model'!$D:$AA,MATCH($B14,'3. Revenue Model'!$B:$B,0),MATCH(N$3,'3. Revenue Model'!$D$2:$AA$2,0))</f>
        <v>1.4025517307000002</v>
      </c>
      <c r="O14" s="144">
        <f>INDEX('3. Revenue Model'!$D:$AA,MATCH($B14,'3. Revenue Model'!$B:$B,0),MATCH(O$3,'3. Revenue Model'!$D$2:$AA$2,0))</f>
        <v>1.5007303518490001</v>
      </c>
      <c r="P14" s="144">
        <f>INDEX('3. Revenue Model'!$D:$AA,MATCH($B14,'3. Revenue Model'!$B:$B,0),MATCH(P$3,'3. Revenue Model'!$D$2:$AA$2,0))</f>
        <v>1.6057814764784302</v>
      </c>
      <c r="Q14" s="144">
        <f>INDEX('3. Revenue Model'!$D:$AA,MATCH($B14,'3. Revenue Model'!$B:$B,0),MATCH(Q$3,'3. Revenue Model'!$D$2:$AA$2,0))</f>
        <v>1.7181861798319202</v>
      </c>
      <c r="R14" s="144">
        <f>INDEX('3. Revenue Model'!$D:$AA,MATCH($B14,'3. Revenue Model'!$B:$B,0),MATCH(R$3,'3. Revenue Model'!$D$2:$AA$2,0))</f>
        <v>1.8384592124201549</v>
      </c>
      <c r="S14" s="144">
        <f>INDEX('3. Revenue Model'!$D:$AA,MATCH($B14,'3. Revenue Model'!$B:$B,0),MATCH(S$3,'3. Revenue Model'!$D$2:$AA$2,0))</f>
        <v>1.9671513572895656</v>
      </c>
      <c r="T14" s="144">
        <f>INDEX('3. Revenue Model'!$D:$AA,MATCH($B14,'3. Revenue Model'!$B:$B,0),MATCH(T$3,'3. Revenue Model'!$D$2:$AA$2,0))</f>
        <v>2.1048519522998355</v>
      </c>
      <c r="U14" s="144">
        <f>INDEX('3. Revenue Model'!$D:$AA,MATCH($B14,'3. Revenue Model'!$B:$B,0),MATCH(U$3,'3. Revenue Model'!$D$2:$AA$2,0))</f>
        <v>2.2521915889608235</v>
      </c>
      <c r="V14" s="144">
        <f>INDEX('3. Revenue Model'!$D:$AA,MATCH($B14,'3. Revenue Model'!$B:$B,0),MATCH(V$3,'3. Revenue Model'!$D$2:$AA$2,0))</f>
        <v>2.4098450001880813</v>
      </c>
      <c r="W14" s="144">
        <f>INDEX('3. Revenue Model'!$D:$AA,MATCH($B14,'3. Revenue Model'!$B:$B,0),MATCH(W$3,'3. Revenue Model'!$D$2:$AA$2,0))</f>
        <v>2.5785341502012469</v>
      </c>
      <c r="X14" s="144">
        <f>INDEX('3. Revenue Model'!$D:$AA,MATCH($B14,'3. Revenue Model'!$B:$B,0),MATCH(X$3,'3. Revenue Model'!$D$2:$AA$2,0))</f>
        <v>2.7590315407153345</v>
      </c>
      <c r="Y14" s="144">
        <f>INDEX('3. Revenue Model'!$D:$AA,MATCH($B14,'3. Revenue Model'!$B:$B,0),MATCH(Y$3,'3. Revenue Model'!$D$2:$AA$2,0))</f>
        <v>2.9521637485654075</v>
      </c>
      <c r="Z14" s="144">
        <f>INDEX('3. Revenue Model'!$D:$AA,MATCH($B14,'3. Revenue Model'!$B:$B,0),MATCH(Z$3,'3. Revenue Model'!$D$2:$AA$2,0))</f>
        <v>3.1588152109649861</v>
      </c>
      <c r="AA14" s="144">
        <f>INDEX('3. Revenue Model'!$D:$AA,MATCH($B14,'3. Revenue Model'!$B:$B,0),MATCH(AA$3,'3. Revenue Model'!$D$2:$AA$2,0))</f>
        <v>3.3799322757325352</v>
      </c>
    </row>
    <row r="15" spans="1:29" s="3" customFormat="1" ht="13.2">
      <c r="A15" s="141" t="s">
        <v>820</v>
      </c>
      <c r="B15" s="141" t="s">
        <v>756</v>
      </c>
      <c r="C15" s="141" t="s">
        <v>64</v>
      </c>
      <c r="D15" s="145">
        <f>INDEX('3. Revenue Model'!$D:$AA,MATCH($B15,'3. Revenue Model'!$B:$B,0),MATCH(D$3,'3. Revenue Model'!$D$2:$AA$2,0))</f>
        <v>44463.3</v>
      </c>
      <c r="E15" s="145">
        <f>INDEX('3. Revenue Model'!$D:$AA,MATCH($B15,'3. Revenue Model'!$B:$B,0),MATCH(E$3,'3. Revenue Model'!$D$2:$AA$2,0))</f>
        <v>46129.371027682952</v>
      </c>
      <c r="F15" s="145">
        <f>INDEX('3. Revenue Model'!$D:$AA,MATCH($B15,'3. Revenue Model'!$B:$B,0),MATCH(F$3,'3. Revenue Model'!$D$2:$AA$2,0))</f>
        <v>47841.764196183787</v>
      </c>
      <c r="G15" s="145">
        <f>INDEX('3. Revenue Model'!$D:$AA,MATCH($B15,'3. Revenue Model'!$B:$B,0),MATCH(G$3,'3. Revenue Model'!$D$2:$AA$2,0))</f>
        <v>49636.689580722785</v>
      </c>
      <c r="H15" s="145">
        <f>INDEX('3. Revenue Model'!$D:$AA,MATCH($B15,'3. Revenue Model'!$B:$B,0),MATCH(H$3,'3. Revenue Model'!$D$2:$AA$2,0))</f>
        <v>51546.579430354774</v>
      </c>
      <c r="I15" s="145">
        <f>INDEX('3. Revenue Model'!$D:$AA,MATCH($B15,'3. Revenue Model'!$B:$B,0),MATCH(I$3,'3. Revenue Model'!$D$2:$AA$2,0))</f>
        <v>54200.286326940695</v>
      </c>
      <c r="J15" s="145">
        <f>INDEX('3. Revenue Model'!$D:$AA,MATCH($B15,'3. Revenue Model'!$B:$B,0),MATCH(J$3,'3. Revenue Model'!$D$2:$AA$2,0))</f>
        <v>57054.935869718305</v>
      </c>
      <c r="K15" s="145">
        <f>INDEX('3. Revenue Model'!$D:$AA,MATCH($B15,'3. Revenue Model'!$B:$B,0),MATCH(K$3,'3. Revenue Model'!$D$2:$AA$2,0))</f>
        <v>60140.158808947861</v>
      </c>
      <c r="L15" s="145">
        <f>INDEX('3. Revenue Model'!$D:$AA,MATCH($B15,'3. Revenue Model'!$B:$B,0),MATCH(L$3,'3. Revenue Model'!$D$2:$AA$2,0))</f>
        <v>63485.58654313445</v>
      </c>
      <c r="M15" s="145">
        <f>INDEX('3. Revenue Model'!$D:$AA,MATCH($B15,'3. Revenue Model'!$B:$B,0),MATCH(M$3,'3. Revenue Model'!$D$2:$AA$2,0))</f>
        <v>67121.426222983791</v>
      </c>
      <c r="N15" s="145">
        <f>INDEX('3. Revenue Model'!$D:$AA,MATCH($B15,'3. Revenue Model'!$B:$B,0),MATCH(N$3,'3. Revenue Model'!$D$2:$AA$2,0))</f>
        <v>71078.963613337575</v>
      </c>
      <c r="O15" s="145">
        <f>INDEX('3. Revenue Model'!$D:$AA,MATCH($B15,'3. Revenue Model'!$B:$B,0),MATCH(O$3,'3. Revenue Model'!$D$2:$AA$2,0))</f>
        <v>75391.01465241886</v>
      </c>
      <c r="P15" s="145">
        <f>INDEX('3. Revenue Model'!$D:$AA,MATCH($B15,'3. Revenue Model'!$B:$B,0),MATCH(P$3,'3. Revenue Model'!$D$2:$AA$2,0))</f>
        <v>80092.342528908368</v>
      </c>
      <c r="Q15" s="145">
        <f>INDEX('3. Revenue Model'!$D:$AA,MATCH($B15,'3. Revenue Model'!$B:$B,0),MATCH(Q$3,'3. Revenue Model'!$D$2:$AA$2,0))</f>
        <v>85220.053931696762</v>
      </c>
      <c r="R15" s="145">
        <f>INDEX('3. Revenue Model'!$D:$AA,MATCH($B15,'3. Revenue Model'!$B:$B,0),MATCH(R$3,'3. Revenue Model'!$D$2:$AA$2,0))</f>
        <v>90813.985709536064</v>
      </c>
      <c r="S15" s="145">
        <f>INDEX('3. Revenue Model'!$D:$AA,MATCH($B15,'3. Revenue Model'!$B:$B,0),MATCH(S$3,'3. Revenue Model'!$D$2:$AA$2,0))</f>
        <v>96917.091348740316</v>
      </c>
      <c r="T15" s="145">
        <f>INDEX('3. Revenue Model'!$D:$AA,MATCH($B15,'3. Revenue Model'!$B:$B,0),MATCH(T$3,'3. Revenue Model'!$D$2:$AA$2,0))</f>
        <v>103575.83531264079</v>
      </c>
      <c r="U15" s="145">
        <f>INDEX('3. Revenue Model'!$D:$AA,MATCH($B15,'3. Revenue Model'!$B:$B,0),MATCH(U$3,'3. Revenue Model'!$D$2:$AA$2,0))</f>
        <v>110840.60229057564</v>
      </c>
      <c r="V15" s="145">
        <f>INDEX('3. Revenue Model'!$D:$AA,MATCH($B15,'3. Revenue Model'!$B:$B,0),MATCH(V$3,'3. Revenue Model'!$D$2:$AA$2,0))</f>
        <v>118766.12770242419</v>
      </c>
      <c r="W15" s="145">
        <f>INDEX('3. Revenue Model'!$D:$AA,MATCH($B15,'3. Revenue Model'!$B:$B,0),MATCH(W$3,'3. Revenue Model'!$D$2:$AA$2,0))</f>
        <v>127411.95533973681</v>
      </c>
      <c r="X15" s="145">
        <f>INDEX('3. Revenue Model'!$D:$AA,MATCH($B15,'3. Revenue Model'!$B:$B,0),MATCH(X$3,'3. Revenue Model'!$D$2:$AA$2,0))</f>
        <v>136842.92775236137</v>
      </c>
      <c r="Y15" s="145">
        <f>INDEX('3. Revenue Model'!$D:$AA,MATCH($B15,'3. Revenue Model'!$B:$B,0),MATCH(Y$3,'3. Revenue Model'!$D$2:$AA$2,0))</f>
        <v>147129.71487660302</v>
      </c>
      <c r="Z15" s="145">
        <f>INDEX('3. Revenue Model'!$D:$AA,MATCH($B15,'3. Revenue Model'!$B:$B,0),MATCH(Z$3,'3. Revenue Model'!$D$2:$AA$2,0))</f>
        <v>158349.3864221017</v>
      </c>
      <c r="AA15" s="145">
        <f>INDEX('3. Revenue Model'!$D:$AA,MATCH($B15,'3. Revenue Model'!$B:$B,0),MATCH(AA$3,'3. Revenue Model'!$D$2:$AA$2,0))</f>
        <v>170586.03367102746</v>
      </c>
    </row>
    <row r="16" spans="1:29" s="3" customFormat="1" ht="13.2">
      <c r="A16" s="141" t="s">
        <v>820</v>
      </c>
      <c r="B16" s="141" t="s">
        <v>788</v>
      </c>
      <c r="C16" s="141" t="s">
        <v>64</v>
      </c>
      <c r="D16" s="145">
        <f>INDEX('3. Revenue Model'!$D:$AA,MATCH($B16,'3. Revenue Model'!$B:$B,0),MATCH(D$3,'3. Revenue Model'!$D$2:$AA$2,0))</f>
        <v>44463.3</v>
      </c>
      <c r="E16" s="145">
        <f>INDEX('3. Revenue Model'!$D:$AA,MATCH($B16,'3. Revenue Model'!$B:$B,0),MATCH(E$3,'3. Revenue Model'!$D$2:$AA$2,0))</f>
        <v>46129.371027682952</v>
      </c>
      <c r="F16" s="145">
        <f>INDEX('3. Revenue Model'!$D:$AA,MATCH($B16,'3. Revenue Model'!$B:$B,0),MATCH(F$3,'3. Revenue Model'!$D$2:$AA$2,0))</f>
        <v>47841.764196183787</v>
      </c>
      <c r="G16" s="145">
        <f>INDEX('3. Revenue Model'!$D:$AA,MATCH($B16,'3. Revenue Model'!$B:$B,0),MATCH(G$3,'3. Revenue Model'!$D$2:$AA$2,0))</f>
        <v>49636.689580722785</v>
      </c>
      <c r="H16" s="145">
        <f>INDEX('3. Revenue Model'!$D:$AA,MATCH($B16,'3. Revenue Model'!$B:$B,0),MATCH(H$3,'3. Revenue Model'!$D$2:$AA$2,0))</f>
        <v>51546.579430354774</v>
      </c>
      <c r="I16" s="145">
        <f>INDEX('3. Revenue Model'!$D:$AA,MATCH($B16,'3. Revenue Model'!$B:$B,0),MATCH(I$3,'3. Revenue Model'!$D$2:$AA$2,0))</f>
        <v>54200.286326940695</v>
      </c>
      <c r="J16" s="145">
        <f>INDEX('3. Revenue Model'!$D:$AA,MATCH($B16,'3. Revenue Model'!$B:$B,0),MATCH(J$3,'3. Revenue Model'!$D$2:$AA$2,0))</f>
        <v>57054.935869718305</v>
      </c>
      <c r="K16" s="145">
        <f>INDEX('3. Revenue Model'!$D:$AA,MATCH($B16,'3. Revenue Model'!$B:$B,0),MATCH(K$3,'3. Revenue Model'!$D$2:$AA$2,0))</f>
        <v>60140.158808947861</v>
      </c>
      <c r="L16" s="145">
        <f>INDEX('3. Revenue Model'!$D:$AA,MATCH($B16,'3. Revenue Model'!$B:$B,0),MATCH(L$3,'3. Revenue Model'!$D$2:$AA$2,0))</f>
        <v>63485.58654313445</v>
      </c>
      <c r="M16" s="145">
        <f>INDEX('3. Revenue Model'!$D:$AA,MATCH($B16,'3. Revenue Model'!$B:$B,0),MATCH(M$3,'3. Revenue Model'!$D$2:$AA$2,0))</f>
        <v>67394.855420066786</v>
      </c>
      <c r="N16" s="145">
        <f>INDEX('3. Revenue Model'!$D:$AA,MATCH($B16,'3. Revenue Model'!$B:$B,0),MATCH(N$3,'3. Revenue Model'!$D$2:$AA$2,0))</f>
        <v>71658.68093962883</v>
      </c>
      <c r="O16" s="145">
        <f>INDEX('3. Revenue Model'!$D:$AA,MATCH($B16,'3. Revenue Model'!$B:$B,0),MATCH(O$3,'3. Revenue Model'!$D$2:$AA$2,0))</f>
        <v>76314.850426253019</v>
      </c>
      <c r="P16" s="145">
        <f>INDEX('3. Revenue Model'!$D:$AA,MATCH($B16,'3. Revenue Model'!$B:$B,0),MATCH(P$3,'3. Revenue Model'!$D$2:$AA$2,0))</f>
        <v>81403.775449854875</v>
      </c>
      <c r="Q16" s="145">
        <f>INDEX('3. Revenue Model'!$D:$AA,MATCH($B16,'3. Revenue Model'!$B:$B,0),MATCH(Q$3,'3. Revenue Model'!$D$2:$AA$2,0))</f>
        <v>86968.93985127339</v>
      </c>
      <c r="R16" s="145">
        <f>INDEX('3. Revenue Model'!$D:$AA,MATCH($B16,'3. Revenue Model'!$B:$B,0),MATCH(R$3,'3. Revenue Model'!$D$2:$AA$2,0))</f>
        <v>93057.352237991101</v>
      </c>
      <c r="S16" s="145">
        <f>INDEX('3. Revenue Model'!$D:$AA,MATCH($B16,'3. Revenue Model'!$B:$B,0),MATCH(S$3,'3. Revenue Model'!$D$2:$AA$2,0))</f>
        <v>99720.01182464647</v>
      </c>
      <c r="T16" s="145">
        <f>INDEX('3. Revenue Model'!$D:$AA,MATCH($B16,'3. Revenue Model'!$B:$B,0),MATCH(T$3,'3. Revenue Model'!$D$2:$AA$2,0))</f>
        <v>107012.39560696423</v>
      </c>
      <c r="U16" s="145">
        <f>INDEX('3. Revenue Model'!$D:$AA,MATCH($B16,'3. Revenue Model'!$B:$B,0),MATCH(U$3,'3. Revenue Model'!$D$2:$AA$2,0))</f>
        <v>114994.9742597376</v>
      </c>
      <c r="V16" s="145">
        <f>INDEX('3. Revenue Model'!$D:$AA,MATCH($B16,'3. Revenue Model'!$B:$B,0),MATCH(V$3,'3. Revenue Model'!$D$2:$AA$2,0))</f>
        <v>123733.76378889949</v>
      </c>
      <c r="W16" s="145">
        <f>INDEX('3. Revenue Model'!$D:$AA,MATCH($B16,'3. Revenue Model'!$B:$B,0),MATCH(W$3,'3. Revenue Model'!$D$2:$AA$2,0))</f>
        <v>133300.91980571178</v>
      </c>
      <c r="X16" s="145">
        <f>INDEX('3. Revenue Model'!$D:$AA,MATCH($B16,'3. Revenue Model'!$B:$B,0),MATCH(X$3,'3. Revenue Model'!$D$2:$AA$2,0))</f>
        <v>143775.38129822307</v>
      </c>
      <c r="Y16" s="145">
        <f>INDEX('3. Revenue Model'!$D:$AA,MATCH($B16,'3. Revenue Model'!$B:$B,0),MATCH(Y$3,'3. Revenue Model'!$D$2:$AA$2,0))</f>
        <v>155243.5709294359</v>
      </c>
      <c r="Z16" s="145">
        <f>INDEX('3. Revenue Model'!$D:$AA,MATCH($B16,'3. Revenue Model'!$B:$B,0),MATCH(Z$3,'3. Revenue Model'!$D$2:$AA$2,0))</f>
        <v>167800.15917716981</v>
      </c>
      <c r="AA16" s="145">
        <f>INDEX('3. Revenue Model'!$D:$AA,MATCH($B16,'3. Revenue Model'!$B:$B,0),MATCH(AA$3,'3. Revenue Model'!$D$2:$AA$2,0))</f>
        <v>181548.9000364189</v>
      </c>
    </row>
    <row r="17" spans="1:29" s="3" customFormat="1" ht="13.2">
      <c r="A17" s="141" t="s">
        <v>820</v>
      </c>
      <c r="B17" s="141" t="s">
        <v>791</v>
      </c>
      <c r="C17" s="141" t="s">
        <v>64</v>
      </c>
      <c r="D17" s="145">
        <f>INDEX('3. Revenue Model'!$D:$AA,MATCH($B17,'3. Revenue Model'!$B:$B,0),MATCH(D$3,'3. Revenue Model'!$D$2:$AA$2,0))</f>
        <v>533559.60000000009</v>
      </c>
      <c r="E17" s="145">
        <f>INDEX('3. Revenue Model'!$D:$AA,MATCH($B17,'3. Revenue Model'!$B:$B,0),MATCH(E$3,'3. Revenue Model'!$D$2:$AA$2,0))</f>
        <v>553552.45233219536</v>
      </c>
      <c r="F17" s="145">
        <f>INDEX('3. Revenue Model'!$D:$AA,MATCH($B17,'3. Revenue Model'!$B:$B,0),MATCH(F$3,'3. Revenue Model'!$D$2:$AA$2,0))</f>
        <v>574101.17035420542</v>
      </c>
      <c r="G17" s="145">
        <f>INDEX('3. Revenue Model'!$D:$AA,MATCH($B17,'3. Revenue Model'!$B:$B,0),MATCH(G$3,'3. Revenue Model'!$D$2:$AA$2,0))</f>
        <v>595640.27496867348</v>
      </c>
      <c r="H17" s="145">
        <f>INDEX('3. Revenue Model'!$D:$AA,MATCH($B17,'3. Revenue Model'!$B:$B,0),MATCH(H$3,'3. Revenue Model'!$D$2:$AA$2,0))</f>
        <v>618558.95316425734</v>
      </c>
      <c r="I17" s="145">
        <f>INDEX('3. Revenue Model'!$D:$AA,MATCH($B17,'3. Revenue Model'!$B:$B,0),MATCH(I$3,'3. Revenue Model'!$D$2:$AA$2,0))</f>
        <v>650403.43592328834</v>
      </c>
      <c r="J17" s="145">
        <f>INDEX('3. Revenue Model'!$D:$AA,MATCH($B17,'3. Revenue Model'!$B:$B,0),MATCH(J$3,'3. Revenue Model'!$D$2:$AA$2,0))</f>
        <v>684659.2304366196</v>
      </c>
      <c r="K17" s="145">
        <f>INDEX('3. Revenue Model'!$D:$AA,MATCH($B17,'3. Revenue Model'!$B:$B,0),MATCH(K$3,'3. Revenue Model'!$D$2:$AA$2,0))</f>
        <v>721681.90570737433</v>
      </c>
      <c r="L17" s="145">
        <f>INDEX('3. Revenue Model'!$D:$AA,MATCH($B17,'3. Revenue Model'!$B:$B,0),MATCH(L$3,'3. Revenue Model'!$D$2:$AA$2,0))</f>
        <v>761827.03851761343</v>
      </c>
      <c r="M17" s="145">
        <f>INDEX('3. Revenue Model'!$D:$AA,MATCH($B17,'3. Revenue Model'!$B:$B,0),MATCH(M$3,'3. Revenue Model'!$D$2:$AA$2,0))</f>
        <v>808738.26504080137</v>
      </c>
      <c r="N17" s="145">
        <f>INDEX('3. Revenue Model'!$D:$AA,MATCH($B17,'3. Revenue Model'!$B:$B,0),MATCH(N$3,'3. Revenue Model'!$D$2:$AA$2,0))</f>
        <v>859904.17127554596</v>
      </c>
      <c r="O17" s="145">
        <f>INDEX('3. Revenue Model'!$D:$AA,MATCH($B17,'3. Revenue Model'!$B:$B,0),MATCH(O$3,'3. Revenue Model'!$D$2:$AA$2,0))</f>
        <v>915778.20511503622</v>
      </c>
      <c r="P17" s="145">
        <f>INDEX('3. Revenue Model'!$D:$AA,MATCH($B17,'3. Revenue Model'!$B:$B,0),MATCH(P$3,'3. Revenue Model'!$D$2:$AA$2,0))</f>
        <v>976845.3053982585</v>
      </c>
      <c r="Q17" s="145">
        <f>INDEX('3. Revenue Model'!$D:$AA,MATCH($B17,'3. Revenue Model'!$B:$B,0),MATCH(Q$3,'3. Revenue Model'!$D$2:$AA$2,0))</f>
        <v>1043627.2782152807</v>
      </c>
      <c r="R17" s="145">
        <f>INDEX('3. Revenue Model'!$D:$AA,MATCH($B17,'3. Revenue Model'!$B:$B,0),MATCH(R$3,'3. Revenue Model'!$D$2:$AA$2,0))</f>
        <v>1116688.2268558932</v>
      </c>
      <c r="S17" s="145">
        <f>INDEX('3. Revenue Model'!$D:$AA,MATCH($B17,'3. Revenue Model'!$B:$B,0),MATCH(S$3,'3. Revenue Model'!$D$2:$AA$2,0))</f>
        <v>1196640.1418957575</v>
      </c>
      <c r="T17" s="145">
        <f>INDEX('3. Revenue Model'!$D:$AA,MATCH($B17,'3. Revenue Model'!$B:$B,0),MATCH(T$3,'3. Revenue Model'!$D$2:$AA$2,0))</f>
        <v>1284148.7472835707</v>
      </c>
      <c r="U17" s="145">
        <f>INDEX('3. Revenue Model'!$D:$AA,MATCH($B17,'3. Revenue Model'!$B:$B,0),MATCH(U$3,'3. Revenue Model'!$D$2:$AA$2,0))</f>
        <v>1379939.6911168513</v>
      </c>
      <c r="V17" s="145">
        <f>INDEX('3. Revenue Model'!$D:$AA,MATCH($B17,'3. Revenue Model'!$B:$B,0),MATCH(V$3,'3. Revenue Model'!$D$2:$AA$2,0))</f>
        <v>1484805.1654667938</v>
      </c>
      <c r="W17" s="145">
        <f>INDEX('3. Revenue Model'!$D:$AA,MATCH($B17,'3. Revenue Model'!$B:$B,0),MATCH(W$3,'3. Revenue Model'!$D$2:$AA$2,0))</f>
        <v>1599611.0376685413</v>
      </c>
      <c r="X17" s="145">
        <f>INDEX('3. Revenue Model'!$D:$AA,MATCH($B17,'3. Revenue Model'!$B:$B,0),MATCH(X$3,'3. Revenue Model'!$D$2:$AA$2,0))</f>
        <v>1725304.575578677</v>
      </c>
      <c r="Y17" s="145">
        <f>INDEX('3. Revenue Model'!$D:$AA,MATCH($B17,'3. Revenue Model'!$B:$B,0),MATCH(Y$3,'3. Revenue Model'!$D$2:$AA$2,0))</f>
        <v>1862922.8511532308</v>
      </c>
      <c r="Z17" s="145">
        <f>INDEX('3. Revenue Model'!$D:$AA,MATCH($B17,'3. Revenue Model'!$B:$B,0),MATCH(Z$3,'3. Revenue Model'!$D$2:$AA$2,0))</f>
        <v>2013601.9101260379</v>
      </c>
      <c r="AA17" s="145">
        <f>INDEX('3. Revenue Model'!$D:$AA,MATCH($B17,'3. Revenue Model'!$B:$B,0),MATCH(AA$3,'3. Revenue Model'!$D$2:$AA$2,0))</f>
        <v>2178586.8004370267</v>
      </c>
    </row>
    <row r="18" spans="1:29" s="3" customFormat="1" ht="13.2">
      <c r="A18" s="141" t="s">
        <v>820</v>
      </c>
      <c r="B18" s="141" t="s">
        <v>805</v>
      </c>
      <c r="C18" s="141" t="s">
        <v>64</v>
      </c>
      <c r="D18" s="145">
        <f>INDEX('3. Revenue Model'!$D:$AA,MATCH($B18,'3. Revenue Model'!$B:$B,0),MATCH(D$3,'3. Revenue Model'!$D$2:$AA$2,0))</f>
        <v>44463.3</v>
      </c>
      <c r="E18" s="145">
        <f>INDEX('3. Revenue Model'!$D:$AA,MATCH($B18,'3. Revenue Model'!$B:$B,0),MATCH(E$3,'3. Revenue Model'!$D$2:$AA$2,0))</f>
        <v>1666.0710276829486</v>
      </c>
      <c r="F18" s="145">
        <f>INDEX('3. Revenue Model'!$D:$AA,MATCH($B18,'3. Revenue Model'!$B:$B,0),MATCH(F$3,'3. Revenue Model'!$D$2:$AA$2,0))</f>
        <v>1712.3931685008356</v>
      </c>
      <c r="G18" s="145">
        <f>INDEX('3. Revenue Model'!$D:$AA,MATCH($B18,'3. Revenue Model'!$B:$B,0),MATCH(G$3,'3. Revenue Model'!$D$2:$AA$2,0))</f>
        <v>1794.9253845389976</v>
      </c>
      <c r="H18" s="145">
        <f>INDEX('3. Revenue Model'!$D:$AA,MATCH($B18,'3. Revenue Model'!$B:$B,0),MATCH(H$3,'3. Revenue Model'!$D$2:$AA$2,0))</f>
        <v>1909.8898496319889</v>
      </c>
      <c r="I18" s="145">
        <f>INDEX('3. Revenue Model'!$D:$AA,MATCH($B18,'3. Revenue Model'!$B:$B,0),MATCH(I$3,'3. Revenue Model'!$D$2:$AA$2,0))</f>
        <v>2653.7068965859216</v>
      </c>
      <c r="J18" s="145">
        <f>INDEX('3. Revenue Model'!$D:$AA,MATCH($B18,'3. Revenue Model'!$B:$B,0),MATCH(J$3,'3. Revenue Model'!$D$2:$AA$2,0))</f>
        <v>2854.6495427776099</v>
      </c>
      <c r="K18" s="145">
        <f>INDEX('3. Revenue Model'!$D:$AA,MATCH($B18,'3. Revenue Model'!$B:$B,0),MATCH(K$3,'3. Revenue Model'!$D$2:$AA$2,0))</f>
        <v>3085.2229392295558</v>
      </c>
      <c r="L18" s="145">
        <f>INDEX('3. Revenue Model'!$D:$AA,MATCH($B18,'3. Revenue Model'!$B:$B,0),MATCH(L$3,'3. Revenue Model'!$D$2:$AA$2,0))</f>
        <v>3345.4277341865891</v>
      </c>
      <c r="M18" s="145">
        <f>INDEX('3. Revenue Model'!$D:$AA,MATCH($B18,'3. Revenue Model'!$B:$B,0),MATCH(M$3,'3. Revenue Model'!$D$2:$AA$2,0))</f>
        <v>3909.2688769323358</v>
      </c>
      <c r="N18" s="145">
        <f>INDEX('3. Revenue Model'!$D:$AA,MATCH($B18,'3. Revenue Model'!$B:$B,0),MATCH(N$3,'3. Revenue Model'!$D$2:$AA$2,0))</f>
        <v>4263.8255195620441</v>
      </c>
      <c r="O18" s="145">
        <f>INDEX('3. Revenue Model'!$D:$AA,MATCH($B18,'3. Revenue Model'!$B:$B,0),MATCH(O$3,'3. Revenue Model'!$D$2:$AA$2,0))</f>
        <v>4656.1694866241887</v>
      </c>
      <c r="P18" s="145">
        <f>INDEX('3. Revenue Model'!$D:$AA,MATCH($B18,'3. Revenue Model'!$B:$B,0),MATCH(P$3,'3. Revenue Model'!$D$2:$AA$2,0))</f>
        <v>5088.9250236018561</v>
      </c>
      <c r="Q18" s="145">
        <f>INDEX('3. Revenue Model'!$D:$AA,MATCH($B18,'3. Revenue Model'!$B:$B,0),MATCH(Q$3,'3. Revenue Model'!$D$2:$AA$2,0))</f>
        <v>5565.1644014185149</v>
      </c>
      <c r="R18" s="145">
        <f>INDEX('3. Revenue Model'!$D:$AA,MATCH($B18,'3. Revenue Model'!$B:$B,0),MATCH(R$3,'3. Revenue Model'!$D$2:$AA$2,0))</f>
        <v>6088.4123867177113</v>
      </c>
      <c r="S18" s="145">
        <f>INDEX('3. Revenue Model'!$D:$AA,MATCH($B18,'3. Revenue Model'!$B:$B,0),MATCH(S$3,'3. Revenue Model'!$D$2:$AA$2,0))</f>
        <v>6662.6595866553689</v>
      </c>
      <c r="T18" s="145">
        <f>INDEX('3. Revenue Model'!$D:$AA,MATCH($B18,'3. Revenue Model'!$B:$B,0),MATCH(T$3,'3. Revenue Model'!$D$2:$AA$2,0))</f>
        <v>7292.3837823177601</v>
      </c>
      <c r="U18" s="145">
        <f>INDEX('3. Revenue Model'!$D:$AA,MATCH($B18,'3. Revenue Model'!$B:$B,0),MATCH(U$3,'3. Revenue Model'!$D$2:$AA$2,0))</f>
        <v>7982.5786527733726</v>
      </c>
      <c r="V18" s="145">
        <f>INDEX('3. Revenue Model'!$D:$AA,MATCH($B18,'3. Revenue Model'!$B:$B,0),MATCH(V$3,'3. Revenue Model'!$D$2:$AA$2,0))</f>
        <v>8738.7895291618916</v>
      </c>
      <c r="W18" s="145">
        <f>INDEX('3. Revenue Model'!$D:$AA,MATCH($B18,'3. Revenue Model'!$B:$B,0),MATCH(W$3,'3. Revenue Model'!$D$2:$AA$2,0))</f>
        <v>9567.1560168122815</v>
      </c>
      <c r="X18" s="145">
        <f>INDEX('3. Revenue Model'!$D:$AA,MATCH($B18,'3. Revenue Model'!$B:$B,0),MATCH(X$3,'3. Revenue Model'!$D$2:$AA$2,0))</f>
        <v>10474.461492511298</v>
      </c>
      <c r="Y18" s="145">
        <f>INDEX('3. Revenue Model'!$D:$AA,MATCH($B18,'3. Revenue Model'!$B:$B,0),MATCH(Y$3,'3. Revenue Model'!$D$2:$AA$2,0))</f>
        <v>11468.189631212823</v>
      </c>
      <c r="Z18" s="145">
        <f>INDEX('3. Revenue Model'!$D:$AA,MATCH($B18,'3. Revenue Model'!$B:$B,0),MATCH(Z$3,'3. Revenue Model'!$D$2:$AA$2,0))</f>
        <v>12556.588247733918</v>
      </c>
      <c r="AA18" s="145">
        <f>INDEX('3. Revenue Model'!$D:$AA,MATCH($B18,'3. Revenue Model'!$B:$B,0),MATCH(AA$3,'3. Revenue Model'!$D$2:$AA$2,0))</f>
        <v>13748.740859249083</v>
      </c>
    </row>
    <row r="19" spans="1:29" s="3" customFormat="1" ht="13.2"/>
    <row r="20" spans="1:29" s="3" customFormat="1" ht="13.2">
      <c r="A20" s="105" t="s">
        <v>821</v>
      </c>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row>
    <row r="21" spans="1:29" s="3" customFormat="1" ht="26.4">
      <c r="A21" s="141" t="s">
        <v>325</v>
      </c>
      <c r="B21" s="141" t="s">
        <v>822</v>
      </c>
      <c r="C21" s="141" t="s">
        <v>47</v>
      </c>
      <c r="D21" s="146" cm="1">
        <f t="array" ref="D21:AA21">INDEX('6. Unit Economics'!$B$47:$Y$64,MATCH("Blended CAC Payback",'6. Unit Economics'!$A$47:$A$64,0),0)</f>
        <v>8.6246530145934965</v>
      </c>
      <c r="E21" s="146">
        <v>8.8190809319648391</v>
      </c>
      <c r="F21" s="146">
        <v>8.975294022107386</v>
      </c>
      <c r="G21" s="146">
        <v>9.1004172415383415</v>
      </c>
      <c r="H21" s="146">
        <v>9.2013772574578478</v>
      </c>
      <c r="I21" s="146">
        <v>10.304369742330916</v>
      </c>
      <c r="J21" s="146">
        <v>10.315444827257348</v>
      </c>
      <c r="K21" s="146">
        <v>12.392083125213771</v>
      </c>
      <c r="L21" s="146">
        <v>12.20043727380884</v>
      </c>
      <c r="M21" s="146">
        <v>11.968757791549757</v>
      </c>
      <c r="N21" s="146">
        <v>11.749603380203634</v>
      </c>
      <c r="O21" s="146">
        <v>11.543814308175838</v>
      </c>
      <c r="P21" s="146">
        <v>11.351538060653702</v>
      </c>
      <c r="Q21" s="146">
        <v>11.17245832315645</v>
      </c>
      <c r="R21" s="146">
        <v>11.005964690100361</v>
      </c>
      <c r="S21" s="146">
        <v>12.206202269708289</v>
      </c>
      <c r="T21" s="146">
        <v>11.93168024508666</v>
      </c>
      <c r="U21" s="146">
        <v>11.680602587282626</v>
      </c>
      <c r="V21" s="146">
        <v>11.450576129268931</v>
      </c>
      <c r="W21" s="146">
        <v>11.239429626808922</v>
      </c>
      <c r="X21" s="146">
        <v>11.045203687533292</v>
      </c>
      <c r="Y21" s="146">
        <v>10.866136949382417</v>
      </c>
      <c r="Z21" s="146">
        <v>10.700650444711787</v>
      </c>
      <c r="AA21" s="146">
        <v>10.547331421849993</v>
      </c>
    </row>
    <row r="22" spans="1:29" s="3" customFormat="1" ht="13.2"/>
    <row r="23" spans="1:29" s="3" customFormat="1" ht="13.2">
      <c r="A23" s="105" t="s">
        <v>875</v>
      </c>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row>
    <row r="24" spans="1:29" s="3" customFormat="1" ht="13.2">
      <c r="A24" s="141" t="s">
        <v>876</v>
      </c>
      <c r="B24" s="147" t="s">
        <v>585</v>
      </c>
      <c r="C24" s="147" t="s">
        <v>159</v>
      </c>
      <c r="D24" s="148">
        <f>INDEX('1. Assumptions'!$G:$G,MATCH($B24,'1. Assumptions'!$B:$B,0))</f>
        <v>1</v>
      </c>
      <c r="E24" s="148">
        <f>INDEX('1. Assumptions'!$G:$G,MATCH($B24,'1. Assumptions'!$B:$B,0))</f>
        <v>1</v>
      </c>
      <c r="F24" s="148">
        <f>INDEX('1. Assumptions'!$G:$G,MATCH($B24,'1. Assumptions'!$B:$B,0))</f>
        <v>1</v>
      </c>
      <c r="G24" s="148">
        <f>INDEX('1. Assumptions'!$G:$G,MATCH($B24,'1. Assumptions'!$B:$B,0))</f>
        <v>1</v>
      </c>
      <c r="H24" s="148">
        <f>INDEX('1. Assumptions'!$G:$G,MATCH($B24,'1. Assumptions'!$B:$B,0))</f>
        <v>1</v>
      </c>
      <c r="I24" s="148">
        <f>INDEX('1. Assumptions'!$G:$G,MATCH($B24,'1. Assumptions'!$B:$B,0))</f>
        <v>1</v>
      </c>
      <c r="J24" s="148">
        <f>INDEX('1. Assumptions'!$G:$G,MATCH($B24,'1. Assumptions'!$B:$B,0))</f>
        <v>1</v>
      </c>
      <c r="K24" s="148">
        <f>INDEX('1. Assumptions'!$G:$G,MATCH($B24,'1. Assumptions'!$B:$B,0))</f>
        <v>1</v>
      </c>
      <c r="L24" s="148">
        <f>INDEX('1. Assumptions'!$G:$G,MATCH($B24,'1. Assumptions'!$B:$B,0))</f>
        <v>1</v>
      </c>
      <c r="M24" s="148">
        <f>INDEX('1. Assumptions'!$G:$G,MATCH($B24,'1. Assumptions'!$B:$B,0))</f>
        <v>1</v>
      </c>
      <c r="N24" s="148">
        <f>INDEX('1. Assumptions'!$G:$G,MATCH($B24,'1. Assumptions'!$B:$B,0))</f>
        <v>1</v>
      </c>
      <c r="O24" s="148">
        <f>INDEX('1. Assumptions'!$G:$G,MATCH($B24,'1. Assumptions'!$B:$B,0))</f>
        <v>1</v>
      </c>
      <c r="P24" s="148">
        <f>INDEX('1. Assumptions'!$G:$G,MATCH($B24,'1. Assumptions'!$B:$B,0))</f>
        <v>1</v>
      </c>
      <c r="Q24" s="148">
        <f>INDEX('1. Assumptions'!$G:$G,MATCH($B24,'1. Assumptions'!$B:$B,0))</f>
        <v>1</v>
      </c>
      <c r="R24" s="148">
        <f>INDEX('1. Assumptions'!$G:$G,MATCH($B24,'1. Assumptions'!$B:$B,0))</f>
        <v>1</v>
      </c>
      <c r="S24" s="148">
        <f>INDEX('1. Assumptions'!$G:$G,MATCH($B24,'1. Assumptions'!$B:$B,0))</f>
        <v>1</v>
      </c>
      <c r="T24" s="148">
        <f>INDEX('1. Assumptions'!$G:$G,MATCH($B24,'1. Assumptions'!$B:$B,0))</f>
        <v>1</v>
      </c>
      <c r="U24" s="148">
        <f>INDEX('1. Assumptions'!$G:$G,MATCH($B24,'1. Assumptions'!$B:$B,0))</f>
        <v>1</v>
      </c>
      <c r="V24" s="148">
        <f>INDEX('1. Assumptions'!$G:$G,MATCH($B24,'1. Assumptions'!$B:$B,0))</f>
        <v>1</v>
      </c>
      <c r="W24" s="148">
        <f>INDEX('1. Assumptions'!$G:$G,MATCH($B24,'1. Assumptions'!$B:$B,0))</f>
        <v>1</v>
      </c>
      <c r="X24" s="148">
        <f>INDEX('1. Assumptions'!$G:$G,MATCH($B24,'1. Assumptions'!$B:$B,0))</f>
        <v>1</v>
      </c>
      <c r="Y24" s="148">
        <f>INDEX('1. Assumptions'!$G:$G,MATCH($B24,'1. Assumptions'!$B:$B,0))</f>
        <v>1</v>
      </c>
      <c r="Z24" s="148">
        <f>INDEX('1. Assumptions'!$G:$G,MATCH($B24,'1. Assumptions'!$B:$B,0))</f>
        <v>1</v>
      </c>
      <c r="AA24" s="148">
        <f>INDEX('1. Assumptions'!$G:$G,MATCH($B24,'1. Assumptions'!$B:$B,0))</f>
        <v>1</v>
      </c>
    </row>
    <row r="25" spans="1:29" s="3" customFormat="1" ht="13.2">
      <c r="A25" s="141" t="s">
        <v>876</v>
      </c>
      <c r="B25" s="147" t="s">
        <v>587</v>
      </c>
      <c r="C25" s="147" t="s">
        <v>159</v>
      </c>
      <c r="D25" s="148">
        <f>INDEX('1. Assumptions'!$G:$G,MATCH($B25,'1. Assumptions'!$B:$B,0))</f>
        <v>1</v>
      </c>
      <c r="E25" s="148">
        <f>INDEX('1. Assumptions'!$G:$G,MATCH($B25,'1. Assumptions'!$B:$B,0))</f>
        <v>1</v>
      </c>
      <c r="F25" s="148">
        <f>INDEX('1. Assumptions'!$G:$G,MATCH($B25,'1. Assumptions'!$B:$B,0))</f>
        <v>1</v>
      </c>
      <c r="G25" s="148">
        <f>INDEX('1. Assumptions'!$G:$G,MATCH($B25,'1. Assumptions'!$B:$B,0))</f>
        <v>1</v>
      </c>
      <c r="H25" s="148">
        <f>INDEX('1. Assumptions'!$G:$G,MATCH($B25,'1. Assumptions'!$B:$B,0))</f>
        <v>1</v>
      </c>
      <c r="I25" s="148">
        <f>INDEX('1. Assumptions'!$G:$G,MATCH($B25,'1. Assumptions'!$B:$B,0))</f>
        <v>1</v>
      </c>
      <c r="J25" s="148">
        <f>INDEX('1. Assumptions'!$G:$G,MATCH($B25,'1. Assumptions'!$B:$B,0))</f>
        <v>1</v>
      </c>
      <c r="K25" s="148">
        <f>INDEX('1. Assumptions'!$G:$G,MATCH($B25,'1. Assumptions'!$B:$B,0))</f>
        <v>1</v>
      </c>
      <c r="L25" s="148">
        <f>INDEX('1. Assumptions'!$G:$G,MATCH($B25,'1. Assumptions'!$B:$B,0))</f>
        <v>1</v>
      </c>
      <c r="M25" s="148">
        <f>INDEX('1. Assumptions'!$G:$G,MATCH($B25,'1. Assumptions'!$B:$B,0))</f>
        <v>1</v>
      </c>
      <c r="N25" s="148">
        <f>INDEX('1. Assumptions'!$G:$G,MATCH($B25,'1. Assumptions'!$B:$B,0))</f>
        <v>1</v>
      </c>
      <c r="O25" s="148">
        <f>INDEX('1. Assumptions'!$G:$G,MATCH($B25,'1. Assumptions'!$B:$B,0))</f>
        <v>1</v>
      </c>
      <c r="P25" s="148">
        <f>INDEX('1. Assumptions'!$G:$G,MATCH($B25,'1. Assumptions'!$B:$B,0))</f>
        <v>1</v>
      </c>
      <c r="Q25" s="148">
        <f>INDEX('1. Assumptions'!$G:$G,MATCH($B25,'1. Assumptions'!$B:$B,0))</f>
        <v>1</v>
      </c>
      <c r="R25" s="148">
        <f>INDEX('1. Assumptions'!$G:$G,MATCH($B25,'1. Assumptions'!$B:$B,0))</f>
        <v>1</v>
      </c>
      <c r="S25" s="148">
        <f>INDEX('1. Assumptions'!$G:$G,MATCH($B25,'1. Assumptions'!$B:$B,0))</f>
        <v>1</v>
      </c>
      <c r="T25" s="148">
        <f>INDEX('1. Assumptions'!$G:$G,MATCH($B25,'1. Assumptions'!$B:$B,0))</f>
        <v>1</v>
      </c>
      <c r="U25" s="148">
        <f>INDEX('1. Assumptions'!$G:$G,MATCH($B25,'1. Assumptions'!$B:$B,0))</f>
        <v>1</v>
      </c>
      <c r="V25" s="148">
        <f>INDEX('1. Assumptions'!$G:$G,MATCH($B25,'1. Assumptions'!$B:$B,0))</f>
        <v>1</v>
      </c>
      <c r="W25" s="148">
        <f>INDEX('1. Assumptions'!$G:$G,MATCH($B25,'1. Assumptions'!$B:$B,0))</f>
        <v>1</v>
      </c>
      <c r="X25" s="148">
        <f>INDEX('1. Assumptions'!$G:$G,MATCH($B25,'1. Assumptions'!$B:$B,0))</f>
        <v>1</v>
      </c>
      <c r="Y25" s="148">
        <f>INDEX('1. Assumptions'!$G:$G,MATCH($B25,'1. Assumptions'!$B:$B,0))</f>
        <v>1</v>
      </c>
      <c r="Z25" s="148">
        <f>INDEX('1. Assumptions'!$G:$G,MATCH($B25,'1. Assumptions'!$B:$B,0))</f>
        <v>1</v>
      </c>
      <c r="AA25" s="148">
        <f>INDEX('1. Assumptions'!$G:$G,MATCH($B25,'1. Assumptions'!$B:$B,0))</f>
        <v>1</v>
      </c>
    </row>
    <row r="26" spans="1:29" s="3" customFormat="1" ht="26.4">
      <c r="A26" s="141" t="s">
        <v>876</v>
      </c>
      <c r="B26" s="147" t="s">
        <v>589</v>
      </c>
      <c r="C26" s="147" t="s">
        <v>159</v>
      </c>
      <c r="D26" s="148">
        <f>INDEX('1. Assumptions'!$G:$G,MATCH($B26,'1. Assumptions'!$B:$B,0))</f>
        <v>3</v>
      </c>
      <c r="E26" s="148">
        <f>INDEX('1. Assumptions'!$G:$G,MATCH($B26,'1. Assumptions'!$B:$B,0))</f>
        <v>3</v>
      </c>
      <c r="F26" s="148">
        <f>INDEX('1. Assumptions'!$G:$G,MATCH($B26,'1. Assumptions'!$B:$B,0))</f>
        <v>3</v>
      </c>
      <c r="G26" s="148">
        <f>INDEX('1. Assumptions'!$G:$G,MATCH($B26,'1. Assumptions'!$B:$B,0))</f>
        <v>3</v>
      </c>
      <c r="H26" s="148">
        <f>INDEX('1. Assumptions'!$G:$G,MATCH($B26,'1. Assumptions'!$B:$B,0))</f>
        <v>3</v>
      </c>
      <c r="I26" s="148">
        <f>INDEX('1. Assumptions'!$G:$G,MATCH($B26,'1. Assumptions'!$B:$B,0))</f>
        <v>3</v>
      </c>
      <c r="J26" s="148">
        <f>INDEX('1. Assumptions'!$G:$G,MATCH($B26,'1. Assumptions'!$B:$B,0))</f>
        <v>3</v>
      </c>
      <c r="K26" s="148">
        <f>INDEX('1. Assumptions'!$G:$G,MATCH($B26,'1. Assumptions'!$B:$B,0))</f>
        <v>3</v>
      </c>
      <c r="L26" s="148">
        <f>INDEX('1. Assumptions'!$G:$G,MATCH($B26,'1. Assumptions'!$B:$B,0))</f>
        <v>3</v>
      </c>
      <c r="M26" s="148">
        <f>INDEX('1. Assumptions'!$G:$G,MATCH($B26,'1. Assumptions'!$B:$B,0))</f>
        <v>3</v>
      </c>
      <c r="N26" s="148">
        <f>INDEX('1. Assumptions'!$G:$G,MATCH($B26,'1. Assumptions'!$B:$B,0))</f>
        <v>3</v>
      </c>
      <c r="O26" s="148">
        <f>INDEX('1. Assumptions'!$G:$G,MATCH($B26,'1. Assumptions'!$B:$B,0))</f>
        <v>3</v>
      </c>
      <c r="P26" s="148">
        <f>INDEX('1. Assumptions'!$G:$G,MATCH($B26,'1. Assumptions'!$B:$B,0))</f>
        <v>3</v>
      </c>
      <c r="Q26" s="148">
        <f>INDEX('1. Assumptions'!$G:$G,MATCH($B26,'1. Assumptions'!$B:$B,0))</f>
        <v>3</v>
      </c>
      <c r="R26" s="148">
        <f>INDEX('1. Assumptions'!$G:$G,MATCH($B26,'1. Assumptions'!$B:$B,0))</f>
        <v>3</v>
      </c>
      <c r="S26" s="148">
        <f>INDEX('1. Assumptions'!$G:$G,MATCH($B26,'1. Assumptions'!$B:$B,0))</f>
        <v>3</v>
      </c>
      <c r="T26" s="148">
        <f>INDEX('1. Assumptions'!$G:$G,MATCH($B26,'1. Assumptions'!$B:$B,0))</f>
        <v>3</v>
      </c>
      <c r="U26" s="148">
        <f>INDEX('1. Assumptions'!$G:$G,MATCH($B26,'1. Assumptions'!$B:$B,0))</f>
        <v>3</v>
      </c>
      <c r="V26" s="148">
        <f>INDEX('1. Assumptions'!$G:$G,MATCH($B26,'1. Assumptions'!$B:$B,0))</f>
        <v>3</v>
      </c>
      <c r="W26" s="148">
        <f>INDEX('1. Assumptions'!$G:$G,MATCH($B26,'1. Assumptions'!$B:$B,0))</f>
        <v>3</v>
      </c>
      <c r="X26" s="148">
        <f>INDEX('1. Assumptions'!$G:$G,MATCH($B26,'1. Assumptions'!$B:$B,0))</f>
        <v>3</v>
      </c>
      <c r="Y26" s="148">
        <f>INDEX('1. Assumptions'!$G:$G,MATCH($B26,'1. Assumptions'!$B:$B,0))</f>
        <v>3</v>
      </c>
      <c r="Z26" s="148">
        <f>INDEX('1. Assumptions'!$G:$G,MATCH($B26,'1. Assumptions'!$B:$B,0))</f>
        <v>3</v>
      </c>
      <c r="AA26" s="148">
        <f>INDEX('1. Assumptions'!$G:$G,MATCH($B26,'1. Assumptions'!$B:$B,0))</f>
        <v>3</v>
      </c>
    </row>
    <row r="27" spans="1:29" s="3" customFormat="1" ht="26.4">
      <c r="A27" s="141" t="s">
        <v>876</v>
      </c>
      <c r="B27" s="147" t="s">
        <v>591</v>
      </c>
      <c r="C27" s="147" t="s">
        <v>159</v>
      </c>
      <c r="D27" s="148">
        <f>INDEX('1. Assumptions'!$G:$G,MATCH($B27,'1. Assumptions'!$B:$B,0))</f>
        <v>4</v>
      </c>
      <c r="E27" s="148">
        <f>INDEX('1. Assumptions'!$G:$G,MATCH($B27,'1. Assumptions'!$B:$B,0))</f>
        <v>4</v>
      </c>
      <c r="F27" s="148">
        <f>INDEX('1. Assumptions'!$G:$G,MATCH($B27,'1. Assumptions'!$B:$B,0))</f>
        <v>4</v>
      </c>
      <c r="G27" s="148">
        <f>INDEX('1. Assumptions'!$G:$G,MATCH($B27,'1. Assumptions'!$B:$B,0))</f>
        <v>4</v>
      </c>
      <c r="H27" s="148">
        <f>INDEX('1. Assumptions'!$G:$G,MATCH($B27,'1. Assumptions'!$B:$B,0))</f>
        <v>4</v>
      </c>
      <c r="I27" s="148">
        <f>INDEX('1. Assumptions'!$G:$G,MATCH($B27,'1. Assumptions'!$B:$B,0))</f>
        <v>4</v>
      </c>
      <c r="J27" s="148">
        <f>INDEX('1. Assumptions'!$G:$G,MATCH($B27,'1. Assumptions'!$B:$B,0))</f>
        <v>4</v>
      </c>
      <c r="K27" s="148">
        <f>INDEX('1. Assumptions'!$G:$G,MATCH($B27,'1. Assumptions'!$B:$B,0))</f>
        <v>4</v>
      </c>
      <c r="L27" s="148">
        <f>INDEX('1. Assumptions'!$G:$G,MATCH($B27,'1. Assumptions'!$B:$B,0))</f>
        <v>4</v>
      </c>
      <c r="M27" s="148">
        <f>INDEX('1. Assumptions'!$G:$G,MATCH($B27,'1. Assumptions'!$B:$B,0))</f>
        <v>4</v>
      </c>
      <c r="N27" s="148">
        <f>INDEX('1. Assumptions'!$G:$G,MATCH($B27,'1. Assumptions'!$B:$B,0))</f>
        <v>4</v>
      </c>
      <c r="O27" s="148">
        <f>INDEX('1. Assumptions'!$G:$G,MATCH($B27,'1. Assumptions'!$B:$B,0))</f>
        <v>4</v>
      </c>
      <c r="P27" s="148">
        <f>INDEX('1. Assumptions'!$G:$G,MATCH($B27,'1. Assumptions'!$B:$B,0))</f>
        <v>4</v>
      </c>
      <c r="Q27" s="148">
        <f>INDEX('1. Assumptions'!$G:$G,MATCH($B27,'1. Assumptions'!$B:$B,0))</f>
        <v>4</v>
      </c>
      <c r="R27" s="148">
        <f>INDEX('1. Assumptions'!$G:$G,MATCH($B27,'1. Assumptions'!$B:$B,0))</f>
        <v>4</v>
      </c>
      <c r="S27" s="148">
        <f>INDEX('1. Assumptions'!$G:$G,MATCH($B27,'1. Assumptions'!$B:$B,0))</f>
        <v>4</v>
      </c>
      <c r="T27" s="148">
        <f>INDEX('1. Assumptions'!$G:$G,MATCH($B27,'1. Assumptions'!$B:$B,0))</f>
        <v>4</v>
      </c>
      <c r="U27" s="148">
        <f>INDEX('1. Assumptions'!$G:$G,MATCH($B27,'1. Assumptions'!$B:$B,0))</f>
        <v>4</v>
      </c>
      <c r="V27" s="148">
        <f>INDEX('1. Assumptions'!$G:$G,MATCH($B27,'1. Assumptions'!$B:$B,0))</f>
        <v>4</v>
      </c>
      <c r="W27" s="148">
        <f>INDEX('1. Assumptions'!$G:$G,MATCH($B27,'1. Assumptions'!$B:$B,0))</f>
        <v>4</v>
      </c>
      <c r="X27" s="148">
        <f>INDEX('1. Assumptions'!$G:$G,MATCH($B27,'1. Assumptions'!$B:$B,0))</f>
        <v>4</v>
      </c>
      <c r="Y27" s="148">
        <f>INDEX('1. Assumptions'!$G:$G,MATCH($B27,'1. Assumptions'!$B:$B,0))</f>
        <v>4</v>
      </c>
      <c r="Z27" s="148">
        <f>INDEX('1. Assumptions'!$G:$G,MATCH($B27,'1. Assumptions'!$B:$B,0))</f>
        <v>4</v>
      </c>
      <c r="AA27" s="148">
        <f>INDEX('1. Assumptions'!$G:$G,MATCH($B27,'1. Assumptions'!$B:$B,0))</f>
        <v>4</v>
      </c>
    </row>
    <row r="28" spans="1:29" s="3" customFormat="1" ht="13.2">
      <c r="A28" s="141" t="s">
        <v>876</v>
      </c>
      <c r="B28" s="147" t="s">
        <v>593</v>
      </c>
      <c r="C28" s="147" t="s">
        <v>159</v>
      </c>
      <c r="D28" s="148">
        <f>INDEX('1. Assumptions'!$G:$G,MATCH($B28,'1. Assumptions'!$B:$B,0))</f>
        <v>5</v>
      </c>
      <c r="E28" s="148">
        <f>INDEX('1. Assumptions'!$G:$G,MATCH($B28,'1. Assumptions'!$B:$B,0))</f>
        <v>5</v>
      </c>
      <c r="F28" s="148">
        <f>INDEX('1. Assumptions'!$G:$G,MATCH($B28,'1. Assumptions'!$B:$B,0))</f>
        <v>5</v>
      </c>
      <c r="G28" s="148">
        <f>INDEX('1. Assumptions'!$G:$G,MATCH($B28,'1. Assumptions'!$B:$B,0))</f>
        <v>5</v>
      </c>
      <c r="H28" s="148">
        <f>INDEX('1. Assumptions'!$G:$G,MATCH($B28,'1. Assumptions'!$B:$B,0))</f>
        <v>5</v>
      </c>
      <c r="I28" s="148">
        <f>INDEX('1. Assumptions'!$G:$G,MATCH($B28,'1. Assumptions'!$B:$B,0))</f>
        <v>5</v>
      </c>
      <c r="J28" s="148">
        <f>INDEX('1. Assumptions'!$G:$G,MATCH($B28,'1. Assumptions'!$B:$B,0))</f>
        <v>5</v>
      </c>
      <c r="K28" s="148">
        <f>INDEX('1. Assumptions'!$G:$G,MATCH($B28,'1. Assumptions'!$B:$B,0))</f>
        <v>5</v>
      </c>
      <c r="L28" s="148">
        <f>INDEX('1. Assumptions'!$G:$G,MATCH($B28,'1. Assumptions'!$B:$B,0))</f>
        <v>5</v>
      </c>
      <c r="M28" s="148">
        <f>INDEX('1. Assumptions'!$G:$G,MATCH($B28,'1. Assumptions'!$B:$B,0))</f>
        <v>5</v>
      </c>
      <c r="N28" s="148">
        <f>INDEX('1. Assumptions'!$G:$G,MATCH($B28,'1. Assumptions'!$B:$B,0))</f>
        <v>5</v>
      </c>
      <c r="O28" s="148">
        <f>INDEX('1. Assumptions'!$G:$G,MATCH($B28,'1. Assumptions'!$B:$B,0))</f>
        <v>5</v>
      </c>
      <c r="P28" s="148">
        <f>INDEX('1. Assumptions'!$G:$G,MATCH($B28,'1. Assumptions'!$B:$B,0))</f>
        <v>5</v>
      </c>
      <c r="Q28" s="148">
        <f>INDEX('1. Assumptions'!$G:$G,MATCH($B28,'1. Assumptions'!$B:$B,0))</f>
        <v>5</v>
      </c>
      <c r="R28" s="148">
        <f>INDEX('1. Assumptions'!$G:$G,MATCH($B28,'1. Assumptions'!$B:$B,0))</f>
        <v>5</v>
      </c>
      <c r="S28" s="148">
        <f>INDEX('1. Assumptions'!$G:$G,MATCH($B28,'1. Assumptions'!$B:$B,0))</f>
        <v>5</v>
      </c>
      <c r="T28" s="148">
        <f>INDEX('1. Assumptions'!$G:$G,MATCH($B28,'1. Assumptions'!$B:$B,0))</f>
        <v>5</v>
      </c>
      <c r="U28" s="148">
        <f>INDEX('1. Assumptions'!$G:$G,MATCH($B28,'1. Assumptions'!$B:$B,0))</f>
        <v>5</v>
      </c>
      <c r="V28" s="148">
        <f>INDEX('1. Assumptions'!$G:$G,MATCH($B28,'1. Assumptions'!$B:$B,0))</f>
        <v>5</v>
      </c>
      <c r="W28" s="148">
        <f>INDEX('1. Assumptions'!$G:$G,MATCH($B28,'1. Assumptions'!$B:$B,0))</f>
        <v>5</v>
      </c>
      <c r="X28" s="148">
        <f>INDEX('1. Assumptions'!$G:$G,MATCH($B28,'1. Assumptions'!$B:$B,0))</f>
        <v>5</v>
      </c>
      <c r="Y28" s="148">
        <f>INDEX('1. Assumptions'!$G:$G,MATCH($B28,'1. Assumptions'!$B:$B,0))</f>
        <v>5</v>
      </c>
      <c r="Z28" s="148">
        <f>INDEX('1. Assumptions'!$G:$G,MATCH($B28,'1. Assumptions'!$B:$B,0))</f>
        <v>5</v>
      </c>
      <c r="AA28" s="148">
        <f>INDEX('1. Assumptions'!$G:$G,MATCH($B28,'1. Assumptions'!$B:$B,0))</f>
        <v>5</v>
      </c>
    </row>
    <row r="29" spans="1:29" s="3" customFormat="1" ht="26.4">
      <c r="A29" s="141" t="s">
        <v>876</v>
      </c>
      <c r="B29" s="147" t="s">
        <v>595</v>
      </c>
      <c r="C29" s="147" t="s">
        <v>159</v>
      </c>
      <c r="D29" s="148">
        <f>INDEX('1. Assumptions'!$G:$G,MATCH($B29,'1. Assumptions'!$B:$B,0))</f>
        <v>6</v>
      </c>
      <c r="E29" s="148">
        <f>INDEX('1. Assumptions'!$G:$G,MATCH($B29,'1. Assumptions'!$B:$B,0))</f>
        <v>6</v>
      </c>
      <c r="F29" s="148">
        <f>INDEX('1. Assumptions'!$G:$G,MATCH($B29,'1. Assumptions'!$B:$B,0))</f>
        <v>6</v>
      </c>
      <c r="G29" s="148">
        <f>INDEX('1. Assumptions'!$G:$G,MATCH($B29,'1. Assumptions'!$B:$B,0))</f>
        <v>6</v>
      </c>
      <c r="H29" s="148">
        <f>INDEX('1. Assumptions'!$G:$G,MATCH($B29,'1. Assumptions'!$B:$B,0))</f>
        <v>6</v>
      </c>
      <c r="I29" s="148">
        <f>INDEX('1. Assumptions'!$G:$G,MATCH($B29,'1. Assumptions'!$B:$B,0))</f>
        <v>6</v>
      </c>
      <c r="J29" s="148">
        <f>INDEX('1. Assumptions'!$G:$G,MATCH($B29,'1. Assumptions'!$B:$B,0))</f>
        <v>6</v>
      </c>
      <c r="K29" s="148">
        <f>INDEX('1. Assumptions'!$G:$G,MATCH($B29,'1. Assumptions'!$B:$B,0))</f>
        <v>6</v>
      </c>
      <c r="L29" s="148">
        <f>INDEX('1. Assumptions'!$G:$G,MATCH($B29,'1. Assumptions'!$B:$B,0))</f>
        <v>6</v>
      </c>
      <c r="M29" s="148">
        <f>INDEX('1. Assumptions'!$G:$G,MATCH($B29,'1. Assumptions'!$B:$B,0))</f>
        <v>6</v>
      </c>
      <c r="N29" s="148">
        <f>INDEX('1. Assumptions'!$G:$G,MATCH($B29,'1. Assumptions'!$B:$B,0))</f>
        <v>6</v>
      </c>
      <c r="O29" s="148">
        <f>INDEX('1. Assumptions'!$G:$G,MATCH($B29,'1. Assumptions'!$B:$B,0))</f>
        <v>6</v>
      </c>
      <c r="P29" s="148">
        <f>INDEX('1. Assumptions'!$G:$G,MATCH($B29,'1. Assumptions'!$B:$B,0))</f>
        <v>6</v>
      </c>
      <c r="Q29" s="148">
        <f>INDEX('1. Assumptions'!$G:$G,MATCH($B29,'1. Assumptions'!$B:$B,0))</f>
        <v>6</v>
      </c>
      <c r="R29" s="148">
        <f>INDEX('1. Assumptions'!$G:$G,MATCH($B29,'1. Assumptions'!$B:$B,0))</f>
        <v>6</v>
      </c>
      <c r="S29" s="148">
        <f>INDEX('1. Assumptions'!$G:$G,MATCH($B29,'1. Assumptions'!$B:$B,0))</f>
        <v>6</v>
      </c>
      <c r="T29" s="148">
        <f>INDEX('1. Assumptions'!$G:$G,MATCH($B29,'1. Assumptions'!$B:$B,0))</f>
        <v>6</v>
      </c>
      <c r="U29" s="148">
        <f>INDEX('1. Assumptions'!$G:$G,MATCH($B29,'1. Assumptions'!$B:$B,0))</f>
        <v>6</v>
      </c>
      <c r="V29" s="148">
        <f>INDEX('1. Assumptions'!$G:$G,MATCH($B29,'1. Assumptions'!$B:$B,0))</f>
        <v>6</v>
      </c>
      <c r="W29" s="148">
        <f>INDEX('1. Assumptions'!$G:$G,MATCH($B29,'1. Assumptions'!$B:$B,0))</f>
        <v>6</v>
      </c>
      <c r="X29" s="148">
        <f>INDEX('1. Assumptions'!$G:$G,MATCH($B29,'1. Assumptions'!$B:$B,0))</f>
        <v>6</v>
      </c>
      <c r="Y29" s="148">
        <f>INDEX('1. Assumptions'!$G:$G,MATCH($B29,'1. Assumptions'!$B:$B,0))</f>
        <v>6</v>
      </c>
      <c r="Z29" s="148">
        <f>INDEX('1. Assumptions'!$G:$G,MATCH($B29,'1. Assumptions'!$B:$B,0))</f>
        <v>6</v>
      </c>
      <c r="AA29" s="148">
        <f>INDEX('1. Assumptions'!$G:$G,MATCH($B29,'1. Assumptions'!$B:$B,0))</f>
        <v>6</v>
      </c>
    </row>
    <row r="30" spans="1:29" s="3" customFormat="1" ht="26.4">
      <c r="A30" s="141" t="s">
        <v>876</v>
      </c>
      <c r="B30" s="147" t="s">
        <v>954</v>
      </c>
      <c r="C30" s="147" t="s">
        <v>159</v>
      </c>
      <c r="D30" s="148">
        <f>IFERROR(INDEX('1. Assumptions'!$G:$G,MATCH($B30,'1. Assumptions'!$B:$B,0)),"CHECK")</f>
        <v>8</v>
      </c>
      <c r="E30" s="148">
        <f>IFERROR(INDEX('1. Assumptions'!$G:$G,MATCH($B30,'1. Assumptions'!$B:$B,0)),"CHECK")</f>
        <v>8</v>
      </c>
      <c r="F30" s="148">
        <f>IFERROR(INDEX('1. Assumptions'!$G:$G,MATCH($B30,'1. Assumptions'!$B:$B,0)),"CHECK")</f>
        <v>8</v>
      </c>
      <c r="G30" s="148">
        <f>IFERROR(INDEX('1. Assumptions'!$G:$G,MATCH($B30,'1. Assumptions'!$B:$B,0)),"CHECK")</f>
        <v>8</v>
      </c>
      <c r="H30" s="148">
        <f>IFERROR(INDEX('1. Assumptions'!$G:$G,MATCH($B30,'1. Assumptions'!$B:$B,0)),"CHECK")</f>
        <v>8</v>
      </c>
      <c r="I30" s="148">
        <f>IFERROR(INDEX('1. Assumptions'!$G:$G,MATCH($B30,'1. Assumptions'!$B:$B,0)),"CHECK")</f>
        <v>8</v>
      </c>
      <c r="J30" s="148">
        <f>IFERROR(INDEX('1. Assumptions'!$G:$G,MATCH($B30,'1. Assumptions'!$B:$B,0)),"CHECK")</f>
        <v>8</v>
      </c>
      <c r="K30" s="148">
        <f>IFERROR(INDEX('1. Assumptions'!$G:$G,MATCH($B30,'1. Assumptions'!$B:$B,0)),"CHECK")</f>
        <v>8</v>
      </c>
      <c r="L30" s="148">
        <f>IFERROR(INDEX('1. Assumptions'!$G:$G,MATCH($B30,'1. Assumptions'!$B:$B,0)),"CHECK")</f>
        <v>8</v>
      </c>
      <c r="M30" s="148">
        <f>IFERROR(INDEX('1. Assumptions'!$G:$G,MATCH($B30,'1. Assumptions'!$B:$B,0)),"CHECK")</f>
        <v>8</v>
      </c>
      <c r="N30" s="148">
        <f>IFERROR(INDEX('1. Assumptions'!$G:$G,MATCH($B30,'1. Assumptions'!$B:$B,0)),"CHECK")</f>
        <v>8</v>
      </c>
      <c r="O30" s="148">
        <f>IFERROR(INDEX('1. Assumptions'!$G:$G,MATCH($B30,'1. Assumptions'!$B:$B,0)),"CHECK")</f>
        <v>8</v>
      </c>
      <c r="P30" s="148">
        <f>IFERROR(INDEX('1. Assumptions'!$G:$G,MATCH($B30,'1. Assumptions'!$B:$B,0)),"CHECK")</f>
        <v>8</v>
      </c>
      <c r="Q30" s="148">
        <f>IFERROR(INDEX('1. Assumptions'!$G:$G,MATCH($B30,'1. Assumptions'!$B:$B,0)),"CHECK")</f>
        <v>8</v>
      </c>
      <c r="R30" s="148">
        <f>IFERROR(INDEX('1. Assumptions'!$G:$G,MATCH($B30,'1. Assumptions'!$B:$B,0)),"CHECK")</f>
        <v>8</v>
      </c>
      <c r="S30" s="148">
        <f>IFERROR(INDEX('1. Assumptions'!$G:$G,MATCH($B30,'1. Assumptions'!$B:$B,0)),"CHECK")</f>
        <v>8</v>
      </c>
      <c r="T30" s="148">
        <f>IFERROR(INDEX('1. Assumptions'!$G:$G,MATCH($B30,'1. Assumptions'!$B:$B,0)),"CHECK")</f>
        <v>8</v>
      </c>
      <c r="U30" s="148">
        <f>IFERROR(INDEX('1. Assumptions'!$G:$G,MATCH($B30,'1. Assumptions'!$B:$B,0)),"CHECK")</f>
        <v>8</v>
      </c>
      <c r="V30" s="148">
        <f>IFERROR(INDEX('1. Assumptions'!$G:$G,MATCH($B30,'1. Assumptions'!$B:$B,0)),"CHECK")</f>
        <v>8</v>
      </c>
      <c r="W30" s="148">
        <f>IFERROR(INDEX('1. Assumptions'!$G:$G,MATCH($B30,'1. Assumptions'!$B:$B,0)),"CHECK")</f>
        <v>8</v>
      </c>
      <c r="X30" s="148">
        <f>IFERROR(INDEX('1. Assumptions'!$G:$G,MATCH($B30,'1. Assumptions'!$B:$B,0)),"CHECK")</f>
        <v>8</v>
      </c>
      <c r="Y30" s="148">
        <f>IFERROR(INDEX('1. Assumptions'!$G:$G,MATCH($B30,'1. Assumptions'!$B:$B,0)),"CHECK")</f>
        <v>8</v>
      </c>
      <c r="Z30" s="148">
        <f>IFERROR(INDEX('1. Assumptions'!$G:$G,MATCH($B30,'1. Assumptions'!$B:$B,0)),"CHECK")</f>
        <v>8</v>
      </c>
      <c r="AA30" s="148">
        <f>IFERROR(INDEX('1. Assumptions'!$G:$G,MATCH($B30,'1. Assumptions'!$B:$B,0)),"CHECK")</f>
        <v>8</v>
      </c>
    </row>
    <row r="31" spans="1:29" s="3" customFormat="1" ht="26.4">
      <c r="A31" s="141" t="s">
        <v>876</v>
      </c>
      <c r="B31" s="147" t="s">
        <v>955</v>
      </c>
      <c r="C31" s="147" t="s">
        <v>159</v>
      </c>
      <c r="D31" s="148" cm="1">
        <f t="array" ref="D31">IFERROR(INDEX($D$6:$AA$6,1,MATCH(TRUE,($D$10:$AA$10-$D$10)&gt;=INDEX('1. Assumptions'!$G:$G,MATCH("*CS Hire Trigger*",'1. Assumptions'!$B:$B,0)),0)),"Not Triggered")</f>
        <v>5</v>
      </c>
      <c r="E31" s="148" cm="1">
        <f t="array" ref="E31">IFERROR(INDEX($D$6:$AA$6,1,MATCH(TRUE,($D$10:$AA$10-$D$10)&gt;=INDEX('1. Assumptions'!$G:$G,MATCH("*CS Hire Trigger*",'1. Assumptions'!$B:$B,0)),0)),"Not Triggered")</f>
        <v>5</v>
      </c>
      <c r="F31" s="148" cm="1">
        <f t="array" ref="F31">IFERROR(INDEX($D$6:$AA$6,1,MATCH(TRUE,($D$10:$AA$10-$D$10)&gt;=INDEX('1. Assumptions'!$G:$G,MATCH("*CS Hire Trigger*",'1. Assumptions'!$B:$B,0)),0)),"Not Triggered")</f>
        <v>5</v>
      </c>
      <c r="G31" s="148" cm="1">
        <f t="array" ref="G31">IFERROR(INDEX($D$6:$AA$6,1,MATCH(TRUE,($D$10:$AA$10-$D$10)&gt;=INDEX('1. Assumptions'!$G:$G,MATCH("*CS Hire Trigger*",'1. Assumptions'!$B:$B,0)),0)),"Not Triggered")</f>
        <v>5</v>
      </c>
      <c r="H31" s="148" cm="1">
        <f t="array" ref="H31">IFERROR(INDEX($D$6:$AA$6,1,MATCH(TRUE,($D$10:$AA$10-$D$10)&gt;=INDEX('1. Assumptions'!$G:$G,MATCH("*CS Hire Trigger*",'1. Assumptions'!$B:$B,0)),0)),"Not Triggered")</f>
        <v>5</v>
      </c>
      <c r="I31" s="148" cm="1">
        <f t="array" ref="I31">IFERROR(INDEX($D$6:$AA$6,1,MATCH(TRUE,($D$10:$AA$10-$D$10)&gt;=INDEX('1. Assumptions'!$G:$G,MATCH("*CS Hire Trigger*",'1. Assumptions'!$B:$B,0)),0)),"Not Triggered")</f>
        <v>5</v>
      </c>
      <c r="J31" s="148" cm="1">
        <f t="array" ref="J31">IFERROR(INDEX($D$6:$AA$6,1,MATCH(TRUE,($D$10:$AA$10-$D$10)&gt;=INDEX('1. Assumptions'!$G:$G,MATCH("*CS Hire Trigger*",'1. Assumptions'!$B:$B,0)),0)),"Not Triggered")</f>
        <v>5</v>
      </c>
      <c r="K31" s="148" cm="1">
        <f t="array" ref="K31">IFERROR(INDEX($D$6:$AA$6,1,MATCH(TRUE,($D$10:$AA$10-$D$10)&gt;=INDEX('1. Assumptions'!$G:$G,MATCH("*CS Hire Trigger*",'1. Assumptions'!$B:$B,0)),0)),"Not Triggered")</f>
        <v>5</v>
      </c>
      <c r="L31" s="148" cm="1">
        <f t="array" ref="L31">IFERROR(INDEX($D$6:$AA$6,1,MATCH(TRUE,($D$10:$AA$10-$D$10)&gt;=INDEX('1. Assumptions'!$G:$G,MATCH("*CS Hire Trigger*",'1. Assumptions'!$B:$B,0)),0)),"Not Triggered")</f>
        <v>5</v>
      </c>
      <c r="M31" s="148" cm="1">
        <f t="array" ref="M31">IFERROR(INDEX($D$6:$AA$6,1,MATCH(TRUE,($D$10:$AA$10-$D$10)&gt;=INDEX('1. Assumptions'!$G:$G,MATCH("*CS Hire Trigger*",'1. Assumptions'!$B:$B,0)),0)),"Not Triggered")</f>
        <v>5</v>
      </c>
      <c r="N31" s="148" cm="1">
        <f t="array" ref="N31">IFERROR(INDEX($D$6:$AA$6,1,MATCH(TRUE,($D$10:$AA$10-$D$10)&gt;=INDEX('1. Assumptions'!$G:$G,MATCH("*CS Hire Trigger*",'1. Assumptions'!$B:$B,0)),0)),"Not Triggered")</f>
        <v>5</v>
      </c>
      <c r="O31" s="148" cm="1">
        <f t="array" ref="O31">IFERROR(INDEX($D$6:$AA$6,1,MATCH(TRUE,($D$10:$AA$10-$D$10)&gt;=INDEX('1. Assumptions'!$G:$G,MATCH("*CS Hire Trigger*",'1. Assumptions'!$B:$B,0)),0)),"Not Triggered")</f>
        <v>5</v>
      </c>
      <c r="P31" s="148" cm="1">
        <f t="array" ref="P31">IFERROR(INDEX($D$6:$AA$6,1,MATCH(TRUE,($D$10:$AA$10-$D$10)&gt;=INDEX('1. Assumptions'!$G:$G,MATCH("*CS Hire Trigger*",'1. Assumptions'!$B:$B,0)),0)),"Not Triggered")</f>
        <v>5</v>
      </c>
      <c r="Q31" s="148" cm="1">
        <f t="array" ref="Q31">IFERROR(INDEX($D$6:$AA$6,1,MATCH(TRUE,($D$10:$AA$10-$D$10)&gt;=INDEX('1. Assumptions'!$G:$G,MATCH("*CS Hire Trigger*",'1. Assumptions'!$B:$B,0)),0)),"Not Triggered")</f>
        <v>5</v>
      </c>
      <c r="R31" s="148" cm="1">
        <f t="array" ref="R31">IFERROR(INDEX($D$6:$AA$6,1,MATCH(TRUE,($D$10:$AA$10-$D$10)&gt;=INDEX('1. Assumptions'!$G:$G,MATCH("*CS Hire Trigger*",'1. Assumptions'!$B:$B,0)),0)),"Not Triggered")</f>
        <v>5</v>
      </c>
      <c r="S31" s="148" cm="1">
        <f t="array" ref="S31">IFERROR(INDEX($D$6:$AA$6,1,MATCH(TRUE,($D$10:$AA$10-$D$10)&gt;=INDEX('1. Assumptions'!$G:$G,MATCH("*CS Hire Trigger*",'1. Assumptions'!$B:$B,0)),0)),"Not Triggered")</f>
        <v>5</v>
      </c>
      <c r="T31" s="148" cm="1">
        <f t="array" ref="T31">IFERROR(INDEX($D$6:$AA$6,1,MATCH(TRUE,($D$10:$AA$10-$D$10)&gt;=INDEX('1. Assumptions'!$G:$G,MATCH("*CS Hire Trigger*",'1. Assumptions'!$B:$B,0)),0)),"Not Triggered")</f>
        <v>5</v>
      </c>
      <c r="U31" s="148" cm="1">
        <f t="array" ref="U31">IFERROR(INDEX($D$6:$AA$6,1,MATCH(TRUE,($D$10:$AA$10-$D$10)&gt;=INDEX('1. Assumptions'!$G:$G,MATCH("*CS Hire Trigger*",'1. Assumptions'!$B:$B,0)),0)),"Not Triggered")</f>
        <v>5</v>
      </c>
      <c r="V31" s="148" cm="1">
        <f t="array" ref="V31">IFERROR(INDEX($D$6:$AA$6,1,MATCH(TRUE,($D$10:$AA$10-$D$10)&gt;=INDEX('1. Assumptions'!$G:$G,MATCH("*CS Hire Trigger*",'1. Assumptions'!$B:$B,0)),0)),"Not Triggered")</f>
        <v>5</v>
      </c>
      <c r="W31" s="148" cm="1">
        <f t="array" ref="W31">IFERROR(INDEX($D$6:$AA$6,1,MATCH(TRUE,($D$10:$AA$10-$D$10)&gt;=INDEX('1. Assumptions'!$G:$G,MATCH("*CS Hire Trigger*",'1. Assumptions'!$B:$B,0)),0)),"Not Triggered")</f>
        <v>5</v>
      </c>
      <c r="X31" s="148" cm="1">
        <f t="array" ref="X31">IFERROR(INDEX($D$6:$AA$6,1,MATCH(TRUE,($D$10:$AA$10-$D$10)&gt;=INDEX('1. Assumptions'!$G:$G,MATCH("*CS Hire Trigger*",'1. Assumptions'!$B:$B,0)),0)),"Not Triggered")</f>
        <v>5</v>
      </c>
      <c r="Y31" s="148" cm="1">
        <f t="array" ref="Y31">IFERROR(INDEX($D$6:$AA$6,1,MATCH(TRUE,($D$10:$AA$10-$D$10)&gt;=INDEX('1. Assumptions'!$G:$G,MATCH("*CS Hire Trigger*",'1. Assumptions'!$B:$B,0)),0)),"Not Triggered")</f>
        <v>5</v>
      </c>
      <c r="Z31" s="148" cm="1">
        <f t="array" ref="Z31">IFERROR(INDEX($D$6:$AA$6,1,MATCH(TRUE,($D$10:$AA$10-$D$10)&gt;=INDEX('1. Assumptions'!$G:$G,MATCH("*CS Hire Trigger*",'1. Assumptions'!$B:$B,0)),0)),"Not Triggered")</f>
        <v>5</v>
      </c>
      <c r="AA31" s="148" cm="1">
        <f t="array" ref="AA31">IFERROR(INDEX($D$6:$AA$6,1,MATCH(TRUE,($D$10:$AA$10-$D$10)&gt;=INDEX('1. Assumptions'!$G:$G,MATCH("*CS Hire Trigger*",'1. Assumptions'!$B:$B,0)),0)),"Not Triggered")</f>
        <v>5</v>
      </c>
    </row>
    <row r="32" spans="1:29" s="3" customFormat="1" ht="26.4">
      <c r="A32" s="141" t="s">
        <v>876</v>
      </c>
      <c r="B32" s="147" t="s">
        <v>956</v>
      </c>
      <c r="C32" s="147" t="s">
        <v>159</v>
      </c>
      <c r="D32" s="148">
        <f>IF(D31="Not Triggered","Deferred",MAX(D30,D31))</f>
        <v>8</v>
      </c>
      <c r="E32" s="148">
        <f t="shared" ref="E32:AA32" si="0">IF(E31="Not Triggered","Deferred",MAX(E30,E31))</f>
        <v>8</v>
      </c>
      <c r="F32" s="148">
        <f t="shared" si="0"/>
        <v>8</v>
      </c>
      <c r="G32" s="148">
        <f t="shared" si="0"/>
        <v>8</v>
      </c>
      <c r="H32" s="148">
        <f t="shared" si="0"/>
        <v>8</v>
      </c>
      <c r="I32" s="148">
        <f t="shared" si="0"/>
        <v>8</v>
      </c>
      <c r="J32" s="148">
        <f t="shared" si="0"/>
        <v>8</v>
      </c>
      <c r="K32" s="148">
        <f t="shared" si="0"/>
        <v>8</v>
      </c>
      <c r="L32" s="148">
        <f t="shared" si="0"/>
        <v>8</v>
      </c>
      <c r="M32" s="148">
        <f t="shared" si="0"/>
        <v>8</v>
      </c>
      <c r="N32" s="148">
        <f t="shared" si="0"/>
        <v>8</v>
      </c>
      <c r="O32" s="148">
        <f t="shared" si="0"/>
        <v>8</v>
      </c>
      <c r="P32" s="148">
        <f t="shared" si="0"/>
        <v>8</v>
      </c>
      <c r="Q32" s="148">
        <f t="shared" si="0"/>
        <v>8</v>
      </c>
      <c r="R32" s="148">
        <f t="shared" si="0"/>
        <v>8</v>
      </c>
      <c r="S32" s="148">
        <f t="shared" si="0"/>
        <v>8</v>
      </c>
      <c r="T32" s="148">
        <f t="shared" si="0"/>
        <v>8</v>
      </c>
      <c r="U32" s="148">
        <f t="shared" si="0"/>
        <v>8</v>
      </c>
      <c r="V32" s="148">
        <f t="shared" si="0"/>
        <v>8</v>
      </c>
      <c r="W32" s="148">
        <f t="shared" si="0"/>
        <v>8</v>
      </c>
      <c r="X32" s="148">
        <f t="shared" si="0"/>
        <v>8</v>
      </c>
      <c r="Y32" s="148">
        <f t="shared" si="0"/>
        <v>8</v>
      </c>
      <c r="Z32" s="148">
        <f t="shared" si="0"/>
        <v>8</v>
      </c>
      <c r="AA32" s="148">
        <f t="shared" si="0"/>
        <v>8</v>
      </c>
    </row>
    <row r="33" spans="1:29" s="3" customFormat="1" ht="13.2">
      <c r="A33" s="141" t="s">
        <v>876</v>
      </c>
      <c r="B33" s="147" t="s">
        <v>598</v>
      </c>
      <c r="C33" s="147" t="s">
        <v>159</v>
      </c>
      <c r="D33" s="148">
        <f>INDEX('1. Assumptions'!$G:$G,MATCH($B33,'1. Assumptions'!$B:$B,0))</f>
        <v>10</v>
      </c>
      <c r="E33" s="148">
        <f>INDEX('1. Assumptions'!$G:$G,MATCH($B33,'1. Assumptions'!$B:$B,0))</f>
        <v>10</v>
      </c>
      <c r="F33" s="148">
        <f>INDEX('1. Assumptions'!$G:$G,MATCH($B33,'1. Assumptions'!$B:$B,0))</f>
        <v>10</v>
      </c>
      <c r="G33" s="148">
        <f>INDEX('1. Assumptions'!$G:$G,MATCH($B33,'1. Assumptions'!$B:$B,0))</f>
        <v>10</v>
      </c>
      <c r="H33" s="148">
        <f>INDEX('1. Assumptions'!$G:$G,MATCH($B33,'1. Assumptions'!$B:$B,0))</f>
        <v>10</v>
      </c>
      <c r="I33" s="148">
        <f>INDEX('1. Assumptions'!$G:$G,MATCH($B33,'1. Assumptions'!$B:$B,0))</f>
        <v>10</v>
      </c>
      <c r="J33" s="148">
        <f>INDEX('1. Assumptions'!$G:$G,MATCH($B33,'1. Assumptions'!$B:$B,0))</f>
        <v>10</v>
      </c>
      <c r="K33" s="148">
        <f>INDEX('1. Assumptions'!$G:$G,MATCH($B33,'1. Assumptions'!$B:$B,0))</f>
        <v>10</v>
      </c>
      <c r="L33" s="148">
        <f>INDEX('1. Assumptions'!$G:$G,MATCH($B33,'1. Assumptions'!$B:$B,0))</f>
        <v>10</v>
      </c>
      <c r="M33" s="148">
        <f>INDEX('1. Assumptions'!$G:$G,MATCH($B33,'1. Assumptions'!$B:$B,0))</f>
        <v>10</v>
      </c>
      <c r="N33" s="148">
        <f>INDEX('1. Assumptions'!$G:$G,MATCH($B33,'1. Assumptions'!$B:$B,0))</f>
        <v>10</v>
      </c>
      <c r="O33" s="148">
        <f>INDEX('1. Assumptions'!$G:$G,MATCH($B33,'1. Assumptions'!$B:$B,0))</f>
        <v>10</v>
      </c>
      <c r="P33" s="148">
        <f>INDEX('1. Assumptions'!$G:$G,MATCH($B33,'1. Assumptions'!$B:$B,0))</f>
        <v>10</v>
      </c>
      <c r="Q33" s="148">
        <f>INDEX('1. Assumptions'!$G:$G,MATCH($B33,'1. Assumptions'!$B:$B,0))</f>
        <v>10</v>
      </c>
      <c r="R33" s="148">
        <f>INDEX('1. Assumptions'!$G:$G,MATCH($B33,'1. Assumptions'!$B:$B,0))</f>
        <v>10</v>
      </c>
      <c r="S33" s="148">
        <f>INDEX('1. Assumptions'!$G:$G,MATCH($B33,'1. Assumptions'!$B:$B,0))</f>
        <v>10</v>
      </c>
      <c r="T33" s="148">
        <f>INDEX('1. Assumptions'!$G:$G,MATCH($B33,'1. Assumptions'!$B:$B,0))</f>
        <v>10</v>
      </c>
      <c r="U33" s="148">
        <f>INDEX('1. Assumptions'!$G:$G,MATCH($B33,'1. Assumptions'!$B:$B,0))</f>
        <v>10</v>
      </c>
      <c r="V33" s="148">
        <f>INDEX('1. Assumptions'!$G:$G,MATCH($B33,'1. Assumptions'!$B:$B,0))</f>
        <v>10</v>
      </c>
      <c r="W33" s="148">
        <f>INDEX('1. Assumptions'!$G:$G,MATCH($B33,'1. Assumptions'!$B:$B,0))</f>
        <v>10</v>
      </c>
      <c r="X33" s="148">
        <f>INDEX('1. Assumptions'!$G:$G,MATCH($B33,'1. Assumptions'!$B:$B,0))</f>
        <v>10</v>
      </c>
      <c r="Y33" s="148">
        <f>INDEX('1. Assumptions'!$G:$G,MATCH($B33,'1. Assumptions'!$B:$B,0))</f>
        <v>10</v>
      </c>
      <c r="Z33" s="148">
        <f>INDEX('1. Assumptions'!$G:$G,MATCH($B33,'1. Assumptions'!$B:$B,0))</f>
        <v>10</v>
      </c>
      <c r="AA33" s="148">
        <f>INDEX('1. Assumptions'!$G:$G,MATCH($B33,'1. Assumptions'!$B:$B,0))</f>
        <v>10</v>
      </c>
    </row>
    <row r="34" spans="1:29" s="3" customFormat="1" ht="13.2">
      <c r="A34" s="141" t="s">
        <v>876</v>
      </c>
      <c r="B34" s="147" t="s">
        <v>600</v>
      </c>
      <c r="C34" s="147" t="s">
        <v>159</v>
      </c>
      <c r="D34" s="148">
        <f>INDEX('1. Assumptions'!$G:$G,MATCH($B34,'1. Assumptions'!$B:$B,0))</f>
        <v>12</v>
      </c>
      <c r="E34" s="148">
        <f>INDEX('1. Assumptions'!$G:$G,MATCH($B34,'1. Assumptions'!$B:$B,0))</f>
        <v>12</v>
      </c>
      <c r="F34" s="148">
        <f>INDEX('1. Assumptions'!$G:$G,MATCH($B34,'1. Assumptions'!$B:$B,0))</f>
        <v>12</v>
      </c>
      <c r="G34" s="148">
        <f>INDEX('1. Assumptions'!$G:$G,MATCH($B34,'1. Assumptions'!$B:$B,0))</f>
        <v>12</v>
      </c>
      <c r="H34" s="148">
        <f>INDEX('1. Assumptions'!$G:$G,MATCH($B34,'1. Assumptions'!$B:$B,0))</f>
        <v>12</v>
      </c>
      <c r="I34" s="148">
        <f>INDEX('1. Assumptions'!$G:$G,MATCH($B34,'1. Assumptions'!$B:$B,0))</f>
        <v>12</v>
      </c>
      <c r="J34" s="148">
        <f>INDEX('1. Assumptions'!$G:$G,MATCH($B34,'1. Assumptions'!$B:$B,0))</f>
        <v>12</v>
      </c>
      <c r="K34" s="148">
        <f>INDEX('1. Assumptions'!$G:$G,MATCH($B34,'1. Assumptions'!$B:$B,0))</f>
        <v>12</v>
      </c>
      <c r="L34" s="148">
        <f>INDEX('1. Assumptions'!$G:$G,MATCH($B34,'1. Assumptions'!$B:$B,0))</f>
        <v>12</v>
      </c>
      <c r="M34" s="148">
        <f>INDEX('1. Assumptions'!$G:$G,MATCH($B34,'1. Assumptions'!$B:$B,0))</f>
        <v>12</v>
      </c>
      <c r="N34" s="148">
        <f>INDEX('1. Assumptions'!$G:$G,MATCH($B34,'1. Assumptions'!$B:$B,0))</f>
        <v>12</v>
      </c>
      <c r="O34" s="148">
        <f>INDEX('1. Assumptions'!$G:$G,MATCH($B34,'1. Assumptions'!$B:$B,0))</f>
        <v>12</v>
      </c>
      <c r="P34" s="148">
        <f>INDEX('1. Assumptions'!$G:$G,MATCH($B34,'1. Assumptions'!$B:$B,0))</f>
        <v>12</v>
      </c>
      <c r="Q34" s="148">
        <f>INDEX('1. Assumptions'!$G:$G,MATCH($B34,'1. Assumptions'!$B:$B,0))</f>
        <v>12</v>
      </c>
      <c r="R34" s="148">
        <f>INDEX('1. Assumptions'!$G:$G,MATCH($B34,'1. Assumptions'!$B:$B,0))</f>
        <v>12</v>
      </c>
      <c r="S34" s="148">
        <f>INDEX('1. Assumptions'!$G:$G,MATCH($B34,'1. Assumptions'!$B:$B,0))</f>
        <v>12</v>
      </c>
      <c r="T34" s="148">
        <f>INDEX('1. Assumptions'!$G:$G,MATCH($B34,'1. Assumptions'!$B:$B,0))</f>
        <v>12</v>
      </c>
      <c r="U34" s="148">
        <f>INDEX('1. Assumptions'!$G:$G,MATCH($B34,'1. Assumptions'!$B:$B,0))</f>
        <v>12</v>
      </c>
      <c r="V34" s="148">
        <f>INDEX('1. Assumptions'!$G:$G,MATCH($B34,'1. Assumptions'!$B:$B,0))</f>
        <v>12</v>
      </c>
      <c r="W34" s="148">
        <f>INDEX('1. Assumptions'!$G:$G,MATCH($B34,'1. Assumptions'!$B:$B,0))</f>
        <v>12</v>
      </c>
      <c r="X34" s="148">
        <f>INDEX('1. Assumptions'!$G:$G,MATCH($B34,'1. Assumptions'!$B:$B,0))</f>
        <v>12</v>
      </c>
      <c r="Y34" s="148">
        <f>INDEX('1. Assumptions'!$G:$G,MATCH($B34,'1. Assumptions'!$B:$B,0))</f>
        <v>12</v>
      </c>
      <c r="Z34" s="148">
        <f>INDEX('1. Assumptions'!$G:$G,MATCH($B34,'1. Assumptions'!$B:$B,0))</f>
        <v>12</v>
      </c>
      <c r="AA34" s="148">
        <f>INDEX('1. Assumptions'!$G:$G,MATCH($B34,'1. Assumptions'!$B:$B,0))</f>
        <v>12</v>
      </c>
    </row>
    <row r="35" spans="1:29" s="3" customFormat="1" ht="13.2">
      <c r="A35" s="141" t="s">
        <v>876</v>
      </c>
      <c r="B35" s="147" t="s">
        <v>602</v>
      </c>
      <c r="C35" s="147" t="s">
        <v>159</v>
      </c>
      <c r="D35" s="148">
        <f>INDEX('1. Assumptions'!$G:$G,MATCH($B35,'1. Assumptions'!$B:$B,0))</f>
        <v>9</v>
      </c>
      <c r="E35" s="148">
        <f>INDEX('1. Assumptions'!$G:$G,MATCH($B35,'1. Assumptions'!$B:$B,0))</f>
        <v>9</v>
      </c>
      <c r="F35" s="148">
        <f>INDEX('1. Assumptions'!$G:$G,MATCH($B35,'1. Assumptions'!$B:$B,0))</f>
        <v>9</v>
      </c>
      <c r="G35" s="148">
        <f>INDEX('1. Assumptions'!$G:$G,MATCH($B35,'1. Assumptions'!$B:$B,0))</f>
        <v>9</v>
      </c>
      <c r="H35" s="148">
        <f>INDEX('1. Assumptions'!$G:$G,MATCH($B35,'1. Assumptions'!$B:$B,0))</f>
        <v>9</v>
      </c>
      <c r="I35" s="148">
        <f>INDEX('1. Assumptions'!$G:$G,MATCH($B35,'1. Assumptions'!$B:$B,0))</f>
        <v>9</v>
      </c>
      <c r="J35" s="148">
        <f>INDEX('1. Assumptions'!$G:$G,MATCH($B35,'1. Assumptions'!$B:$B,0))</f>
        <v>9</v>
      </c>
      <c r="K35" s="148">
        <f>INDEX('1. Assumptions'!$G:$G,MATCH($B35,'1. Assumptions'!$B:$B,0))</f>
        <v>9</v>
      </c>
      <c r="L35" s="148">
        <f>INDEX('1. Assumptions'!$G:$G,MATCH($B35,'1. Assumptions'!$B:$B,0))</f>
        <v>9</v>
      </c>
      <c r="M35" s="148">
        <f>INDEX('1. Assumptions'!$G:$G,MATCH($B35,'1. Assumptions'!$B:$B,0))</f>
        <v>9</v>
      </c>
      <c r="N35" s="148">
        <f>INDEX('1. Assumptions'!$G:$G,MATCH($B35,'1. Assumptions'!$B:$B,0))</f>
        <v>9</v>
      </c>
      <c r="O35" s="148">
        <f>INDEX('1. Assumptions'!$G:$G,MATCH($B35,'1. Assumptions'!$B:$B,0))</f>
        <v>9</v>
      </c>
      <c r="P35" s="148">
        <f>INDEX('1. Assumptions'!$G:$G,MATCH($B35,'1. Assumptions'!$B:$B,0))</f>
        <v>9</v>
      </c>
      <c r="Q35" s="148">
        <f>INDEX('1. Assumptions'!$G:$G,MATCH($B35,'1. Assumptions'!$B:$B,0))</f>
        <v>9</v>
      </c>
      <c r="R35" s="148">
        <f>INDEX('1. Assumptions'!$G:$G,MATCH($B35,'1. Assumptions'!$B:$B,0))</f>
        <v>9</v>
      </c>
      <c r="S35" s="148">
        <f>INDEX('1. Assumptions'!$G:$G,MATCH($B35,'1. Assumptions'!$B:$B,0))</f>
        <v>9</v>
      </c>
      <c r="T35" s="148">
        <f>INDEX('1. Assumptions'!$G:$G,MATCH($B35,'1. Assumptions'!$B:$B,0))</f>
        <v>9</v>
      </c>
      <c r="U35" s="148">
        <f>INDEX('1. Assumptions'!$G:$G,MATCH($B35,'1. Assumptions'!$B:$B,0))</f>
        <v>9</v>
      </c>
      <c r="V35" s="148">
        <f>INDEX('1. Assumptions'!$G:$G,MATCH($B35,'1. Assumptions'!$B:$B,0))</f>
        <v>9</v>
      </c>
      <c r="W35" s="148">
        <f>INDEX('1. Assumptions'!$G:$G,MATCH($B35,'1. Assumptions'!$B:$B,0))</f>
        <v>9</v>
      </c>
      <c r="X35" s="148">
        <f>INDEX('1. Assumptions'!$G:$G,MATCH($B35,'1. Assumptions'!$B:$B,0))</f>
        <v>9</v>
      </c>
      <c r="Y35" s="148">
        <f>INDEX('1. Assumptions'!$G:$G,MATCH($B35,'1. Assumptions'!$B:$B,0))</f>
        <v>9</v>
      </c>
      <c r="Z35" s="148">
        <f>INDEX('1. Assumptions'!$G:$G,MATCH($B35,'1. Assumptions'!$B:$B,0))</f>
        <v>9</v>
      </c>
      <c r="AA35" s="148">
        <f>INDEX('1. Assumptions'!$G:$G,MATCH($B35,'1. Assumptions'!$B:$B,0))</f>
        <v>9</v>
      </c>
    </row>
    <row r="36" spans="1:29" s="3" customFormat="1" ht="26.4">
      <c r="A36" s="141" t="s">
        <v>876</v>
      </c>
      <c r="B36" s="141" t="s">
        <v>957</v>
      </c>
      <c r="C36" s="147" t="s">
        <v>159</v>
      </c>
      <c r="D36" s="148">
        <f>IFERROR(INDEX('1. Assumptions'!$G:$G,MATCH($B36,'1. Assumptions'!$B:$B,0)),"CHECK")</f>
        <v>16</v>
      </c>
      <c r="E36" s="148">
        <f>IFERROR(INDEX('1. Assumptions'!$G:$G,MATCH($B36,'1. Assumptions'!$B:$B,0)),"CHECK")</f>
        <v>16</v>
      </c>
      <c r="F36" s="148">
        <f>IFERROR(INDEX('1. Assumptions'!$G:$G,MATCH($B36,'1. Assumptions'!$B:$B,0)),"CHECK")</f>
        <v>16</v>
      </c>
      <c r="G36" s="148">
        <f>IFERROR(INDEX('1. Assumptions'!$G:$G,MATCH($B36,'1. Assumptions'!$B:$B,0)),"CHECK")</f>
        <v>16</v>
      </c>
      <c r="H36" s="148">
        <f>IFERROR(INDEX('1. Assumptions'!$G:$G,MATCH($B36,'1. Assumptions'!$B:$B,0)),"CHECK")</f>
        <v>16</v>
      </c>
      <c r="I36" s="148">
        <f>IFERROR(INDEX('1. Assumptions'!$G:$G,MATCH($B36,'1. Assumptions'!$B:$B,0)),"CHECK")</f>
        <v>16</v>
      </c>
      <c r="J36" s="148">
        <f>IFERROR(INDEX('1. Assumptions'!$G:$G,MATCH($B36,'1. Assumptions'!$B:$B,0)),"CHECK")</f>
        <v>16</v>
      </c>
      <c r="K36" s="148">
        <f>IFERROR(INDEX('1. Assumptions'!$G:$G,MATCH($B36,'1. Assumptions'!$B:$B,0)),"CHECK")</f>
        <v>16</v>
      </c>
      <c r="L36" s="148">
        <f>IFERROR(INDEX('1. Assumptions'!$G:$G,MATCH($B36,'1. Assumptions'!$B:$B,0)),"CHECK")</f>
        <v>16</v>
      </c>
      <c r="M36" s="148">
        <f>IFERROR(INDEX('1. Assumptions'!$G:$G,MATCH($B36,'1. Assumptions'!$B:$B,0)),"CHECK")</f>
        <v>16</v>
      </c>
      <c r="N36" s="148">
        <f>IFERROR(INDEX('1. Assumptions'!$G:$G,MATCH($B36,'1. Assumptions'!$B:$B,0)),"CHECK")</f>
        <v>16</v>
      </c>
      <c r="O36" s="148">
        <f>IFERROR(INDEX('1. Assumptions'!$G:$G,MATCH($B36,'1. Assumptions'!$B:$B,0)),"CHECK")</f>
        <v>16</v>
      </c>
      <c r="P36" s="148">
        <f>IFERROR(INDEX('1. Assumptions'!$G:$G,MATCH($B36,'1. Assumptions'!$B:$B,0)),"CHECK")</f>
        <v>16</v>
      </c>
      <c r="Q36" s="148">
        <f>IFERROR(INDEX('1. Assumptions'!$G:$G,MATCH($B36,'1. Assumptions'!$B:$B,0)),"CHECK")</f>
        <v>16</v>
      </c>
      <c r="R36" s="148">
        <f>IFERROR(INDEX('1. Assumptions'!$G:$G,MATCH($B36,'1. Assumptions'!$B:$B,0)),"CHECK")</f>
        <v>16</v>
      </c>
      <c r="S36" s="148">
        <f>IFERROR(INDEX('1. Assumptions'!$G:$G,MATCH($B36,'1. Assumptions'!$B:$B,0)),"CHECK")</f>
        <v>16</v>
      </c>
      <c r="T36" s="148">
        <f>IFERROR(INDEX('1. Assumptions'!$G:$G,MATCH($B36,'1. Assumptions'!$B:$B,0)),"CHECK")</f>
        <v>16</v>
      </c>
      <c r="U36" s="148">
        <f>IFERROR(INDEX('1. Assumptions'!$G:$G,MATCH($B36,'1. Assumptions'!$B:$B,0)),"CHECK")</f>
        <v>16</v>
      </c>
      <c r="V36" s="148">
        <f>IFERROR(INDEX('1. Assumptions'!$G:$G,MATCH($B36,'1. Assumptions'!$B:$B,0)),"CHECK")</f>
        <v>16</v>
      </c>
      <c r="W36" s="148">
        <f>IFERROR(INDEX('1. Assumptions'!$G:$G,MATCH($B36,'1. Assumptions'!$B:$B,0)),"CHECK")</f>
        <v>16</v>
      </c>
      <c r="X36" s="148">
        <f>IFERROR(INDEX('1. Assumptions'!$G:$G,MATCH($B36,'1. Assumptions'!$B:$B,0)),"CHECK")</f>
        <v>16</v>
      </c>
      <c r="Y36" s="148">
        <f>IFERROR(INDEX('1. Assumptions'!$G:$G,MATCH($B36,'1. Assumptions'!$B:$B,0)),"CHECK")</f>
        <v>16</v>
      </c>
      <c r="Z36" s="148">
        <f>IFERROR(INDEX('1. Assumptions'!$G:$G,MATCH($B36,'1. Assumptions'!$B:$B,0)),"CHECK")</f>
        <v>16</v>
      </c>
      <c r="AA36" s="148">
        <f>IFERROR(INDEX('1. Assumptions'!$G:$G,MATCH($B36,'1. Assumptions'!$B:$B,0)),"CHECK")</f>
        <v>16</v>
      </c>
    </row>
    <row r="37" spans="1:29" s="3" customFormat="1" ht="26.4">
      <c r="A37" s="141" t="s">
        <v>876</v>
      </c>
      <c r="B37" s="141" t="s">
        <v>958</v>
      </c>
      <c r="C37" s="147" t="s">
        <v>159</v>
      </c>
      <c r="D37" s="148" cm="1">
        <f t="array" ref="D37">IFERROR(INDEX($D$6:$AA$6,1,MATCH(1,--(($D$10:$AA$10-$D$10)&gt;=2*INDEX('1. Assumptions'!$G:$G,MATCH("*CS Hire Trigger*",'1. Assumptions'!$B:$B,0))),0)),"Not Triggered")</f>
        <v>7</v>
      </c>
      <c r="E37" s="148" cm="1">
        <f t="array" ref="E37">IFERROR(INDEX($D$6:$AA$6,1,MATCH(1,--(($D$10:$AA$10-$D$10)&gt;=2*INDEX('1. Assumptions'!$G:$G,MATCH("*CS Hire Trigger*",'1. Assumptions'!$B:$B,0))),0)),"Not Triggered")</f>
        <v>7</v>
      </c>
      <c r="F37" s="148" cm="1">
        <f t="array" ref="F37">IFERROR(INDEX($D$6:$AA$6,1,MATCH(1,--(($D$10:$AA$10-$D$10)&gt;=2*INDEX('1. Assumptions'!$G:$G,MATCH("*CS Hire Trigger*",'1. Assumptions'!$B:$B,0))),0)),"Not Triggered")</f>
        <v>7</v>
      </c>
      <c r="G37" s="148" cm="1">
        <f t="array" ref="G37">IFERROR(INDEX($D$6:$AA$6,1,MATCH(1,--(($D$10:$AA$10-$D$10)&gt;=2*INDEX('1. Assumptions'!$G:$G,MATCH("*CS Hire Trigger*",'1. Assumptions'!$B:$B,0))),0)),"Not Triggered")</f>
        <v>7</v>
      </c>
      <c r="H37" s="148" cm="1">
        <f t="array" ref="H37">IFERROR(INDEX($D$6:$AA$6,1,MATCH(1,--(($D$10:$AA$10-$D$10)&gt;=2*INDEX('1. Assumptions'!$G:$G,MATCH("*CS Hire Trigger*",'1. Assumptions'!$B:$B,0))),0)),"Not Triggered")</f>
        <v>7</v>
      </c>
      <c r="I37" s="148" cm="1">
        <f t="array" ref="I37">IFERROR(INDEX($D$6:$AA$6,1,MATCH(1,--(($D$10:$AA$10-$D$10)&gt;=2*INDEX('1. Assumptions'!$G:$G,MATCH("*CS Hire Trigger*",'1. Assumptions'!$B:$B,0))),0)),"Not Triggered")</f>
        <v>7</v>
      </c>
      <c r="J37" s="148" cm="1">
        <f t="array" ref="J37">IFERROR(INDEX($D$6:$AA$6,1,MATCH(1,--(($D$10:$AA$10-$D$10)&gt;=2*INDEX('1. Assumptions'!$G:$G,MATCH("*CS Hire Trigger*",'1. Assumptions'!$B:$B,0))),0)),"Not Triggered")</f>
        <v>7</v>
      </c>
      <c r="K37" s="148" cm="1">
        <f t="array" ref="K37">IFERROR(INDEX($D$6:$AA$6,1,MATCH(1,--(($D$10:$AA$10-$D$10)&gt;=2*INDEX('1. Assumptions'!$G:$G,MATCH("*CS Hire Trigger*",'1. Assumptions'!$B:$B,0))),0)),"Not Triggered")</f>
        <v>7</v>
      </c>
      <c r="L37" s="148" cm="1">
        <f t="array" ref="L37">IFERROR(INDEX($D$6:$AA$6,1,MATCH(1,--(($D$10:$AA$10-$D$10)&gt;=2*INDEX('1. Assumptions'!$G:$G,MATCH("*CS Hire Trigger*",'1. Assumptions'!$B:$B,0))),0)),"Not Triggered")</f>
        <v>7</v>
      </c>
      <c r="M37" s="148" cm="1">
        <f t="array" ref="M37">IFERROR(INDEX($D$6:$AA$6,1,MATCH(1,--(($D$10:$AA$10-$D$10)&gt;=2*INDEX('1. Assumptions'!$G:$G,MATCH("*CS Hire Trigger*",'1. Assumptions'!$B:$B,0))),0)),"Not Triggered")</f>
        <v>7</v>
      </c>
      <c r="N37" s="148" cm="1">
        <f t="array" ref="N37">IFERROR(INDEX($D$6:$AA$6,1,MATCH(1,--(($D$10:$AA$10-$D$10)&gt;=2*INDEX('1. Assumptions'!$G:$G,MATCH("*CS Hire Trigger*",'1. Assumptions'!$B:$B,0))),0)),"Not Triggered")</f>
        <v>7</v>
      </c>
      <c r="O37" s="148" cm="1">
        <f t="array" ref="O37">IFERROR(INDEX($D$6:$AA$6,1,MATCH(1,--(($D$10:$AA$10-$D$10)&gt;=2*INDEX('1. Assumptions'!$G:$G,MATCH("*CS Hire Trigger*",'1. Assumptions'!$B:$B,0))),0)),"Not Triggered")</f>
        <v>7</v>
      </c>
      <c r="P37" s="148" cm="1">
        <f t="array" ref="P37">IFERROR(INDEX($D$6:$AA$6,1,MATCH(1,--(($D$10:$AA$10-$D$10)&gt;=2*INDEX('1. Assumptions'!$G:$G,MATCH("*CS Hire Trigger*",'1. Assumptions'!$B:$B,0))),0)),"Not Triggered")</f>
        <v>7</v>
      </c>
      <c r="Q37" s="148" cm="1">
        <f t="array" ref="Q37">IFERROR(INDEX($D$6:$AA$6,1,MATCH(1,--(($D$10:$AA$10-$D$10)&gt;=2*INDEX('1. Assumptions'!$G:$G,MATCH("*CS Hire Trigger*",'1. Assumptions'!$B:$B,0))),0)),"Not Triggered")</f>
        <v>7</v>
      </c>
      <c r="R37" s="148" cm="1">
        <f t="array" ref="R37">IFERROR(INDEX($D$6:$AA$6,1,MATCH(1,--(($D$10:$AA$10-$D$10)&gt;=2*INDEX('1. Assumptions'!$G:$G,MATCH("*CS Hire Trigger*",'1. Assumptions'!$B:$B,0))),0)),"Not Triggered")</f>
        <v>7</v>
      </c>
      <c r="S37" s="148" cm="1">
        <f t="array" ref="S37">IFERROR(INDEX($D$6:$AA$6,1,MATCH(1,--(($D$10:$AA$10-$D$10)&gt;=2*INDEX('1. Assumptions'!$G:$G,MATCH("*CS Hire Trigger*",'1. Assumptions'!$B:$B,0))),0)),"Not Triggered")</f>
        <v>7</v>
      </c>
      <c r="T37" s="148" cm="1">
        <f t="array" ref="T37">IFERROR(INDEX($D$6:$AA$6,1,MATCH(1,--(($D$10:$AA$10-$D$10)&gt;=2*INDEX('1. Assumptions'!$G:$G,MATCH("*CS Hire Trigger*",'1. Assumptions'!$B:$B,0))),0)),"Not Triggered")</f>
        <v>7</v>
      </c>
      <c r="U37" s="148" cm="1">
        <f t="array" ref="U37">IFERROR(INDEX($D$6:$AA$6,1,MATCH(1,--(($D$10:$AA$10-$D$10)&gt;=2*INDEX('1. Assumptions'!$G:$G,MATCH("*CS Hire Trigger*",'1. Assumptions'!$B:$B,0))),0)),"Not Triggered")</f>
        <v>7</v>
      </c>
      <c r="V37" s="148" cm="1">
        <f t="array" ref="V37">IFERROR(INDEX($D$6:$AA$6,1,MATCH(1,--(($D$10:$AA$10-$D$10)&gt;=2*INDEX('1. Assumptions'!$G:$G,MATCH("*CS Hire Trigger*",'1. Assumptions'!$B:$B,0))),0)),"Not Triggered")</f>
        <v>7</v>
      </c>
      <c r="W37" s="148" cm="1">
        <f t="array" ref="W37">IFERROR(INDEX($D$6:$AA$6,1,MATCH(1,--(($D$10:$AA$10-$D$10)&gt;=2*INDEX('1. Assumptions'!$G:$G,MATCH("*CS Hire Trigger*",'1. Assumptions'!$B:$B,0))),0)),"Not Triggered")</f>
        <v>7</v>
      </c>
      <c r="X37" s="148" cm="1">
        <f t="array" ref="X37">IFERROR(INDEX($D$6:$AA$6,1,MATCH(1,--(($D$10:$AA$10-$D$10)&gt;=2*INDEX('1. Assumptions'!$G:$G,MATCH("*CS Hire Trigger*",'1. Assumptions'!$B:$B,0))),0)),"Not Triggered")</f>
        <v>7</v>
      </c>
      <c r="Y37" s="148" cm="1">
        <f t="array" ref="Y37">IFERROR(INDEX($D$6:$AA$6,1,MATCH(1,--(($D$10:$AA$10-$D$10)&gt;=2*INDEX('1. Assumptions'!$G:$G,MATCH("*CS Hire Trigger*",'1. Assumptions'!$B:$B,0))),0)),"Not Triggered")</f>
        <v>7</v>
      </c>
      <c r="Z37" s="148" cm="1">
        <f t="array" ref="Z37">IFERROR(INDEX($D$6:$AA$6,1,MATCH(1,--(($D$10:$AA$10-$D$10)&gt;=2*INDEX('1. Assumptions'!$G:$G,MATCH("*CS Hire Trigger*",'1. Assumptions'!$B:$B,0))),0)),"Not Triggered")</f>
        <v>7</v>
      </c>
      <c r="AA37" s="148" cm="1">
        <f t="array" ref="AA37">IFERROR(INDEX($D$6:$AA$6,1,MATCH(1,--(($D$10:$AA$10-$D$10)&gt;=2*INDEX('1. Assumptions'!$G:$G,MATCH("*CS Hire Trigger*",'1. Assumptions'!$B:$B,0))),0)),"Not Triggered")</f>
        <v>7</v>
      </c>
    </row>
    <row r="38" spans="1:29" s="3" customFormat="1" ht="26.4">
      <c r="A38" s="141" t="s">
        <v>876</v>
      </c>
      <c r="B38" s="141" t="s">
        <v>959</v>
      </c>
      <c r="C38" s="147" t="s">
        <v>159</v>
      </c>
      <c r="D38" s="148">
        <f>IF(D37="Not Triggered","Deferred",MAX(D36,D37))</f>
        <v>16</v>
      </c>
      <c r="E38" s="148">
        <f t="shared" ref="E38:AA38" si="1">IF(E37="Not Triggered","Deferred",MAX(E36,E37))</f>
        <v>16</v>
      </c>
      <c r="F38" s="148">
        <f t="shared" si="1"/>
        <v>16</v>
      </c>
      <c r="G38" s="148">
        <f t="shared" si="1"/>
        <v>16</v>
      </c>
      <c r="H38" s="148">
        <f t="shared" si="1"/>
        <v>16</v>
      </c>
      <c r="I38" s="148">
        <f t="shared" si="1"/>
        <v>16</v>
      </c>
      <c r="J38" s="148">
        <f t="shared" si="1"/>
        <v>16</v>
      </c>
      <c r="K38" s="148">
        <f t="shared" si="1"/>
        <v>16</v>
      </c>
      <c r="L38" s="148">
        <f t="shared" si="1"/>
        <v>16</v>
      </c>
      <c r="M38" s="148">
        <f t="shared" si="1"/>
        <v>16</v>
      </c>
      <c r="N38" s="148">
        <f t="shared" si="1"/>
        <v>16</v>
      </c>
      <c r="O38" s="148">
        <f t="shared" si="1"/>
        <v>16</v>
      </c>
      <c r="P38" s="148">
        <f t="shared" si="1"/>
        <v>16</v>
      </c>
      <c r="Q38" s="148">
        <f t="shared" si="1"/>
        <v>16</v>
      </c>
      <c r="R38" s="148">
        <f t="shared" si="1"/>
        <v>16</v>
      </c>
      <c r="S38" s="148">
        <f t="shared" si="1"/>
        <v>16</v>
      </c>
      <c r="T38" s="148">
        <f t="shared" si="1"/>
        <v>16</v>
      </c>
      <c r="U38" s="148">
        <f t="shared" si="1"/>
        <v>16</v>
      </c>
      <c r="V38" s="148">
        <f t="shared" si="1"/>
        <v>16</v>
      </c>
      <c r="W38" s="148">
        <f t="shared" si="1"/>
        <v>16</v>
      </c>
      <c r="X38" s="148">
        <f t="shared" si="1"/>
        <v>16</v>
      </c>
      <c r="Y38" s="148">
        <f t="shared" si="1"/>
        <v>16</v>
      </c>
      <c r="Z38" s="148">
        <f t="shared" si="1"/>
        <v>16</v>
      </c>
      <c r="AA38" s="148">
        <f t="shared" si="1"/>
        <v>16</v>
      </c>
    </row>
    <row r="39" spans="1:29" s="3" customFormat="1" ht="26.4">
      <c r="A39" s="141" t="s">
        <v>876</v>
      </c>
      <c r="B39" s="147" t="s">
        <v>606</v>
      </c>
      <c r="C39" s="147" t="s">
        <v>159</v>
      </c>
      <c r="D39" s="148">
        <f>INDEX('1. Assumptions'!$G:$G,MATCH($B39,'1. Assumptions'!$B:$B,0))</f>
        <v>14</v>
      </c>
      <c r="E39" s="148">
        <f>INDEX('1. Assumptions'!$G:$G,MATCH($B39,'1. Assumptions'!$B:$B,0))</f>
        <v>14</v>
      </c>
      <c r="F39" s="148">
        <f>INDEX('1. Assumptions'!$G:$G,MATCH($B39,'1. Assumptions'!$B:$B,0))</f>
        <v>14</v>
      </c>
      <c r="G39" s="148">
        <f>INDEX('1. Assumptions'!$G:$G,MATCH($B39,'1. Assumptions'!$B:$B,0))</f>
        <v>14</v>
      </c>
      <c r="H39" s="148">
        <f>INDEX('1. Assumptions'!$G:$G,MATCH($B39,'1. Assumptions'!$B:$B,0))</f>
        <v>14</v>
      </c>
      <c r="I39" s="148">
        <f>INDEX('1. Assumptions'!$G:$G,MATCH($B39,'1. Assumptions'!$B:$B,0))</f>
        <v>14</v>
      </c>
      <c r="J39" s="148">
        <f>INDEX('1. Assumptions'!$G:$G,MATCH($B39,'1. Assumptions'!$B:$B,0))</f>
        <v>14</v>
      </c>
      <c r="K39" s="148">
        <f>INDEX('1. Assumptions'!$G:$G,MATCH($B39,'1. Assumptions'!$B:$B,0))</f>
        <v>14</v>
      </c>
      <c r="L39" s="148">
        <f>INDEX('1. Assumptions'!$G:$G,MATCH($B39,'1. Assumptions'!$B:$B,0))</f>
        <v>14</v>
      </c>
      <c r="M39" s="148">
        <f>INDEX('1. Assumptions'!$G:$G,MATCH($B39,'1. Assumptions'!$B:$B,0))</f>
        <v>14</v>
      </c>
      <c r="N39" s="148">
        <f>INDEX('1. Assumptions'!$G:$G,MATCH($B39,'1. Assumptions'!$B:$B,0))</f>
        <v>14</v>
      </c>
      <c r="O39" s="148">
        <f>INDEX('1. Assumptions'!$G:$G,MATCH($B39,'1. Assumptions'!$B:$B,0))</f>
        <v>14</v>
      </c>
      <c r="P39" s="148">
        <f>INDEX('1. Assumptions'!$G:$G,MATCH($B39,'1. Assumptions'!$B:$B,0))</f>
        <v>14</v>
      </c>
      <c r="Q39" s="148">
        <f>INDEX('1. Assumptions'!$G:$G,MATCH($B39,'1. Assumptions'!$B:$B,0))</f>
        <v>14</v>
      </c>
      <c r="R39" s="148">
        <f>INDEX('1. Assumptions'!$G:$G,MATCH($B39,'1. Assumptions'!$B:$B,0))</f>
        <v>14</v>
      </c>
      <c r="S39" s="148">
        <f>INDEX('1. Assumptions'!$G:$G,MATCH($B39,'1. Assumptions'!$B:$B,0))</f>
        <v>14</v>
      </c>
      <c r="T39" s="148">
        <f>INDEX('1. Assumptions'!$G:$G,MATCH($B39,'1. Assumptions'!$B:$B,0))</f>
        <v>14</v>
      </c>
      <c r="U39" s="148">
        <f>INDEX('1. Assumptions'!$G:$G,MATCH($B39,'1. Assumptions'!$B:$B,0))</f>
        <v>14</v>
      </c>
      <c r="V39" s="148">
        <f>INDEX('1. Assumptions'!$G:$G,MATCH($B39,'1. Assumptions'!$B:$B,0))</f>
        <v>14</v>
      </c>
      <c r="W39" s="148">
        <f>INDEX('1. Assumptions'!$G:$G,MATCH($B39,'1. Assumptions'!$B:$B,0))</f>
        <v>14</v>
      </c>
      <c r="X39" s="148">
        <f>INDEX('1. Assumptions'!$G:$G,MATCH($B39,'1. Assumptions'!$B:$B,0))</f>
        <v>14</v>
      </c>
      <c r="Y39" s="148">
        <f>INDEX('1. Assumptions'!$G:$G,MATCH($B39,'1. Assumptions'!$B:$B,0))</f>
        <v>14</v>
      </c>
      <c r="Z39" s="148">
        <f>INDEX('1. Assumptions'!$G:$G,MATCH($B39,'1. Assumptions'!$B:$B,0))</f>
        <v>14</v>
      </c>
      <c r="AA39" s="148">
        <f>INDEX('1. Assumptions'!$G:$G,MATCH($B39,'1. Assumptions'!$B:$B,0))</f>
        <v>14</v>
      </c>
    </row>
    <row r="40" spans="1:29" s="3" customFormat="1" ht="26.4">
      <c r="A40" s="141" t="s">
        <v>876</v>
      </c>
      <c r="B40" s="147" t="s">
        <v>607</v>
      </c>
      <c r="C40" s="147" t="s">
        <v>159</v>
      </c>
      <c r="D40" s="148">
        <f>INDEX('1. Assumptions'!$G:$G,MATCH($B40,'1. Assumptions'!$B:$B,0))</f>
        <v>18</v>
      </c>
      <c r="E40" s="148">
        <f>INDEX('1. Assumptions'!$G:$G,MATCH($B40,'1. Assumptions'!$B:$B,0))</f>
        <v>18</v>
      </c>
      <c r="F40" s="148">
        <f>INDEX('1. Assumptions'!$G:$G,MATCH($B40,'1. Assumptions'!$B:$B,0))</f>
        <v>18</v>
      </c>
      <c r="G40" s="148">
        <f>INDEX('1. Assumptions'!$G:$G,MATCH($B40,'1. Assumptions'!$B:$B,0))</f>
        <v>18</v>
      </c>
      <c r="H40" s="148">
        <f>INDEX('1. Assumptions'!$G:$G,MATCH($B40,'1. Assumptions'!$B:$B,0))</f>
        <v>18</v>
      </c>
      <c r="I40" s="148">
        <f>INDEX('1. Assumptions'!$G:$G,MATCH($B40,'1. Assumptions'!$B:$B,0))</f>
        <v>18</v>
      </c>
      <c r="J40" s="148">
        <f>INDEX('1. Assumptions'!$G:$G,MATCH($B40,'1. Assumptions'!$B:$B,0))</f>
        <v>18</v>
      </c>
      <c r="K40" s="148">
        <f>INDEX('1. Assumptions'!$G:$G,MATCH($B40,'1. Assumptions'!$B:$B,0))</f>
        <v>18</v>
      </c>
      <c r="L40" s="148">
        <f>INDEX('1. Assumptions'!$G:$G,MATCH($B40,'1. Assumptions'!$B:$B,0))</f>
        <v>18</v>
      </c>
      <c r="M40" s="148">
        <f>INDEX('1. Assumptions'!$G:$G,MATCH($B40,'1. Assumptions'!$B:$B,0))</f>
        <v>18</v>
      </c>
      <c r="N40" s="148">
        <f>INDEX('1. Assumptions'!$G:$G,MATCH($B40,'1. Assumptions'!$B:$B,0))</f>
        <v>18</v>
      </c>
      <c r="O40" s="148">
        <f>INDEX('1. Assumptions'!$G:$G,MATCH($B40,'1. Assumptions'!$B:$B,0))</f>
        <v>18</v>
      </c>
      <c r="P40" s="148">
        <f>INDEX('1. Assumptions'!$G:$G,MATCH($B40,'1. Assumptions'!$B:$B,0))</f>
        <v>18</v>
      </c>
      <c r="Q40" s="148">
        <f>INDEX('1. Assumptions'!$G:$G,MATCH($B40,'1. Assumptions'!$B:$B,0))</f>
        <v>18</v>
      </c>
      <c r="R40" s="148">
        <f>INDEX('1. Assumptions'!$G:$G,MATCH($B40,'1. Assumptions'!$B:$B,0))</f>
        <v>18</v>
      </c>
      <c r="S40" s="148">
        <f>INDEX('1. Assumptions'!$G:$G,MATCH($B40,'1. Assumptions'!$B:$B,0))</f>
        <v>18</v>
      </c>
      <c r="T40" s="148">
        <f>INDEX('1. Assumptions'!$G:$G,MATCH($B40,'1. Assumptions'!$B:$B,0))</f>
        <v>18</v>
      </c>
      <c r="U40" s="148">
        <f>INDEX('1. Assumptions'!$G:$G,MATCH($B40,'1. Assumptions'!$B:$B,0))</f>
        <v>18</v>
      </c>
      <c r="V40" s="148">
        <f>INDEX('1. Assumptions'!$G:$G,MATCH($B40,'1. Assumptions'!$B:$B,0))</f>
        <v>18</v>
      </c>
      <c r="W40" s="148">
        <f>INDEX('1. Assumptions'!$G:$G,MATCH($B40,'1. Assumptions'!$B:$B,0))</f>
        <v>18</v>
      </c>
      <c r="X40" s="148">
        <f>INDEX('1. Assumptions'!$G:$G,MATCH($B40,'1. Assumptions'!$B:$B,0))</f>
        <v>18</v>
      </c>
      <c r="Y40" s="148">
        <f>INDEX('1. Assumptions'!$G:$G,MATCH($B40,'1. Assumptions'!$B:$B,0))</f>
        <v>18</v>
      </c>
      <c r="Z40" s="148">
        <f>INDEX('1. Assumptions'!$G:$G,MATCH($B40,'1. Assumptions'!$B:$B,0))</f>
        <v>18</v>
      </c>
      <c r="AA40" s="148">
        <f>INDEX('1. Assumptions'!$G:$G,MATCH($B40,'1. Assumptions'!$B:$B,0))</f>
        <v>18</v>
      </c>
    </row>
    <row r="41" spans="1:29" s="3" customFormat="1" ht="13.2">
      <c r="A41" s="141" t="s">
        <v>876</v>
      </c>
      <c r="B41" s="147" t="s">
        <v>609</v>
      </c>
      <c r="C41" s="147" t="s">
        <v>159</v>
      </c>
      <c r="D41" s="148">
        <f>INDEX('1. Assumptions'!$G:$G,MATCH($B41,'1. Assumptions'!$B:$B,0))</f>
        <v>20</v>
      </c>
      <c r="E41" s="148">
        <f>INDEX('1. Assumptions'!$G:$G,MATCH($B41,'1. Assumptions'!$B:$B,0))</f>
        <v>20</v>
      </c>
      <c r="F41" s="148">
        <f>INDEX('1. Assumptions'!$G:$G,MATCH($B41,'1. Assumptions'!$B:$B,0))</f>
        <v>20</v>
      </c>
      <c r="G41" s="148">
        <f>INDEX('1. Assumptions'!$G:$G,MATCH($B41,'1. Assumptions'!$B:$B,0))</f>
        <v>20</v>
      </c>
      <c r="H41" s="148">
        <f>INDEX('1. Assumptions'!$G:$G,MATCH($B41,'1. Assumptions'!$B:$B,0))</f>
        <v>20</v>
      </c>
      <c r="I41" s="148">
        <f>INDEX('1. Assumptions'!$G:$G,MATCH($B41,'1. Assumptions'!$B:$B,0))</f>
        <v>20</v>
      </c>
      <c r="J41" s="148">
        <f>INDEX('1. Assumptions'!$G:$G,MATCH($B41,'1. Assumptions'!$B:$B,0))</f>
        <v>20</v>
      </c>
      <c r="K41" s="148">
        <f>INDEX('1. Assumptions'!$G:$G,MATCH($B41,'1. Assumptions'!$B:$B,0))</f>
        <v>20</v>
      </c>
      <c r="L41" s="148">
        <f>INDEX('1. Assumptions'!$G:$G,MATCH($B41,'1. Assumptions'!$B:$B,0))</f>
        <v>20</v>
      </c>
      <c r="M41" s="148">
        <f>INDEX('1. Assumptions'!$G:$G,MATCH($B41,'1. Assumptions'!$B:$B,0))</f>
        <v>20</v>
      </c>
      <c r="N41" s="148">
        <f>INDEX('1. Assumptions'!$G:$G,MATCH($B41,'1. Assumptions'!$B:$B,0))</f>
        <v>20</v>
      </c>
      <c r="O41" s="148">
        <f>INDEX('1. Assumptions'!$G:$G,MATCH($B41,'1. Assumptions'!$B:$B,0))</f>
        <v>20</v>
      </c>
      <c r="P41" s="148">
        <f>INDEX('1. Assumptions'!$G:$G,MATCH($B41,'1. Assumptions'!$B:$B,0))</f>
        <v>20</v>
      </c>
      <c r="Q41" s="148">
        <f>INDEX('1. Assumptions'!$G:$G,MATCH($B41,'1. Assumptions'!$B:$B,0))</f>
        <v>20</v>
      </c>
      <c r="R41" s="148">
        <f>INDEX('1. Assumptions'!$G:$G,MATCH($B41,'1. Assumptions'!$B:$B,0))</f>
        <v>20</v>
      </c>
      <c r="S41" s="148">
        <f>INDEX('1. Assumptions'!$G:$G,MATCH($B41,'1. Assumptions'!$B:$B,0))</f>
        <v>20</v>
      </c>
      <c r="T41" s="148">
        <f>INDEX('1. Assumptions'!$G:$G,MATCH($B41,'1. Assumptions'!$B:$B,0))</f>
        <v>20</v>
      </c>
      <c r="U41" s="148">
        <f>INDEX('1. Assumptions'!$G:$G,MATCH($B41,'1. Assumptions'!$B:$B,0))</f>
        <v>20</v>
      </c>
      <c r="V41" s="148">
        <f>INDEX('1. Assumptions'!$G:$G,MATCH($B41,'1. Assumptions'!$B:$B,0))</f>
        <v>20</v>
      </c>
      <c r="W41" s="148">
        <f>INDEX('1. Assumptions'!$G:$G,MATCH($B41,'1. Assumptions'!$B:$B,0))</f>
        <v>20</v>
      </c>
      <c r="X41" s="148">
        <f>INDEX('1. Assumptions'!$G:$G,MATCH($B41,'1. Assumptions'!$B:$B,0))</f>
        <v>20</v>
      </c>
      <c r="Y41" s="148">
        <f>INDEX('1. Assumptions'!$G:$G,MATCH($B41,'1. Assumptions'!$B:$B,0))</f>
        <v>20</v>
      </c>
      <c r="Z41" s="148">
        <f>INDEX('1. Assumptions'!$G:$G,MATCH($B41,'1. Assumptions'!$B:$B,0))</f>
        <v>20</v>
      </c>
      <c r="AA41" s="148">
        <f>INDEX('1. Assumptions'!$G:$G,MATCH($B41,'1. Assumptions'!$B:$B,0))</f>
        <v>20</v>
      </c>
    </row>
    <row r="42" spans="1:29" s="3" customFormat="1" ht="13.2">
      <c r="A42" s="141"/>
      <c r="B42" s="147"/>
      <c r="C42" s="147"/>
    </row>
    <row r="43" spans="1:29" s="3" customFormat="1" ht="13.2">
      <c r="A43" s="105" t="s">
        <v>823</v>
      </c>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row>
    <row r="44" spans="1:29" s="3" customFormat="1" ht="13.2">
      <c r="A44" s="141" t="s">
        <v>824</v>
      </c>
      <c r="B44" s="141" t="s">
        <v>825</v>
      </c>
      <c r="C44" s="141" t="s">
        <v>88</v>
      </c>
      <c r="D44" s="149">
        <f>IF(D$6&gt;=$D$24,1,0)</f>
        <v>1</v>
      </c>
      <c r="E44" s="149">
        <f>IF(E$6&gt;=$D$24,1,0)</f>
        <v>1</v>
      </c>
      <c r="F44" s="149">
        <f>IF(F$6&gt;=$D$24,1,0)</f>
        <v>1</v>
      </c>
      <c r="G44" s="149">
        <f>IF(G$6&gt;=$D$24,1,0)</f>
        <v>1</v>
      </c>
      <c r="H44" s="149">
        <f>IF(H$6&gt;=$D$24,1,0)</f>
        <v>1</v>
      </c>
      <c r="I44" s="149">
        <f>IF(I$6&gt;=$D$24,1,0)</f>
        <v>1</v>
      </c>
      <c r="J44" s="149">
        <f>IF(J$6&gt;=$D$24,1,0)</f>
        <v>1</v>
      </c>
      <c r="K44" s="149">
        <f>IF(K$6&gt;=$D$24,1,0)</f>
        <v>1</v>
      </c>
      <c r="L44" s="149">
        <f>IF(L$6&gt;=$D$24,1,0)</f>
        <v>1</v>
      </c>
      <c r="M44" s="149">
        <f>IF(M$6&gt;=$D$24,1,0)</f>
        <v>1</v>
      </c>
      <c r="N44" s="149">
        <f>IF(N$6&gt;=$D$24,1,0)</f>
        <v>1</v>
      </c>
      <c r="O44" s="149">
        <f>IF(O$6&gt;=$D$24,1,0)</f>
        <v>1</v>
      </c>
      <c r="P44" s="149">
        <f>IF(P$6&gt;=$D$24,1,0)</f>
        <v>1</v>
      </c>
      <c r="Q44" s="149">
        <f>IF(Q$6&gt;=$D$24,1,0)</f>
        <v>1</v>
      </c>
      <c r="R44" s="149">
        <f>IF(R$6&gt;=$D$24,1,0)</f>
        <v>1</v>
      </c>
      <c r="S44" s="149">
        <f>IF(S$6&gt;=$D$24,1,0)</f>
        <v>1</v>
      </c>
      <c r="T44" s="149">
        <f>IF(T$6&gt;=$D$24,1,0)</f>
        <v>1</v>
      </c>
      <c r="U44" s="149">
        <f>IF(U$6&gt;=$D$24,1,0)</f>
        <v>1</v>
      </c>
      <c r="V44" s="149">
        <f>IF(V$6&gt;=$D$24,1,0)</f>
        <v>1</v>
      </c>
      <c r="W44" s="149">
        <f>IF(W$6&gt;=$D$24,1,0)</f>
        <v>1</v>
      </c>
      <c r="X44" s="149">
        <f>IF(X$6&gt;=$D$24,1,0)</f>
        <v>1</v>
      </c>
      <c r="Y44" s="149">
        <f>IF(Y$6&gt;=$D$24,1,0)</f>
        <v>1</v>
      </c>
      <c r="Z44" s="149">
        <f>IF(Z$6&gt;=$D$24,1,0)</f>
        <v>1</v>
      </c>
      <c r="AA44" s="149">
        <f>IF(AA$6&gt;=$D$24,1,0)</f>
        <v>1</v>
      </c>
    </row>
    <row r="45" spans="1:29" s="3" customFormat="1" ht="13.2">
      <c r="A45" s="141" t="s">
        <v>824</v>
      </c>
      <c r="B45" s="141" t="s">
        <v>826</v>
      </c>
      <c r="C45" s="141" t="s">
        <v>88</v>
      </c>
      <c r="D45" s="149">
        <f>IF(D$6&gt;=$D$25,1,0)</f>
        <v>1</v>
      </c>
      <c r="E45" s="149">
        <f>IF(E$6&gt;=$D$25,1,0)</f>
        <v>1</v>
      </c>
      <c r="F45" s="149">
        <f>IF(F$6&gt;=$D$25,1,0)</f>
        <v>1</v>
      </c>
      <c r="G45" s="149">
        <f>IF(G$6&gt;=$D$25,1,0)</f>
        <v>1</v>
      </c>
      <c r="H45" s="149">
        <f>IF(H$6&gt;=$D$25,1,0)</f>
        <v>1</v>
      </c>
      <c r="I45" s="149">
        <f>IF(I$6&gt;=$D$25,1,0)</f>
        <v>1</v>
      </c>
      <c r="J45" s="149">
        <f>IF(J$6&gt;=$D$25,1,0)</f>
        <v>1</v>
      </c>
      <c r="K45" s="149">
        <f>IF(K$6&gt;=$D$25,1,0)</f>
        <v>1</v>
      </c>
      <c r="L45" s="149">
        <f>IF(L$6&gt;=$D$25,1,0)</f>
        <v>1</v>
      </c>
      <c r="M45" s="149">
        <f>IF(M$6&gt;=$D$25,1,0)</f>
        <v>1</v>
      </c>
      <c r="N45" s="149">
        <f>IF(N$6&gt;=$D$25,1,0)</f>
        <v>1</v>
      </c>
      <c r="O45" s="149">
        <f>IF(O$6&gt;=$D$25,1,0)</f>
        <v>1</v>
      </c>
      <c r="P45" s="149">
        <f>IF(P$6&gt;=$D$25,1,0)</f>
        <v>1</v>
      </c>
      <c r="Q45" s="149">
        <f>IF(Q$6&gt;=$D$25,1,0)</f>
        <v>1</v>
      </c>
      <c r="R45" s="149">
        <f>IF(R$6&gt;=$D$25,1,0)</f>
        <v>1</v>
      </c>
      <c r="S45" s="149">
        <f>IF(S$6&gt;=$D$25,1,0)</f>
        <v>1</v>
      </c>
      <c r="T45" s="149">
        <f>IF(T$6&gt;=$D$25,1,0)</f>
        <v>1</v>
      </c>
      <c r="U45" s="149">
        <f>IF(U$6&gt;=$D$25,1,0)</f>
        <v>1</v>
      </c>
      <c r="V45" s="149">
        <f>IF(V$6&gt;=$D$25,1,0)</f>
        <v>1</v>
      </c>
      <c r="W45" s="149">
        <f>IF(W$6&gt;=$D$25,1,0)</f>
        <v>1</v>
      </c>
      <c r="X45" s="149">
        <f>IF(X$6&gt;=$D$25,1,0)</f>
        <v>1</v>
      </c>
      <c r="Y45" s="149">
        <f>IF(Y$6&gt;=$D$25,1,0)</f>
        <v>1</v>
      </c>
      <c r="Z45" s="149">
        <f>IF(Z$6&gt;=$D$25,1,0)</f>
        <v>1</v>
      </c>
      <c r="AA45" s="149">
        <f>IF(AA$6&gt;=$D$25,1,0)</f>
        <v>1</v>
      </c>
    </row>
    <row r="46" spans="1:29" s="3" customFormat="1" ht="13.2">
      <c r="A46" s="141" t="s">
        <v>824</v>
      </c>
      <c r="B46" s="141" t="s">
        <v>827</v>
      </c>
      <c r="C46" s="141" t="s">
        <v>88</v>
      </c>
      <c r="D46" s="149">
        <f>IF(D$6&gt;=$D$26,1,0)</f>
        <v>0</v>
      </c>
      <c r="E46" s="149">
        <f>IF(E$6&gt;=$D$26,1,0)</f>
        <v>0</v>
      </c>
      <c r="F46" s="149">
        <f>IF(F$6&gt;=$D$26,1,0)</f>
        <v>1</v>
      </c>
      <c r="G46" s="149">
        <f>IF(G$6&gt;=$D$26,1,0)</f>
        <v>1</v>
      </c>
      <c r="H46" s="149">
        <f>IF(H$6&gt;=$D$26,1,0)</f>
        <v>1</v>
      </c>
      <c r="I46" s="149">
        <f>IF(I$6&gt;=$D$26,1,0)</f>
        <v>1</v>
      </c>
      <c r="J46" s="149">
        <f>IF(J$6&gt;=$D$26,1,0)</f>
        <v>1</v>
      </c>
      <c r="K46" s="149">
        <f>IF(K$6&gt;=$D$26,1,0)</f>
        <v>1</v>
      </c>
      <c r="L46" s="149">
        <f>IF(L$6&gt;=$D$26,1,0)</f>
        <v>1</v>
      </c>
      <c r="M46" s="149">
        <f>IF(M$6&gt;=$D$26,1,0)</f>
        <v>1</v>
      </c>
      <c r="N46" s="149">
        <f>IF(N$6&gt;=$D$26,1,0)</f>
        <v>1</v>
      </c>
      <c r="O46" s="149">
        <f>IF(O$6&gt;=$D$26,1,0)</f>
        <v>1</v>
      </c>
      <c r="P46" s="149">
        <f>IF(P$6&gt;=$D$26,1,0)</f>
        <v>1</v>
      </c>
      <c r="Q46" s="149">
        <f>IF(Q$6&gt;=$D$26,1,0)</f>
        <v>1</v>
      </c>
      <c r="R46" s="149">
        <f>IF(R$6&gt;=$D$26,1,0)</f>
        <v>1</v>
      </c>
      <c r="S46" s="149">
        <f>IF(S$6&gt;=$D$26,1,0)</f>
        <v>1</v>
      </c>
      <c r="T46" s="149">
        <f>IF(T$6&gt;=$D$26,1,0)</f>
        <v>1</v>
      </c>
      <c r="U46" s="149">
        <f>IF(U$6&gt;=$D$26,1,0)</f>
        <v>1</v>
      </c>
      <c r="V46" s="149">
        <f>IF(V$6&gt;=$D$26,1,0)</f>
        <v>1</v>
      </c>
      <c r="W46" s="149">
        <f>IF(W$6&gt;=$D$26,1,0)</f>
        <v>1</v>
      </c>
      <c r="X46" s="149">
        <f>IF(X$6&gt;=$D$26,1,0)</f>
        <v>1</v>
      </c>
      <c r="Y46" s="149">
        <f>IF(Y$6&gt;=$D$26,1,0)</f>
        <v>1</v>
      </c>
      <c r="Z46" s="149">
        <f>IF(Z$6&gt;=$D$26,1,0)</f>
        <v>1</v>
      </c>
      <c r="AA46" s="149">
        <f>IF(AA$6&gt;=$D$26,1,0)</f>
        <v>1</v>
      </c>
    </row>
    <row r="47" spans="1:29" s="3" customFormat="1" ht="13.2">
      <c r="A47" s="141" t="s">
        <v>824</v>
      </c>
      <c r="B47" s="141" t="s">
        <v>828</v>
      </c>
      <c r="C47" s="141" t="s">
        <v>88</v>
      </c>
      <c r="D47" s="149">
        <f>IF(D$6&gt;=$D$27,1,0)</f>
        <v>0</v>
      </c>
      <c r="E47" s="149">
        <f>IF(E$6&gt;=$D$27,1,0)</f>
        <v>0</v>
      </c>
      <c r="F47" s="149">
        <f>IF(F$6&gt;=$D$27,1,0)</f>
        <v>0</v>
      </c>
      <c r="G47" s="149">
        <f>IF(G$6&gt;=$D$27,1,0)</f>
        <v>1</v>
      </c>
      <c r="H47" s="149">
        <f>IF(H$6&gt;=$D$27,1,0)</f>
        <v>1</v>
      </c>
      <c r="I47" s="149">
        <f>IF(I$6&gt;=$D$27,1,0)</f>
        <v>1</v>
      </c>
      <c r="J47" s="149">
        <f>IF(J$6&gt;=$D$27,1,0)</f>
        <v>1</v>
      </c>
      <c r="K47" s="149">
        <f>IF(K$6&gt;=$D$27,1,0)</f>
        <v>1</v>
      </c>
      <c r="L47" s="149">
        <f>IF(L$6&gt;=$D$27,1,0)</f>
        <v>1</v>
      </c>
      <c r="M47" s="149">
        <f>IF(M$6&gt;=$D$27,1,0)</f>
        <v>1</v>
      </c>
      <c r="N47" s="149">
        <f>IF(N$6&gt;=$D$27,1,0)</f>
        <v>1</v>
      </c>
      <c r="O47" s="149">
        <f>IF(O$6&gt;=$D$27,1,0)</f>
        <v>1</v>
      </c>
      <c r="P47" s="149">
        <f>IF(P$6&gt;=$D$27,1,0)</f>
        <v>1</v>
      </c>
      <c r="Q47" s="149">
        <f>IF(Q$6&gt;=$D$27,1,0)</f>
        <v>1</v>
      </c>
      <c r="R47" s="149">
        <f>IF(R$6&gt;=$D$27,1,0)</f>
        <v>1</v>
      </c>
      <c r="S47" s="149">
        <f>IF(S$6&gt;=$D$27,1,0)</f>
        <v>1</v>
      </c>
      <c r="T47" s="149">
        <f>IF(T$6&gt;=$D$27,1,0)</f>
        <v>1</v>
      </c>
      <c r="U47" s="149">
        <f>IF(U$6&gt;=$D$27,1,0)</f>
        <v>1</v>
      </c>
      <c r="V47" s="149">
        <f>IF(V$6&gt;=$D$27,1,0)</f>
        <v>1</v>
      </c>
      <c r="W47" s="149">
        <f>IF(W$6&gt;=$D$27,1,0)</f>
        <v>1</v>
      </c>
      <c r="X47" s="149">
        <f>IF(X$6&gt;=$D$27,1,0)</f>
        <v>1</v>
      </c>
      <c r="Y47" s="149">
        <f>IF(Y$6&gt;=$D$27,1,0)</f>
        <v>1</v>
      </c>
      <c r="Z47" s="149">
        <f>IF(Z$6&gt;=$D$27,1,0)</f>
        <v>1</v>
      </c>
      <c r="AA47" s="149">
        <f>IF(AA$6&gt;=$D$27,1,0)</f>
        <v>1</v>
      </c>
    </row>
    <row r="48" spans="1:29" s="3" customFormat="1" ht="13.2">
      <c r="A48" s="141" t="s">
        <v>824</v>
      </c>
      <c r="B48" s="141" t="s">
        <v>829</v>
      </c>
      <c r="C48" s="141" t="s">
        <v>88</v>
      </c>
      <c r="D48" s="149">
        <f>IF(D$6&gt;=$D$28,1,0)</f>
        <v>0</v>
      </c>
      <c r="E48" s="149">
        <f>IF(E$6&gt;=$D$28,1,0)</f>
        <v>0</v>
      </c>
      <c r="F48" s="149">
        <f>IF(F$6&gt;=$D$28,1,0)</f>
        <v>0</v>
      </c>
      <c r="G48" s="149">
        <f>IF(G$6&gt;=$D$28,1,0)</f>
        <v>0</v>
      </c>
      <c r="H48" s="149">
        <f>IF(H$6&gt;=$D$28,1,0)</f>
        <v>1</v>
      </c>
      <c r="I48" s="149">
        <f>IF(I$6&gt;=$D$28,1,0)</f>
        <v>1</v>
      </c>
      <c r="J48" s="149">
        <f>IF(J$6&gt;=$D$28,1,0)</f>
        <v>1</v>
      </c>
      <c r="K48" s="149">
        <f>IF(K$6&gt;=$D$28,1,0)</f>
        <v>1</v>
      </c>
      <c r="L48" s="149">
        <f>IF(L$6&gt;=$D$28,1,0)</f>
        <v>1</v>
      </c>
      <c r="M48" s="149">
        <f>IF(M$6&gt;=$D$28,1,0)</f>
        <v>1</v>
      </c>
      <c r="N48" s="149">
        <f>IF(N$6&gt;=$D$28,1,0)</f>
        <v>1</v>
      </c>
      <c r="O48" s="149">
        <f>IF(O$6&gt;=$D$28,1,0)</f>
        <v>1</v>
      </c>
      <c r="P48" s="149">
        <f>IF(P$6&gt;=$D$28,1,0)</f>
        <v>1</v>
      </c>
      <c r="Q48" s="149">
        <f>IF(Q$6&gt;=$D$28,1,0)</f>
        <v>1</v>
      </c>
      <c r="R48" s="149">
        <f>IF(R$6&gt;=$D$28,1,0)</f>
        <v>1</v>
      </c>
      <c r="S48" s="149">
        <f>IF(S$6&gt;=$D$28,1,0)</f>
        <v>1</v>
      </c>
      <c r="T48" s="149">
        <f>IF(T$6&gt;=$D$28,1,0)</f>
        <v>1</v>
      </c>
      <c r="U48" s="149">
        <f>IF(U$6&gt;=$D$28,1,0)</f>
        <v>1</v>
      </c>
      <c r="V48" s="149">
        <f>IF(V$6&gt;=$D$28,1,0)</f>
        <v>1</v>
      </c>
      <c r="W48" s="149">
        <f>IF(W$6&gt;=$D$28,1,0)</f>
        <v>1</v>
      </c>
      <c r="X48" s="149">
        <f>IF(X$6&gt;=$D$28,1,0)</f>
        <v>1</v>
      </c>
      <c r="Y48" s="149">
        <f>IF(Y$6&gt;=$D$28,1,0)</f>
        <v>1</v>
      </c>
      <c r="Z48" s="149">
        <f>IF(Z$6&gt;=$D$28,1,0)</f>
        <v>1</v>
      </c>
      <c r="AA48" s="149">
        <f>IF(AA$6&gt;=$D$28,1,0)</f>
        <v>1</v>
      </c>
    </row>
    <row r="49" spans="1:29" s="3" customFormat="1" ht="13.2">
      <c r="A49" s="141" t="s">
        <v>824</v>
      </c>
      <c r="B49" s="141" t="s">
        <v>830</v>
      </c>
      <c r="C49" s="141" t="s">
        <v>88</v>
      </c>
      <c r="D49" s="149">
        <f>IF(D$6&gt;=$D$29,1,0)</f>
        <v>0</v>
      </c>
      <c r="E49" s="149">
        <f>IF(E$6&gt;=$D$29,1,0)</f>
        <v>0</v>
      </c>
      <c r="F49" s="149">
        <f>IF(F$6&gt;=$D$29,1,0)</f>
        <v>0</v>
      </c>
      <c r="G49" s="149">
        <f>IF(G$6&gt;=$D$29,1,0)</f>
        <v>0</v>
      </c>
      <c r="H49" s="149">
        <f>IF(H$6&gt;=$D$29,1,0)</f>
        <v>0</v>
      </c>
      <c r="I49" s="149">
        <f>IF(I$6&gt;=$D$29,1,0)</f>
        <v>1</v>
      </c>
      <c r="J49" s="149">
        <f>IF(J$6&gt;=$D$29,1,0)</f>
        <v>1</v>
      </c>
      <c r="K49" s="149">
        <f>IF(K$6&gt;=$D$29,1,0)</f>
        <v>1</v>
      </c>
      <c r="L49" s="149">
        <f>IF(L$6&gt;=$D$29,1,0)</f>
        <v>1</v>
      </c>
      <c r="M49" s="149">
        <f>IF(M$6&gt;=$D$29,1,0)</f>
        <v>1</v>
      </c>
      <c r="N49" s="149">
        <f>IF(N$6&gt;=$D$29,1,0)</f>
        <v>1</v>
      </c>
      <c r="O49" s="149">
        <f>IF(O$6&gt;=$D$29,1,0)</f>
        <v>1</v>
      </c>
      <c r="P49" s="149">
        <f>IF(P$6&gt;=$D$29,1,0)</f>
        <v>1</v>
      </c>
      <c r="Q49" s="149">
        <f>IF(Q$6&gt;=$D$29,1,0)</f>
        <v>1</v>
      </c>
      <c r="R49" s="149">
        <f>IF(R$6&gt;=$D$29,1,0)</f>
        <v>1</v>
      </c>
      <c r="S49" s="149">
        <f>IF(S$6&gt;=$D$29,1,0)</f>
        <v>1</v>
      </c>
      <c r="T49" s="149">
        <f>IF(T$6&gt;=$D$29,1,0)</f>
        <v>1</v>
      </c>
      <c r="U49" s="149">
        <f>IF(U$6&gt;=$D$29,1,0)</f>
        <v>1</v>
      </c>
      <c r="V49" s="149">
        <f>IF(V$6&gt;=$D$29,1,0)</f>
        <v>1</v>
      </c>
      <c r="W49" s="149">
        <f>IF(W$6&gt;=$D$29,1,0)</f>
        <v>1</v>
      </c>
      <c r="X49" s="149">
        <f>IF(X$6&gt;=$D$29,1,0)</f>
        <v>1</v>
      </c>
      <c r="Y49" s="149">
        <f>IF(Y$6&gt;=$D$29,1,0)</f>
        <v>1</v>
      </c>
      <c r="Z49" s="149">
        <f>IF(Z$6&gt;=$D$29,1,0)</f>
        <v>1</v>
      </c>
      <c r="AA49" s="149">
        <f>IF(AA$6&gt;=$D$29,1,0)</f>
        <v>1</v>
      </c>
    </row>
    <row r="50" spans="1:29" s="3" customFormat="1" ht="13.2">
      <c r="A50" s="141" t="s">
        <v>824</v>
      </c>
      <c r="B50" s="141" t="s">
        <v>831</v>
      </c>
      <c r="C50" s="141" t="s">
        <v>88</v>
      </c>
      <c r="D50" s="149">
        <f>IF($D$32="Deferred",0,IF(D$6&gt;=$D$32,1,0))</f>
        <v>0</v>
      </c>
      <c r="E50" s="149">
        <f>IF($D$32="Deferred",0,IF(E$6&gt;=$D$32,1,0))</f>
        <v>0</v>
      </c>
      <c r="F50" s="149">
        <f>IF($D$32="Deferred",0,IF(F$6&gt;=$D$32,1,0))</f>
        <v>0</v>
      </c>
      <c r="G50" s="149">
        <f>IF($D$32="Deferred",0,IF(G$6&gt;=$D$32,1,0))</f>
        <v>0</v>
      </c>
      <c r="H50" s="149">
        <f>IF($D$32="Deferred",0,IF(H$6&gt;=$D$32,1,0))</f>
        <v>0</v>
      </c>
      <c r="I50" s="149">
        <f>IF($D$32="Deferred",0,IF(I$6&gt;=$D$32,1,0))</f>
        <v>0</v>
      </c>
      <c r="J50" s="149">
        <f>IF($D$32="Deferred",0,IF(J$6&gt;=$D$32,1,0))</f>
        <v>0</v>
      </c>
      <c r="K50" s="149">
        <f>IF($D$32="Deferred",0,IF(K$6&gt;=$D$32,1,0))</f>
        <v>1</v>
      </c>
      <c r="L50" s="149">
        <f>IF($D$32="Deferred",0,IF(L$6&gt;=$D$32,1,0))</f>
        <v>1</v>
      </c>
      <c r="M50" s="149">
        <f>IF($D$32="Deferred",0,IF(M$6&gt;=$D$32,1,0))</f>
        <v>1</v>
      </c>
      <c r="N50" s="149">
        <f>IF($D$32="Deferred",0,IF(N$6&gt;=$D$32,1,0))</f>
        <v>1</v>
      </c>
      <c r="O50" s="149">
        <f>IF($D$32="Deferred",0,IF(O$6&gt;=$D$32,1,0))</f>
        <v>1</v>
      </c>
      <c r="P50" s="149">
        <f>IF($D$32="Deferred",0,IF(P$6&gt;=$D$32,1,0))</f>
        <v>1</v>
      </c>
      <c r="Q50" s="149">
        <f>IF($D$32="Deferred",0,IF(Q$6&gt;=$D$32,1,0))</f>
        <v>1</v>
      </c>
      <c r="R50" s="149">
        <f>IF($D$32="Deferred",0,IF(R$6&gt;=$D$32,1,0))</f>
        <v>1</v>
      </c>
      <c r="S50" s="149">
        <f>IF($D$32="Deferred",0,IF(S$6&gt;=$D$32,1,0))</f>
        <v>1</v>
      </c>
      <c r="T50" s="149">
        <f>IF($D$32="Deferred",0,IF(T$6&gt;=$D$32,1,0))</f>
        <v>1</v>
      </c>
      <c r="U50" s="149">
        <f>IF($D$32="Deferred",0,IF(U$6&gt;=$D$32,1,0))</f>
        <v>1</v>
      </c>
      <c r="V50" s="149">
        <f>IF($D$32="Deferred",0,IF(V$6&gt;=$D$32,1,0))</f>
        <v>1</v>
      </c>
      <c r="W50" s="149">
        <f>IF($D$32="Deferred",0,IF(W$6&gt;=$D$32,1,0))</f>
        <v>1</v>
      </c>
      <c r="X50" s="149">
        <f>IF($D$32="Deferred",0,IF(X$6&gt;=$D$32,1,0))</f>
        <v>1</v>
      </c>
      <c r="Y50" s="149">
        <f>IF($D$32="Deferred",0,IF(Y$6&gt;=$D$32,1,0))</f>
        <v>1</v>
      </c>
      <c r="Z50" s="149">
        <f>IF($D$32="Deferred",0,IF(Z$6&gt;=$D$32,1,0))</f>
        <v>1</v>
      </c>
      <c r="AA50" s="149">
        <f>IF($D$32="Deferred",0,IF(AA$6&gt;=$D$32,1,0))</f>
        <v>1</v>
      </c>
    </row>
    <row r="51" spans="1:29" s="3" customFormat="1" ht="13.2">
      <c r="A51" s="141" t="s">
        <v>824</v>
      </c>
      <c r="B51" s="141" t="s">
        <v>832</v>
      </c>
      <c r="C51" s="141" t="s">
        <v>88</v>
      </c>
      <c r="D51" s="149">
        <f>IF(D$6&gt;=$D$33,1,0)</f>
        <v>0</v>
      </c>
      <c r="E51" s="149">
        <f>IF(E$6&gt;=$D$33,1,0)</f>
        <v>0</v>
      </c>
      <c r="F51" s="149">
        <f>IF(F$6&gt;=$D$33,1,0)</f>
        <v>0</v>
      </c>
      <c r="G51" s="149">
        <f>IF(G$6&gt;=$D$33,1,0)</f>
        <v>0</v>
      </c>
      <c r="H51" s="149">
        <f>IF(H$6&gt;=$D$33,1,0)</f>
        <v>0</v>
      </c>
      <c r="I51" s="149">
        <f>IF(I$6&gt;=$D$33,1,0)</f>
        <v>0</v>
      </c>
      <c r="J51" s="149">
        <f>IF(J$6&gt;=$D$33,1,0)</f>
        <v>0</v>
      </c>
      <c r="K51" s="149">
        <f>IF(K$6&gt;=$D$33,1,0)</f>
        <v>0</v>
      </c>
      <c r="L51" s="149">
        <f>IF(L$6&gt;=$D$33,1,0)</f>
        <v>0</v>
      </c>
      <c r="M51" s="149">
        <f>IF(M$6&gt;=$D$33,1,0)</f>
        <v>1</v>
      </c>
      <c r="N51" s="149">
        <f>IF(N$6&gt;=$D$33,1,0)</f>
        <v>1</v>
      </c>
      <c r="O51" s="149">
        <f>IF(O$6&gt;=$D$33,1,0)</f>
        <v>1</v>
      </c>
      <c r="P51" s="149">
        <f>IF(P$6&gt;=$D$33,1,0)</f>
        <v>1</v>
      </c>
      <c r="Q51" s="149">
        <f>IF(Q$6&gt;=$D$33,1,0)</f>
        <v>1</v>
      </c>
      <c r="R51" s="149">
        <f>IF(R$6&gt;=$D$33,1,0)</f>
        <v>1</v>
      </c>
      <c r="S51" s="149">
        <f>IF(S$6&gt;=$D$33,1,0)</f>
        <v>1</v>
      </c>
      <c r="T51" s="149">
        <f>IF(T$6&gt;=$D$33,1,0)</f>
        <v>1</v>
      </c>
      <c r="U51" s="149">
        <f>IF(U$6&gt;=$D$33,1,0)</f>
        <v>1</v>
      </c>
      <c r="V51" s="149">
        <f>IF(V$6&gt;=$D$33,1,0)</f>
        <v>1</v>
      </c>
      <c r="W51" s="149">
        <f>IF(W$6&gt;=$D$33,1,0)</f>
        <v>1</v>
      </c>
      <c r="X51" s="149">
        <f>IF(X$6&gt;=$D$33,1,0)</f>
        <v>1</v>
      </c>
      <c r="Y51" s="149">
        <f>IF(Y$6&gt;=$D$33,1,0)</f>
        <v>1</v>
      </c>
      <c r="Z51" s="149">
        <f>IF(Z$6&gt;=$D$33,1,0)</f>
        <v>1</v>
      </c>
      <c r="AA51" s="149">
        <f>IF(AA$6&gt;=$D$33,1,0)</f>
        <v>1</v>
      </c>
    </row>
    <row r="52" spans="1:29" s="3" customFormat="1" ht="13.2">
      <c r="A52" s="141" t="s">
        <v>824</v>
      </c>
      <c r="B52" s="141" t="s">
        <v>833</v>
      </c>
      <c r="C52" s="141" t="s">
        <v>88</v>
      </c>
      <c r="D52" s="149">
        <f>IF(D$6&gt;=$D$34,1,0)</f>
        <v>0</v>
      </c>
      <c r="E52" s="149">
        <f>IF(E$6&gt;=$D$34,1,0)</f>
        <v>0</v>
      </c>
      <c r="F52" s="149">
        <f>IF(F$6&gt;=$D$34,1,0)</f>
        <v>0</v>
      </c>
      <c r="G52" s="149">
        <f>IF(G$6&gt;=$D$34,1,0)</f>
        <v>0</v>
      </c>
      <c r="H52" s="149">
        <f>IF(H$6&gt;=$D$34,1,0)</f>
        <v>0</v>
      </c>
      <c r="I52" s="149">
        <f>IF(I$6&gt;=$D$34,1,0)</f>
        <v>0</v>
      </c>
      <c r="J52" s="149">
        <f>IF(J$6&gt;=$D$34,1,0)</f>
        <v>0</v>
      </c>
      <c r="K52" s="149">
        <f>IF(K$6&gt;=$D$34,1,0)</f>
        <v>0</v>
      </c>
      <c r="L52" s="149">
        <f>IF(L$6&gt;=$D$34,1,0)</f>
        <v>0</v>
      </c>
      <c r="M52" s="149">
        <f>IF(M$6&gt;=$D$34,1,0)</f>
        <v>0</v>
      </c>
      <c r="N52" s="149">
        <f>IF(N$6&gt;=$D$34,1,0)</f>
        <v>0</v>
      </c>
      <c r="O52" s="149">
        <f>IF(O$6&gt;=$D$34,1,0)</f>
        <v>1</v>
      </c>
      <c r="P52" s="149">
        <f>IF(P$6&gt;=$D$34,1,0)</f>
        <v>1</v>
      </c>
      <c r="Q52" s="149">
        <f>IF(Q$6&gt;=$D$34,1,0)</f>
        <v>1</v>
      </c>
      <c r="R52" s="149">
        <f>IF(R$6&gt;=$D$34,1,0)</f>
        <v>1</v>
      </c>
      <c r="S52" s="149">
        <f>IF(S$6&gt;=$D$34,1,0)</f>
        <v>1</v>
      </c>
      <c r="T52" s="149">
        <f>IF(T$6&gt;=$D$34,1,0)</f>
        <v>1</v>
      </c>
      <c r="U52" s="149">
        <f>IF(U$6&gt;=$D$34,1,0)</f>
        <v>1</v>
      </c>
      <c r="V52" s="149">
        <f>IF(V$6&gt;=$D$34,1,0)</f>
        <v>1</v>
      </c>
      <c r="W52" s="149">
        <f>IF(W$6&gt;=$D$34,1,0)</f>
        <v>1</v>
      </c>
      <c r="X52" s="149">
        <f>IF(X$6&gt;=$D$34,1,0)</f>
        <v>1</v>
      </c>
      <c r="Y52" s="149">
        <f>IF(Y$6&gt;=$D$34,1,0)</f>
        <v>1</v>
      </c>
      <c r="Z52" s="149">
        <f>IF(Z$6&gt;=$D$34,1,0)</f>
        <v>1</v>
      </c>
      <c r="AA52" s="149">
        <f>IF(AA$6&gt;=$D$34,1,0)</f>
        <v>1</v>
      </c>
    </row>
    <row r="53" spans="1:29" s="3" customFormat="1" ht="13.2">
      <c r="A53" s="141" t="s">
        <v>824</v>
      </c>
      <c r="B53" s="141" t="s">
        <v>834</v>
      </c>
      <c r="C53" s="141" t="s">
        <v>88</v>
      </c>
      <c r="D53" s="149">
        <f>IF(D$6&gt;=$D$35,1,0)</f>
        <v>0</v>
      </c>
      <c r="E53" s="149">
        <f>IF(E$6&gt;=$D$35,1,0)</f>
        <v>0</v>
      </c>
      <c r="F53" s="149">
        <f>IF(F$6&gt;=$D$35,1,0)</f>
        <v>0</v>
      </c>
      <c r="G53" s="149">
        <f>IF(G$6&gt;=$D$35,1,0)</f>
        <v>0</v>
      </c>
      <c r="H53" s="149">
        <f>IF(H$6&gt;=$D$35,1,0)</f>
        <v>0</v>
      </c>
      <c r="I53" s="149">
        <f>IF(I$6&gt;=$D$35,1,0)</f>
        <v>0</v>
      </c>
      <c r="J53" s="149">
        <f>IF(J$6&gt;=$D$35,1,0)</f>
        <v>0</v>
      </c>
      <c r="K53" s="149">
        <f>IF(K$6&gt;=$D$35,1,0)</f>
        <v>0</v>
      </c>
      <c r="L53" s="149">
        <f>IF(L$6&gt;=$D$35,1,0)</f>
        <v>1</v>
      </c>
      <c r="M53" s="149">
        <f>IF(M$6&gt;=$D$35,1,0)</f>
        <v>1</v>
      </c>
      <c r="N53" s="149">
        <f>IF(N$6&gt;=$D$35,1,0)</f>
        <v>1</v>
      </c>
      <c r="O53" s="149">
        <f>IF(O$6&gt;=$D$35,1,0)</f>
        <v>1</v>
      </c>
      <c r="P53" s="149">
        <f>IF(P$6&gt;=$D$35,1,0)</f>
        <v>1</v>
      </c>
      <c r="Q53" s="149">
        <f>IF(Q$6&gt;=$D$35,1,0)</f>
        <v>1</v>
      </c>
      <c r="R53" s="149">
        <f>IF(R$6&gt;=$D$35,1,0)</f>
        <v>1</v>
      </c>
      <c r="S53" s="149">
        <f>IF(S$6&gt;=$D$35,1,0)</f>
        <v>1</v>
      </c>
      <c r="T53" s="149">
        <f>IF(T$6&gt;=$D$35,1,0)</f>
        <v>1</v>
      </c>
      <c r="U53" s="149">
        <f>IF(U$6&gt;=$D$35,1,0)</f>
        <v>1</v>
      </c>
      <c r="V53" s="149">
        <f>IF(V$6&gt;=$D$35,1,0)</f>
        <v>1</v>
      </c>
      <c r="W53" s="149">
        <f>IF(W$6&gt;=$D$35,1,0)</f>
        <v>1</v>
      </c>
      <c r="X53" s="149">
        <f>IF(X$6&gt;=$D$35,1,0)</f>
        <v>1</v>
      </c>
      <c r="Y53" s="149">
        <f>IF(Y$6&gt;=$D$35,1,0)</f>
        <v>1</v>
      </c>
      <c r="Z53" s="149">
        <f>IF(Z$6&gt;=$D$35,1,0)</f>
        <v>1</v>
      </c>
      <c r="AA53" s="149">
        <f>IF(AA$6&gt;=$D$35,1,0)</f>
        <v>1</v>
      </c>
    </row>
    <row r="54" spans="1:29" s="3" customFormat="1" ht="13.2">
      <c r="A54" s="141" t="s">
        <v>824</v>
      </c>
      <c r="B54" s="141" t="s">
        <v>835</v>
      </c>
      <c r="C54" s="141" t="s">
        <v>88</v>
      </c>
      <c r="D54" s="149">
        <f>IF($D$38="Deferred",0,IF(D$6&gt;=$D$38,1,0))</f>
        <v>0</v>
      </c>
      <c r="E54" s="149">
        <f>IF($D$38="Deferred",0,IF(E$6&gt;=$D$38,1,0))</f>
        <v>0</v>
      </c>
      <c r="F54" s="149">
        <f>IF($D$38="Deferred",0,IF(F$6&gt;=$D$38,1,0))</f>
        <v>0</v>
      </c>
      <c r="G54" s="149">
        <f>IF($D$38="Deferred",0,IF(G$6&gt;=$D$38,1,0))</f>
        <v>0</v>
      </c>
      <c r="H54" s="149">
        <f>IF($D$38="Deferred",0,IF(H$6&gt;=$D$38,1,0))</f>
        <v>0</v>
      </c>
      <c r="I54" s="149">
        <f>IF($D$38="Deferred",0,IF(I$6&gt;=$D$38,1,0))</f>
        <v>0</v>
      </c>
      <c r="J54" s="149">
        <f>IF($D$38="Deferred",0,IF(J$6&gt;=$D$38,1,0))</f>
        <v>0</v>
      </c>
      <c r="K54" s="149">
        <f>IF($D$38="Deferred",0,IF(K$6&gt;=$D$38,1,0))</f>
        <v>0</v>
      </c>
      <c r="L54" s="149">
        <f>IF($D$38="Deferred",0,IF(L$6&gt;=$D$38,1,0))</f>
        <v>0</v>
      </c>
      <c r="M54" s="149">
        <f>IF($D$38="Deferred",0,IF(M$6&gt;=$D$38,1,0))</f>
        <v>0</v>
      </c>
      <c r="N54" s="149">
        <f>IF($D$38="Deferred",0,IF(N$6&gt;=$D$38,1,0))</f>
        <v>0</v>
      </c>
      <c r="O54" s="149">
        <f>IF($D$38="Deferred",0,IF(O$6&gt;=$D$38,1,0))</f>
        <v>0</v>
      </c>
      <c r="P54" s="149">
        <f>IF($D$38="Deferred",0,IF(P$6&gt;=$D$38,1,0))</f>
        <v>0</v>
      </c>
      <c r="Q54" s="149">
        <f>IF($D$38="Deferred",0,IF(Q$6&gt;=$D$38,1,0))</f>
        <v>0</v>
      </c>
      <c r="R54" s="149">
        <f>IF($D$38="Deferred",0,IF(R$6&gt;=$D$38,1,0))</f>
        <v>0</v>
      </c>
      <c r="S54" s="149">
        <f>IF($D$38="Deferred",0,IF(S$6&gt;=$D$38,1,0))</f>
        <v>1</v>
      </c>
      <c r="T54" s="149">
        <f>IF($D$38="Deferred",0,IF(T$6&gt;=$D$38,1,0))</f>
        <v>1</v>
      </c>
      <c r="U54" s="149">
        <f>IF($D$38="Deferred",0,IF(U$6&gt;=$D$38,1,0))</f>
        <v>1</v>
      </c>
      <c r="V54" s="149">
        <f>IF($D$38="Deferred",0,IF(V$6&gt;=$D$38,1,0))</f>
        <v>1</v>
      </c>
      <c r="W54" s="149">
        <f>IF($D$38="Deferred",0,IF(W$6&gt;=$D$38,1,0))</f>
        <v>1</v>
      </c>
      <c r="X54" s="149">
        <f>IF($D$38="Deferred",0,IF(X$6&gt;=$D$38,1,0))</f>
        <v>1</v>
      </c>
      <c r="Y54" s="149">
        <f>IF($D$38="Deferred",0,IF(Y$6&gt;=$D$38,1,0))</f>
        <v>1</v>
      </c>
      <c r="Z54" s="149">
        <f>IF($D$38="Deferred",0,IF(Z$6&gt;=$D$38,1,0))</f>
        <v>1</v>
      </c>
      <c r="AA54" s="149">
        <f>IF($D$38="Deferred",0,IF(AA$6&gt;=$D$38,1,0))</f>
        <v>1</v>
      </c>
    </row>
    <row r="55" spans="1:29" s="3" customFormat="1" ht="13.2">
      <c r="A55" s="141" t="s">
        <v>824</v>
      </c>
      <c r="B55" s="141" t="s">
        <v>836</v>
      </c>
      <c r="C55" s="141" t="s">
        <v>88</v>
      </c>
      <c r="D55" s="149">
        <f>IF(D$6&gt;=$D$39,1,0)</f>
        <v>0</v>
      </c>
      <c r="E55" s="149">
        <f>IF(E$6&gt;=$D$39,1,0)</f>
        <v>0</v>
      </c>
      <c r="F55" s="149">
        <f>IF(F$6&gt;=$D$39,1,0)</f>
        <v>0</v>
      </c>
      <c r="G55" s="149">
        <f>IF(G$6&gt;=$D$39,1,0)</f>
        <v>0</v>
      </c>
      <c r="H55" s="149">
        <f>IF(H$6&gt;=$D$39,1,0)</f>
        <v>0</v>
      </c>
      <c r="I55" s="149">
        <f>IF(I$6&gt;=$D$39,1,0)</f>
        <v>0</v>
      </c>
      <c r="J55" s="149">
        <f>IF(J$6&gt;=$D$39,1,0)</f>
        <v>0</v>
      </c>
      <c r="K55" s="149">
        <f>IF(K$6&gt;=$D$39,1,0)</f>
        <v>0</v>
      </c>
      <c r="L55" s="149">
        <f>IF(L$6&gt;=$D$39,1,0)</f>
        <v>0</v>
      </c>
      <c r="M55" s="149">
        <f>IF(M$6&gt;=$D$39,1,0)</f>
        <v>0</v>
      </c>
      <c r="N55" s="149">
        <f>IF(N$6&gt;=$D$39,1,0)</f>
        <v>0</v>
      </c>
      <c r="O55" s="149">
        <f>IF(O$6&gt;=$D$39,1,0)</f>
        <v>0</v>
      </c>
      <c r="P55" s="149">
        <f>IF(P$6&gt;=$D$39,1,0)</f>
        <v>0</v>
      </c>
      <c r="Q55" s="149">
        <f>IF(Q$6&gt;=$D$39,1,0)</f>
        <v>1</v>
      </c>
      <c r="R55" s="149">
        <f>IF(R$6&gt;=$D$39,1,0)</f>
        <v>1</v>
      </c>
      <c r="S55" s="149">
        <f>IF(S$6&gt;=$D$39,1,0)</f>
        <v>1</v>
      </c>
      <c r="T55" s="149">
        <f>IF(T$6&gt;=$D$39,1,0)</f>
        <v>1</v>
      </c>
      <c r="U55" s="149">
        <f>IF(U$6&gt;=$D$39,1,0)</f>
        <v>1</v>
      </c>
      <c r="V55" s="149">
        <f>IF(V$6&gt;=$D$39,1,0)</f>
        <v>1</v>
      </c>
      <c r="W55" s="149">
        <f>IF(W$6&gt;=$D$39,1,0)</f>
        <v>1</v>
      </c>
      <c r="X55" s="149">
        <f>IF(X$6&gt;=$D$39,1,0)</f>
        <v>1</v>
      </c>
      <c r="Y55" s="149">
        <f>IF(Y$6&gt;=$D$39,1,0)</f>
        <v>1</v>
      </c>
      <c r="Z55" s="149">
        <f>IF(Z$6&gt;=$D$39,1,0)</f>
        <v>1</v>
      </c>
      <c r="AA55" s="149">
        <f>IF(AA$6&gt;=$D$39,1,0)</f>
        <v>1</v>
      </c>
    </row>
    <row r="56" spans="1:29" s="3" customFormat="1" ht="13.2">
      <c r="A56" s="141" t="s">
        <v>824</v>
      </c>
      <c r="B56" s="141" t="s">
        <v>837</v>
      </c>
      <c r="C56" s="141" t="s">
        <v>88</v>
      </c>
      <c r="D56" s="149">
        <f>IF(D$6&gt;=$D$41,1,0)</f>
        <v>0</v>
      </c>
      <c r="E56" s="149">
        <f>IF(E$6&gt;=$D$41,1,0)</f>
        <v>0</v>
      </c>
      <c r="F56" s="149">
        <f>IF(F$6&gt;=$D$41,1,0)</f>
        <v>0</v>
      </c>
      <c r="G56" s="149">
        <f>IF(G$6&gt;=$D$41,1,0)</f>
        <v>0</v>
      </c>
      <c r="H56" s="149">
        <f>IF(H$6&gt;=$D$41,1,0)</f>
        <v>0</v>
      </c>
      <c r="I56" s="149">
        <f>IF(I$6&gt;=$D$41,1,0)</f>
        <v>0</v>
      </c>
      <c r="J56" s="149">
        <f>IF(J$6&gt;=$D$41,1,0)</f>
        <v>0</v>
      </c>
      <c r="K56" s="149">
        <f>IF(K$6&gt;=$D$41,1,0)</f>
        <v>0</v>
      </c>
      <c r="L56" s="149">
        <f>IF(L$6&gt;=$D$41,1,0)</f>
        <v>0</v>
      </c>
      <c r="M56" s="149">
        <f>IF(M$6&gt;=$D$41,1,0)</f>
        <v>0</v>
      </c>
      <c r="N56" s="149">
        <f>IF(N$6&gt;=$D$41,1,0)</f>
        <v>0</v>
      </c>
      <c r="O56" s="149">
        <f>IF(O$6&gt;=$D$41,1,0)</f>
        <v>0</v>
      </c>
      <c r="P56" s="149">
        <f>IF(P$6&gt;=$D$41,1,0)</f>
        <v>0</v>
      </c>
      <c r="Q56" s="149">
        <f>IF(Q$6&gt;=$D$41,1,0)</f>
        <v>0</v>
      </c>
      <c r="R56" s="149">
        <f>IF(R$6&gt;=$D$41,1,0)</f>
        <v>0</v>
      </c>
      <c r="S56" s="149">
        <f>IF(S$6&gt;=$D$41,1,0)</f>
        <v>0</v>
      </c>
      <c r="T56" s="149">
        <f>IF(T$6&gt;=$D$41,1,0)</f>
        <v>0</v>
      </c>
      <c r="U56" s="149">
        <f>IF(U$6&gt;=$D$41,1,0)</f>
        <v>0</v>
      </c>
      <c r="V56" s="149">
        <f>IF(V$6&gt;=$D$41,1,0)</f>
        <v>0</v>
      </c>
      <c r="W56" s="149">
        <f>IF(W$6&gt;=$D$41,1,0)</f>
        <v>1</v>
      </c>
      <c r="X56" s="149">
        <f>IF(X$6&gt;=$D$41,1,0)</f>
        <v>1</v>
      </c>
      <c r="Y56" s="149">
        <f>IF(Y$6&gt;=$D$41,1,0)</f>
        <v>1</v>
      </c>
      <c r="Z56" s="149">
        <f>IF(Z$6&gt;=$D$41,1,0)</f>
        <v>1</v>
      </c>
      <c r="AA56" s="149">
        <f>IF(AA$6&gt;=$D$41,1,0)</f>
        <v>1</v>
      </c>
    </row>
    <row r="57" spans="1:29" s="3" customFormat="1" ht="13.2"/>
    <row r="58" spans="1:29" s="3" customFormat="1" ht="13.2">
      <c r="A58" s="105" t="s">
        <v>838</v>
      </c>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row>
    <row r="59" spans="1:29" s="3" customFormat="1" ht="13.2">
      <c r="A59" s="141" t="s">
        <v>839</v>
      </c>
      <c r="B59" s="141" t="s">
        <v>840</v>
      </c>
      <c r="C59" s="141" t="s">
        <v>88</v>
      </c>
      <c r="D59" s="148">
        <f>SUM(D45,D46,D49,D51,D52)</f>
        <v>1</v>
      </c>
      <c r="E59" s="148">
        <f t="shared" ref="E59:AA59" si="2">SUM(E45,E46,E49,E51,E52)</f>
        <v>1</v>
      </c>
      <c r="F59" s="148">
        <f t="shared" si="2"/>
        <v>2</v>
      </c>
      <c r="G59" s="148">
        <f t="shared" si="2"/>
        <v>2</v>
      </c>
      <c r="H59" s="148">
        <f t="shared" si="2"/>
        <v>2</v>
      </c>
      <c r="I59" s="148">
        <f t="shared" si="2"/>
        <v>3</v>
      </c>
      <c r="J59" s="148">
        <f t="shared" si="2"/>
        <v>3</v>
      </c>
      <c r="K59" s="148">
        <f t="shared" si="2"/>
        <v>3</v>
      </c>
      <c r="L59" s="148">
        <f t="shared" si="2"/>
        <v>3</v>
      </c>
      <c r="M59" s="148">
        <f t="shared" si="2"/>
        <v>4</v>
      </c>
      <c r="N59" s="148">
        <f t="shared" si="2"/>
        <v>4</v>
      </c>
      <c r="O59" s="148">
        <f t="shared" si="2"/>
        <v>5</v>
      </c>
      <c r="P59" s="148">
        <f t="shared" si="2"/>
        <v>5</v>
      </c>
      <c r="Q59" s="148">
        <f t="shared" si="2"/>
        <v>5</v>
      </c>
      <c r="R59" s="148">
        <f t="shared" si="2"/>
        <v>5</v>
      </c>
      <c r="S59" s="148">
        <f t="shared" si="2"/>
        <v>5</v>
      </c>
      <c r="T59" s="148">
        <f t="shared" si="2"/>
        <v>5</v>
      </c>
      <c r="U59" s="148">
        <f t="shared" si="2"/>
        <v>5</v>
      </c>
      <c r="V59" s="148">
        <f t="shared" si="2"/>
        <v>5</v>
      </c>
      <c r="W59" s="148">
        <f t="shared" si="2"/>
        <v>5</v>
      </c>
      <c r="X59" s="148">
        <f t="shared" si="2"/>
        <v>5</v>
      </c>
      <c r="Y59" s="148">
        <f t="shared" si="2"/>
        <v>5</v>
      </c>
      <c r="Z59" s="148">
        <f t="shared" si="2"/>
        <v>5</v>
      </c>
      <c r="AA59" s="148">
        <f t="shared" si="2"/>
        <v>5</v>
      </c>
    </row>
    <row r="60" spans="1:29" s="3" customFormat="1" ht="13.2">
      <c r="A60" s="141" t="s">
        <v>839</v>
      </c>
      <c r="B60" s="141" t="s">
        <v>841</v>
      </c>
      <c r="C60" s="141" t="s">
        <v>88</v>
      </c>
      <c r="D60" s="148">
        <f>SUM(D47,D48,D53,D55)</f>
        <v>0</v>
      </c>
      <c r="E60" s="148">
        <f t="shared" ref="E60:AA60" si="3">SUM(E47,E48,E53,E55)</f>
        <v>0</v>
      </c>
      <c r="F60" s="148">
        <f t="shared" si="3"/>
        <v>0</v>
      </c>
      <c r="G60" s="148">
        <f t="shared" si="3"/>
        <v>1</v>
      </c>
      <c r="H60" s="148">
        <f t="shared" si="3"/>
        <v>2</v>
      </c>
      <c r="I60" s="148">
        <f t="shared" si="3"/>
        <v>2</v>
      </c>
      <c r="J60" s="148">
        <f t="shared" si="3"/>
        <v>2</v>
      </c>
      <c r="K60" s="148">
        <f t="shared" si="3"/>
        <v>2</v>
      </c>
      <c r="L60" s="148">
        <f t="shared" si="3"/>
        <v>3</v>
      </c>
      <c r="M60" s="148">
        <f t="shared" si="3"/>
        <v>3</v>
      </c>
      <c r="N60" s="148">
        <f t="shared" si="3"/>
        <v>3</v>
      </c>
      <c r="O60" s="148">
        <f t="shared" si="3"/>
        <v>3</v>
      </c>
      <c r="P60" s="148">
        <f t="shared" si="3"/>
        <v>3</v>
      </c>
      <c r="Q60" s="148">
        <f t="shared" si="3"/>
        <v>4</v>
      </c>
      <c r="R60" s="148">
        <f t="shared" si="3"/>
        <v>4</v>
      </c>
      <c r="S60" s="148">
        <f t="shared" si="3"/>
        <v>4</v>
      </c>
      <c r="T60" s="148">
        <f t="shared" si="3"/>
        <v>4</v>
      </c>
      <c r="U60" s="148">
        <f t="shared" si="3"/>
        <v>4</v>
      </c>
      <c r="V60" s="148">
        <f t="shared" si="3"/>
        <v>4</v>
      </c>
      <c r="W60" s="148">
        <f t="shared" si="3"/>
        <v>4</v>
      </c>
      <c r="X60" s="148">
        <f t="shared" si="3"/>
        <v>4</v>
      </c>
      <c r="Y60" s="148">
        <f t="shared" si="3"/>
        <v>4</v>
      </c>
      <c r="Z60" s="148">
        <f t="shared" si="3"/>
        <v>4</v>
      </c>
      <c r="AA60" s="148">
        <f t="shared" si="3"/>
        <v>4</v>
      </c>
    </row>
    <row r="61" spans="1:29" s="3" customFormat="1" ht="13.2">
      <c r="A61" s="141" t="s">
        <v>839</v>
      </c>
      <c r="B61" s="141" t="s">
        <v>842</v>
      </c>
      <c r="C61" s="141" t="s">
        <v>88</v>
      </c>
      <c r="D61" s="148">
        <f>SUM(D44,D56)</f>
        <v>1</v>
      </c>
      <c r="E61" s="148">
        <f t="shared" ref="E61:AA61" si="4">SUM(E44,E56)</f>
        <v>1</v>
      </c>
      <c r="F61" s="148">
        <f t="shared" si="4"/>
        <v>1</v>
      </c>
      <c r="G61" s="148">
        <f t="shared" si="4"/>
        <v>1</v>
      </c>
      <c r="H61" s="148">
        <f t="shared" si="4"/>
        <v>1</v>
      </c>
      <c r="I61" s="148">
        <f t="shared" si="4"/>
        <v>1</v>
      </c>
      <c r="J61" s="148">
        <f t="shared" si="4"/>
        <v>1</v>
      </c>
      <c r="K61" s="148">
        <f t="shared" si="4"/>
        <v>1</v>
      </c>
      <c r="L61" s="148">
        <f t="shared" si="4"/>
        <v>1</v>
      </c>
      <c r="M61" s="148">
        <f t="shared" si="4"/>
        <v>1</v>
      </c>
      <c r="N61" s="148">
        <f t="shared" si="4"/>
        <v>1</v>
      </c>
      <c r="O61" s="148">
        <f t="shared" si="4"/>
        <v>1</v>
      </c>
      <c r="P61" s="148">
        <f t="shared" si="4"/>
        <v>1</v>
      </c>
      <c r="Q61" s="148">
        <f t="shared" si="4"/>
        <v>1</v>
      </c>
      <c r="R61" s="148">
        <f t="shared" si="4"/>
        <v>1</v>
      </c>
      <c r="S61" s="148">
        <f t="shared" si="4"/>
        <v>1</v>
      </c>
      <c r="T61" s="148">
        <f t="shared" si="4"/>
        <v>1</v>
      </c>
      <c r="U61" s="148">
        <f t="shared" si="4"/>
        <v>1</v>
      </c>
      <c r="V61" s="148">
        <f t="shared" si="4"/>
        <v>1</v>
      </c>
      <c r="W61" s="148">
        <f t="shared" si="4"/>
        <v>2</v>
      </c>
      <c r="X61" s="148">
        <f t="shared" si="4"/>
        <v>2</v>
      </c>
      <c r="Y61" s="148">
        <f t="shared" si="4"/>
        <v>2</v>
      </c>
      <c r="Z61" s="148">
        <f t="shared" si="4"/>
        <v>2</v>
      </c>
      <c r="AA61" s="148">
        <f t="shared" si="4"/>
        <v>2</v>
      </c>
    </row>
    <row r="62" spans="1:29" s="3" customFormat="1" ht="13.2">
      <c r="A62" s="141" t="s">
        <v>839</v>
      </c>
      <c r="B62" s="141" t="s">
        <v>843</v>
      </c>
      <c r="C62" s="141" t="s">
        <v>88</v>
      </c>
      <c r="D62" s="148">
        <f>SUM(D50,D54)</f>
        <v>0</v>
      </c>
      <c r="E62" s="148">
        <f t="shared" ref="E62:AA62" si="5">SUM(E50,E54)</f>
        <v>0</v>
      </c>
      <c r="F62" s="148">
        <f t="shared" si="5"/>
        <v>0</v>
      </c>
      <c r="G62" s="148">
        <f t="shared" si="5"/>
        <v>0</v>
      </c>
      <c r="H62" s="148">
        <f t="shared" si="5"/>
        <v>0</v>
      </c>
      <c r="I62" s="148">
        <f t="shared" si="5"/>
        <v>0</v>
      </c>
      <c r="J62" s="148">
        <f t="shared" si="5"/>
        <v>0</v>
      </c>
      <c r="K62" s="148">
        <f t="shared" si="5"/>
        <v>1</v>
      </c>
      <c r="L62" s="148">
        <f t="shared" si="5"/>
        <v>1</v>
      </c>
      <c r="M62" s="148">
        <f t="shared" si="5"/>
        <v>1</v>
      </c>
      <c r="N62" s="148">
        <f t="shared" si="5"/>
        <v>1</v>
      </c>
      <c r="O62" s="148">
        <f t="shared" si="5"/>
        <v>1</v>
      </c>
      <c r="P62" s="148">
        <f t="shared" si="5"/>
        <v>1</v>
      </c>
      <c r="Q62" s="148">
        <f t="shared" si="5"/>
        <v>1</v>
      </c>
      <c r="R62" s="148">
        <f t="shared" si="5"/>
        <v>1</v>
      </c>
      <c r="S62" s="148">
        <f t="shared" si="5"/>
        <v>2</v>
      </c>
      <c r="T62" s="148">
        <f t="shared" si="5"/>
        <v>2</v>
      </c>
      <c r="U62" s="148">
        <f t="shared" si="5"/>
        <v>2</v>
      </c>
      <c r="V62" s="148">
        <f t="shared" si="5"/>
        <v>2</v>
      </c>
      <c r="W62" s="148">
        <f t="shared" si="5"/>
        <v>2</v>
      </c>
      <c r="X62" s="148">
        <f t="shared" si="5"/>
        <v>2</v>
      </c>
      <c r="Y62" s="148">
        <f t="shared" si="5"/>
        <v>2</v>
      </c>
      <c r="Z62" s="148">
        <f t="shared" si="5"/>
        <v>2</v>
      </c>
      <c r="AA62" s="148">
        <f t="shared" si="5"/>
        <v>2</v>
      </c>
    </row>
    <row r="63" spans="1:29" s="3" customFormat="1" ht="13.2">
      <c r="A63" s="141" t="s">
        <v>839</v>
      </c>
      <c r="B63" s="141" t="s">
        <v>844</v>
      </c>
      <c r="C63" s="141" t="s">
        <v>88</v>
      </c>
      <c r="D63" s="148">
        <f>SUM(D59:D62)</f>
        <v>2</v>
      </c>
      <c r="E63" s="148">
        <f t="shared" ref="E63:AA63" si="6">SUM(E59:E62)</f>
        <v>2</v>
      </c>
      <c r="F63" s="148">
        <f t="shared" si="6"/>
        <v>3</v>
      </c>
      <c r="G63" s="148">
        <f t="shared" si="6"/>
        <v>4</v>
      </c>
      <c r="H63" s="148">
        <f t="shared" si="6"/>
        <v>5</v>
      </c>
      <c r="I63" s="148">
        <f t="shared" si="6"/>
        <v>6</v>
      </c>
      <c r="J63" s="148">
        <f t="shared" si="6"/>
        <v>6</v>
      </c>
      <c r="K63" s="148">
        <f t="shared" si="6"/>
        <v>7</v>
      </c>
      <c r="L63" s="148">
        <f t="shared" si="6"/>
        <v>8</v>
      </c>
      <c r="M63" s="148">
        <f t="shared" si="6"/>
        <v>9</v>
      </c>
      <c r="N63" s="148">
        <f t="shared" si="6"/>
        <v>9</v>
      </c>
      <c r="O63" s="148">
        <f t="shared" si="6"/>
        <v>10</v>
      </c>
      <c r="P63" s="148">
        <f t="shared" si="6"/>
        <v>10</v>
      </c>
      <c r="Q63" s="148">
        <f t="shared" si="6"/>
        <v>11</v>
      </c>
      <c r="R63" s="148">
        <f t="shared" si="6"/>
        <v>11</v>
      </c>
      <c r="S63" s="148">
        <f t="shared" si="6"/>
        <v>12</v>
      </c>
      <c r="T63" s="148">
        <f t="shared" si="6"/>
        <v>12</v>
      </c>
      <c r="U63" s="148">
        <f t="shared" si="6"/>
        <v>12</v>
      </c>
      <c r="V63" s="148">
        <f t="shared" si="6"/>
        <v>12</v>
      </c>
      <c r="W63" s="148">
        <f t="shared" si="6"/>
        <v>13</v>
      </c>
      <c r="X63" s="148">
        <f t="shared" si="6"/>
        <v>13</v>
      </c>
      <c r="Y63" s="148">
        <f t="shared" si="6"/>
        <v>13</v>
      </c>
      <c r="Z63" s="148">
        <f t="shared" si="6"/>
        <v>13</v>
      </c>
      <c r="AA63" s="148">
        <f t="shared" si="6"/>
        <v>13</v>
      </c>
    </row>
    <row r="64" spans="1:29" s="3" customFormat="1" ht="13.2">
      <c r="A64" s="141" t="s">
        <v>839</v>
      </c>
      <c r="B64" s="141" t="s">
        <v>845</v>
      </c>
      <c r="C64" s="141" t="s">
        <v>88</v>
      </c>
      <c r="D64" s="150">
        <f>SUM(D44:D56)</f>
        <v>2</v>
      </c>
      <c r="E64" s="150">
        <f t="shared" ref="E64:AA64" si="7">SUM(E44:E56)</f>
        <v>2</v>
      </c>
      <c r="F64" s="150">
        <f t="shared" si="7"/>
        <v>3</v>
      </c>
      <c r="G64" s="150">
        <f t="shared" si="7"/>
        <v>4</v>
      </c>
      <c r="H64" s="150">
        <f t="shared" si="7"/>
        <v>5</v>
      </c>
      <c r="I64" s="150">
        <f t="shared" si="7"/>
        <v>6</v>
      </c>
      <c r="J64" s="150">
        <f t="shared" si="7"/>
        <v>6</v>
      </c>
      <c r="K64" s="150">
        <f t="shared" si="7"/>
        <v>7</v>
      </c>
      <c r="L64" s="150">
        <f t="shared" si="7"/>
        <v>8</v>
      </c>
      <c r="M64" s="150">
        <f t="shared" si="7"/>
        <v>9</v>
      </c>
      <c r="N64" s="150">
        <f t="shared" si="7"/>
        <v>9</v>
      </c>
      <c r="O64" s="150">
        <f t="shared" si="7"/>
        <v>10</v>
      </c>
      <c r="P64" s="150">
        <f t="shared" si="7"/>
        <v>10</v>
      </c>
      <c r="Q64" s="150">
        <f t="shared" si="7"/>
        <v>11</v>
      </c>
      <c r="R64" s="150">
        <f t="shared" si="7"/>
        <v>11</v>
      </c>
      <c r="S64" s="150">
        <f t="shared" si="7"/>
        <v>12</v>
      </c>
      <c r="T64" s="150">
        <f t="shared" si="7"/>
        <v>12</v>
      </c>
      <c r="U64" s="150">
        <f t="shared" si="7"/>
        <v>12</v>
      </c>
      <c r="V64" s="150">
        <f t="shared" si="7"/>
        <v>12</v>
      </c>
      <c r="W64" s="150">
        <f t="shared" si="7"/>
        <v>13</v>
      </c>
      <c r="X64" s="150">
        <f t="shared" si="7"/>
        <v>13</v>
      </c>
      <c r="Y64" s="150">
        <f t="shared" si="7"/>
        <v>13</v>
      </c>
      <c r="Z64" s="150">
        <f t="shared" si="7"/>
        <v>13</v>
      </c>
      <c r="AA64" s="150">
        <f t="shared" si="7"/>
        <v>13</v>
      </c>
    </row>
    <row r="65" spans="1:29" s="3" customFormat="1" ht="13.2"/>
    <row r="66" spans="1:29" s="3" customFormat="1" ht="13.2">
      <c r="A66" s="105" t="s">
        <v>846</v>
      </c>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row>
    <row r="67" spans="1:29" s="3" customFormat="1" ht="13.2">
      <c r="A67" s="141" t="s">
        <v>7</v>
      </c>
      <c r="B67" s="141" t="s">
        <v>586</v>
      </c>
      <c r="C67" s="141" t="s">
        <v>64</v>
      </c>
      <c r="D67" s="151">
        <f>D44*INDEX('1. Assumptions'!$G:$G,MATCH($B67,'1. Assumptions'!$B:$B,0))/12</f>
        <v>10000</v>
      </c>
      <c r="E67" s="151">
        <f>E44*INDEX('1. Assumptions'!$G:$G,MATCH($B67,'1. Assumptions'!$B:$B,0))/12</f>
        <v>10000</v>
      </c>
      <c r="F67" s="151">
        <f>F44*INDEX('1. Assumptions'!$G:$G,MATCH($B67,'1. Assumptions'!$B:$B,0))/12</f>
        <v>10000</v>
      </c>
      <c r="G67" s="151">
        <f>G44*INDEX('1. Assumptions'!$G:$G,MATCH($B67,'1. Assumptions'!$B:$B,0))/12</f>
        <v>10000</v>
      </c>
      <c r="H67" s="151">
        <f>H44*INDEX('1. Assumptions'!$G:$G,MATCH($B67,'1. Assumptions'!$B:$B,0))/12</f>
        <v>10000</v>
      </c>
      <c r="I67" s="151">
        <f>I44*INDEX('1. Assumptions'!$G:$G,MATCH($B67,'1. Assumptions'!$B:$B,0))/12</f>
        <v>10000</v>
      </c>
      <c r="J67" s="151">
        <f>J44*INDEX('1. Assumptions'!$G:$G,MATCH($B67,'1. Assumptions'!$B:$B,0))/12</f>
        <v>10000</v>
      </c>
      <c r="K67" s="151">
        <f>K44*INDEX('1. Assumptions'!$G:$G,MATCH($B67,'1. Assumptions'!$B:$B,0))/12</f>
        <v>10000</v>
      </c>
      <c r="L67" s="151">
        <f>L44*INDEX('1. Assumptions'!$G:$G,MATCH($B67,'1. Assumptions'!$B:$B,0))/12</f>
        <v>10000</v>
      </c>
      <c r="M67" s="151">
        <f>M44*INDEX('1. Assumptions'!$G:$G,MATCH($B67,'1. Assumptions'!$B:$B,0))/12</f>
        <v>10000</v>
      </c>
      <c r="N67" s="151">
        <f>N44*INDEX('1. Assumptions'!$G:$G,MATCH($B67,'1. Assumptions'!$B:$B,0))/12</f>
        <v>10000</v>
      </c>
      <c r="O67" s="151">
        <f>O44*INDEX('1. Assumptions'!$G:$G,MATCH($B67,'1. Assumptions'!$B:$B,0))/12</f>
        <v>10000</v>
      </c>
      <c r="P67" s="151">
        <f>P44*INDEX('1. Assumptions'!$G:$G,MATCH($B67,'1. Assumptions'!$B:$B,0))/12</f>
        <v>10000</v>
      </c>
      <c r="Q67" s="151">
        <f>Q44*INDEX('1. Assumptions'!$G:$G,MATCH($B67,'1. Assumptions'!$B:$B,0))/12</f>
        <v>10000</v>
      </c>
      <c r="R67" s="151">
        <f>R44*INDEX('1. Assumptions'!$G:$G,MATCH($B67,'1. Assumptions'!$B:$B,0))/12</f>
        <v>10000</v>
      </c>
      <c r="S67" s="151">
        <f>S44*INDEX('1. Assumptions'!$G:$G,MATCH($B67,'1. Assumptions'!$B:$B,0))/12</f>
        <v>10000</v>
      </c>
      <c r="T67" s="151">
        <f>T44*INDEX('1. Assumptions'!$G:$G,MATCH($B67,'1. Assumptions'!$B:$B,0))/12</f>
        <v>10000</v>
      </c>
      <c r="U67" s="151">
        <f>U44*INDEX('1. Assumptions'!$G:$G,MATCH($B67,'1. Assumptions'!$B:$B,0))/12</f>
        <v>10000</v>
      </c>
      <c r="V67" s="151">
        <f>V44*INDEX('1. Assumptions'!$G:$G,MATCH($B67,'1. Assumptions'!$B:$B,0))/12</f>
        <v>10000</v>
      </c>
      <c r="W67" s="151">
        <f>W44*INDEX('1. Assumptions'!$G:$G,MATCH($B67,'1. Assumptions'!$B:$B,0))/12</f>
        <v>10000</v>
      </c>
      <c r="X67" s="151">
        <f>X44*INDEX('1. Assumptions'!$G:$G,MATCH($B67,'1. Assumptions'!$B:$B,0))/12</f>
        <v>10000</v>
      </c>
      <c r="Y67" s="151">
        <f>Y44*INDEX('1. Assumptions'!$G:$G,MATCH($B67,'1. Assumptions'!$B:$B,0))/12</f>
        <v>10000</v>
      </c>
      <c r="Z67" s="151">
        <f>Z44*INDEX('1. Assumptions'!$G:$G,MATCH($B67,'1. Assumptions'!$B:$B,0))/12</f>
        <v>10000</v>
      </c>
      <c r="AA67" s="151">
        <f>AA44*INDEX('1. Assumptions'!$G:$G,MATCH($B67,'1. Assumptions'!$B:$B,0))/12</f>
        <v>10000</v>
      </c>
    </row>
    <row r="68" spans="1:29" s="3" customFormat="1" ht="13.2">
      <c r="A68" s="141" t="s">
        <v>7</v>
      </c>
      <c r="B68" s="141" t="s">
        <v>588</v>
      </c>
      <c r="C68" s="141" t="s">
        <v>64</v>
      </c>
      <c r="D68" s="151">
        <f>D45*INDEX('1. Assumptions'!$G:$G,MATCH($B68,'1. Assumptions'!$B:$B,0))/12</f>
        <v>10833.333333333334</v>
      </c>
      <c r="E68" s="151">
        <f>E45*INDEX('1. Assumptions'!$G:$G,MATCH($B68,'1. Assumptions'!$B:$B,0))/12</f>
        <v>10833.333333333334</v>
      </c>
      <c r="F68" s="151">
        <f>F45*INDEX('1. Assumptions'!$G:$G,MATCH($B68,'1. Assumptions'!$B:$B,0))/12</f>
        <v>10833.333333333334</v>
      </c>
      <c r="G68" s="151">
        <f>G45*INDEX('1. Assumptions'!$G:$G,MATCH($B68,'1. Assumptions'!$B:$B,0))/12</f>
        <v>10833.333333333334</v>
      </c>
      <c r="H68" s="151">
        <f>H45*INDEX('1. Assumptions'!$G:$G,MATCH($B68,'1. Assumptions'!$B:$B,0))/12</f>
        <v>10833.333333333334</v>
      </c>
      <c r="I68" s="151">
        <f>I45*INDEX('1. Assumptions'!$G:$G,MATCH($B68,'1. Assumptions'!$B:$B,0))/12</f>
        <v>10833.333333333334</v>
      </c>
      <c r="J68" s="151">
        <f>J45*INDEX('1. Assumptions'!$G:$G,MATCH($B68,'1. Assumptions'!$B:$B,0))/12</f>
        <v>10833.333333333334</v>
      </c>
      <c r="K68" s="151">
        <f>K45*INDEX('1. Assumptions'!$G:$G,MATCH($B68,'1. Assumptions'!$B:$B,0))/12</f>
        <v>10833.333333333334</v>
      </c>
      <c r="L68" s="151">
        <f>L45*INDEX('1. Assumptions'!$G:$G,MATCH($B68,'1. Assumptions'!$B:$B,0))/12</f>
        <v>10833.333333333334</v>
      </c>
      <c r="M68" s="151">
        <f>M45*INDEX('1. Assumptions'!$G:$G,MATCH($B68,'1. Assumptions'!$B:$B,0))/12</f>
        <v>10833.333333333334</v>
      </c>
      <c r="N68" s="151">
        <f>N45*INDEX('1. Assumptions'!$G:$G,MATCH($B68,'1. Assumptions'!$B:$B,0))/12</f>
        <v>10833.333333333334</v>
      </c>
      <c r="O68" s="151">
        <f>O45*INDEX('1. Assumptions'!$G:$G,MATCH($B68,'1. Assumptions'!$B:$B,0))/12</f>
        <v>10833.333333333334</v>
      </c>
      <c r="P68" s="151">
        <f>P45*INDEX('1. Assumptions'!$G:$G,MATCH($B68,'1. Assumptions'!$B:$B,0))/12</f>
        <v>10833.333333333334</v>
      </c>
      <c r="Q68" s="151">
        <f>Q45*INDEX('1. Assumptions'!$G:$G,MATCH($B68,'1. Assumptions'!$B:$B,0))/12</f>
        <v>10833.333333333334</v>
      </c>
      <c r="R68" s="151">
        <f>R45*INDEX('1. Assumptions'!$G:$G,MATCH($B68,'1. Assumptions'!$B:$B,0))/12</f>
        <v>10833.333333333334</v>
      </c>
      <c r="S68" s="151">
        <f>S45*INDEX('1. Assumptions'!$G:$G,MATCH($B68,'1. Assumptions'!$B:$B,0))/12</f>
        <v>10833.333333333334</v>
      </c>
      <c r="T68" s="151">
        <f>T45*INDEX('1. Assumptions'!$G:$G,MATCH($B68,'1. Assumptions'!$B:$B,0))/12</f>
        <v>10833.333333333334</v>
      </c>
      <c r="U68" s="151">
        <f>U45*INDEX('1. Assumptions'!$G:$G,MATCH($B68,'1. Assumptions'!$B:$B,0))/12</f>
        <v>10833.333333333334</v>
      </c>
      <c r="V68" s="151">
        <f>V45*INDEX('1. Assumptions'!$G:$G,MATCH($B68,'1. Assumptions'!$B:$B,0))/12</f>
        <v>10833.333333333334</v>
      </c>
      <c r="W68" s="151">
        <f>W45*INDEX('1. Assumptions'!$G:$G,MATCH($B68,'1. Assumptions'!$B:$B,0))/12</f>
        <v>10833.333333333334</v>
      </c>
      <c r="X68" s="151">
        <f>X45*INDEX('1. Assumptions'!$G:$G,MATCH($B68,'1. Assumptions'!$B:$B,0))/12</f>
        <v>10833.333333333334</v>
      </c>
      <c r="Y68" s="151">
        <f>Y45*INDEX('1. Assumptions'!$G:$G,MATCH($B68,'1. Assumptions'!$B:$B,0))/12</f>
        <v>10833.333333333334</v>
      </c>
      <c r="Z68" s="151">
        <f>Z45*INDEX('1. Assumptions'!$G:$G,MATCH($B68,'1. Assumptions'!$B:$B,0))/12</f>
        <v>10833.333333333334</v>
      </c>
      <c r="AA68" s="151">
        <f>AA45*INDEX('1. Assumptions'!$G:$G,MATCH($B68,'1. Assumptions'!$B:$B,0))/12</f>
        <v>10833.333333333334</v>
      </c>
    </row>
    <row r="69" spans="1:29" s="3" customFormat="1" ht="26.4">
      <c r="A69" s="141" t="s">
        <v>7</v>
      </c>
      <c r="B69" s="141" t="s">
        <v>590</v>
      </c>
      <c r="C69" s="141" t="s">
        <v>64</v>
      </c>
      <c r="D69" s="152">
        <f>D46*INDEX('1. Assumptions'!$G:$G,MATCH($B69,'1. Assumptions'!$B:$B,0))/12</f>
        <v>0</v>
      </c>
      <c r="E69" s="152">
        <f>E46*INDEX('1. Assumptions'!$G:$G,MATCH($B69,'1. Assumptions'!$B:$B,0))/12</f>
        <v>0</v>
      </c>
      <c r="F69" s="151">
        <f>F46*INDEX('1. Assumptions'!$G:$G,MATCH($B69,'1. Assumptions'!$B:$B,0))/12</f>
        <v>12500</v>
      </c>
      <c r="G69" s="151">
        <f>G46*INDEX('1. Assumptions'!$G:$G,MATCH($B69,'1. Assumptions'!$B:$B,0))/12</f>
        <v>12500</v>
      </c>
      <c r="H69" s="151">
        <f>H46*INDEX('1. Assumptions'!$G:$G,MATCH($B69,'1. Assumptions'!$B:$B,0))/12</f>
        <v>12500</v>
      </c>
      <c r="I69" s="151">
        <f>I46*INDEX('1. Assumptions'!$G:$G,MATCH($B69,'1. Assumptions'!$B:$B,0))/12</f>
        <v>12500</v>
      </c>
      <c r="J69" s="151">
        <f>J46*INDEX('1. Assumptions'!$G:$G,MATCH($B69,'1. Assumptions'!$B:$B,0))/12</f>
        <v>12500</v>
      </c>
      <c r="K69" s="151">
        <f>K46*INDEX('1. Assumptions'!$G:$G,MATCH($B69,'1. Assumptions'!$B:$B,0))/12</f>
        <v>12500</v>
      </c>
      <c r="L69" s="151">
        <f>L46*INDEX('1. Assumptions'!$G:$G,MATCH($B69,'1. Assumptions'!$B:$B,0))/12</f>
        <v>12500</v>
      </c>
      <c r="M69" s="151">
        <f>M46*INDEX('1. Assumptions'!$G:$G,MATCH($B69,'1. Assumptions'!$B:$B,0))/12</f>
        <v>12500</v>
      </c>
      <c r="N69" s="151">
        <f>N46*INDEX('1. Assumptions'!$G:$G,MATCH($B69,'1. Assumptions'!$B:$B,0))/12</f>
        <v>12500</v>
      </c>
      <c r="O69" s="151">
        <f>O46*INDEX('1. Assumptions'!$G:$G,MATCH($B69,'1. Assumptions'!$B:$B,0))/12</f>
        <v>12500</v>
      </c>
      <c r="P69" s="151">
        <f>P46*INDEX('1. Assumptions'!$G:$G,MATCH($B69,'1. Assumptions'!$B:$B,0))/12</f>
        <v>12500</v>
      </c>
      <c r="Q69" s="151">
        <f>Q46*INDEX('1. Assumptions'!$G:$G,MATCH($B69,'1. Assumptions'!$B:$B,0))/12</f>
        <v>12500</v>
      </c>
      <c r="R69" s="151">
        <f>R46*INDEX('1. Assumptions'!$G:$G,MATCH($B69,'1. Assumptions'!$B:$B,0))/12</f>
        <v>12500</v>
      </c>
      <c r="S69" s="151">
        <f>S46*INDEX('1. Assumptions'!$G:$G,MATCH($B69,'1. Assumptions'!$B:$B,0))/12</f>
        <v>12500</v>
      </c>
      <c r="T69" s="151">
        <f>T46*INDEX('1. Assumptions'!$G:$G,MATCH($B69,'1. Assumptions'!$B:$B,0))/12</f>
        <v>12500</v>
      </c>
      <c r="U69" s="151">
        <f>U46*INDEX('1. Assumptions'!$G:$G,MATCH($B69,'1. Assumptions'!$B:$B,0))/12</f>
        <v>12500</v>
      </c>
      <c r="V69" s="151">
        <f>V46*INDEX('1. Assumptions'!$G:$G,MATCH($B69,'1. Assumptions'!$B:$B,0))/12</f>
        <v>12500</v>
      </c>
      <c r="W69" s="151">
        <f>W46*INDEX('1. Assumptions'!$G:$G,MATCH($B69,'1. Assumptions'!$B:$B,0))/12</f>
        <v>12500</v>
      </c>
      <c r="X69" s="151">
        <f>X46*INDEX('1. Assumptions'!$G:$G,MATCH($B69,'1. Assumptions'!$B:$B,0))/12</f>
        <v>12500</v>
      </c>
      <c r="Y69" s="151">
        <f>Y46*INDEX('1. Assumptions'!$G:$G,MATCH($B69,'1. Assumptions'!$B:$B,0))/12</f>
        <v>12500</v>
      </c>
      <c r="Z69" s="151">
        <f>Z46*INDEX('1. Assumptions'!$G:$G,MATCH($B69,'1. Assumptions'!$B:$B,0))/12</f>
        <v>12500</v>
      </c>
      <c r="AA69" s="151">
        <f>AA46*INDEX('1. Assumptions'!$G:$G,MATCH($B69,'1. Assumptions'!$B:$B,0))/12</f>
        <v>12500</v>
      </c>
    </row>
    <row r="70" spans="1:29" s="3" customFormat="1" ht="26.4">
      <c r="A70" s="141" t="s">
        <v>7</v>
      </c>
      <c r="B70" s="141" t="s">
        <v>592</v>
      </c>
      <c r="C70" s="141" t="s">
        <v>64</v>
      </c>
      <c r="D70" s="152">
        <f>D47*INDEX('1. Assumptions'!$G:$G,MATCH($B70,'1. Assumptions'!$B:$B,0))/12</f>
        <v>0</v>
      </c>
      <c r="E70" s="152">
        <f>E47*INDEX('1. Assumptions'!$G:$G,MATCH($B70,'1. Assumptions'!$B:$B,0))/12</f>
        <v>0</v>
      </c>
      <c r="F70" s="152">
        <f>F47*INDEX('1. Assumptions'!$G:$G,MATCH($B70,'1. Assumptions'!$B:$B,0))/12</f>
        <v>0</v>
      </c>
      <c r="G70" s="151">
        <f>G47*INDEX('1. Assumptions'!$G:$G,MATCH($B70,'1. Assumptions'!$B:$B,0))/12</f>
        <v>12500</v>
      </c>
      <c r="H70" s="151">
        <f>H47*INDEX('1. Assumptions'!$G:$G,MATCH($B70,'1. Assumptions'!$B:$B,0))/12</f>
        <v>12500</v>
      </c>
      <c r="I70" s="151">
        <f>I47*INDEX('1. Assumptions'!$G:$G,MATCH($B70,'1. Assumptions'!$B:$B,0))/12</f>
        <v>12500</v>
      </c>
      <c r="J70" s="151">
        <f>J47*INDEX('1. Assumptions'!$G:$G,MATCH($B70,'1. Assumptions'!$B:$B,0))/12</f>
        <v>12500</v>
      </c>
      <c r="K70" s="151">
        <f>K47*INDEX('1. Assumptions'!$G:$G,MATCH($B70,'1. Assumptions'!$B:$B,0))/12</f>
        <v>12500</v>
      </c>
      <c r="L70" s="151">
        <f>L47*INDEX('1. Assumptions'!$G:$G,MATCH($B70,'1. Assumptions'!$B:$B,0))/12</f>
        <v>12500</v>
      </c>
      <c r="M70" s="151">
        <f>M47*INDEX('1. Assumptions'!$G:$G,MATCH($B70,'1. Assumptions'!$B:$B,0))/12</f>
        <v>12500</v>
      </c>
      <c r="N70" s="151">
        <f>N47*INDEX('1. Assumptions'!$G:$G,MATCH($B70,'1. Assumptions'!$B:$B,0))/12</f>
        <v>12500</v>
      </c>
      <c r="O70" s="151">
        <f>O47*INDEX('1. Assumptions'!$G:$G,MATCH($B70,'1. Assumptions'!$B:$B,0))/12</f>
        <v>12500</v>
      </c>
      <c r="P70" s="151">
        <f>P47*INDEX('1. Assumptions'!$G:$G,MATCH($B70,'1. Assumptions'!$B:$B,0))/12</f>
        <v>12500</v>
      </c>
      <c r="Q70" s="151">
        <f>Q47*INDEX('1. Assumptions'!$G:$G,MATCH($B70,'1. Assumptions'!$B:$B,0))/12</f>
        <v>12500</v>
      </c>
      <c r="R70" s="151">
        <f>R47*INDEX('1. Assumptions'!$G:$G,MATCH($B70,'1. Assumptions'!$B:$B,0))/12</f>
        <v>12500</v>
      </c>
      <c r="S70" s="151">
        <f>S47*INDEX('1. Assumptions'!$G:$G,MATCH($B70,'1. Assumptions'!$B:$B,0))/12</f>
        <v>12500</v>
      </c>
      <c r="T70" s="151">
        <f>T47*INDEX('1. Assumptions'!$G:$G,MATCH($B70,'1. Assumptions'!$B:$B,0))/12</f>
        <v>12500</v>
      </c>
      <c r="U70" s="151">
        <f>U47*INDEX('1. Assumptions'!$G:$G,MATCH($B70,'1. Assumptions'!$B:$B,0))/12</f>
        <v>12500</v>
      </c>
      <c r="V70" s="151">
        <f>V47*INDEX('1. Assumptions'!$G:$G,MATCH($B70,'1. Assumptions'!$B:$B,0))/12</f>
        <v>12500</v>
      </c>
      <c r="W70" s="151">
        <f>W47*INDEX('1. Assumptions'!$G:$G,MATCH($B70,'1. Assumptions'!$B:$B,0))/12</f>
        <v>12500</v>
      </c>
      <c r="X70" s="151">
        <f>X47*INDEX('1. Assumptions'!$G:$G,MATCH($B70,'1. Assumptions'!$B:$B,0))/12</f>
        <v>12500</v>
      </c>
      <c r="Y70" s="151">
        <f>Y47*INDEX('1. Assumptions'!$G:$G,MATCH($B70,'1. Assumptions'!$B:$B,0))/12</f>
        <v>12500</v>
      </c>
      <c r="Z70" s="151">
        <f>Z47*INDEX('1. Assumptions'!$G:$G,MATCH($B70,'1. Assumptions'!$B:$B,0))/12</f>
        <v>12500</v>
      </c>
      <c r="AA70" s="151">
        <f>AA47*INDEX('1. Assumptions'!$G:$G,MATCH($B70,'1. Assumptions'!$B:$B,0))/12</f>
        <v>12500</v>
      </c>
    </row>
    <row r="71" spans="1:29" s="3" customFormat="1" ht="13.2">
      <c r="A71" s="141" t="s">
        <v>7</v>
      </c>
      <c r="B71" s="141" t="s">
        <v>594</v>
      </c>
      <c r="C71" s="141" t="s">
        <v>64</v>
      </c>
      <c r="D71" s="152">
        <f>D48*INDEX('1. Assumptions'!$G:$G,MATCH($B71,'1. Assumptions'!$B:$B,0))/12</f>
        <v>0</v>
      </c>
      <c r="E71" s="152">
        <f>E48*INDEX('1. Assumptions'!$G:$G,MATCH($B71,'1. Assumptions'!$B:$B,0))/12</f>
        <v>0</v>
      </c>
      <c r="F71" s="152">
        <f>F48*INDEX('1. Assumptions'!$G:$G,MATCH($B71,'1. Assumptions'!$B:$B,0))/12</f>
        <v>0</v>
      </c>
      <c r="G71" s="152">
        <f>G48*INDEX('1. Assumptions'!$G:$G,MATCH($B71,'1. Assumptions'!$B:$B,0))/12</f>
        <v>0</v>
      </c>
      <c r="H71" s="151">
        <f>H48*INDEX('1. Assumptions'!$G:$G,MATCH($B71,'1. Assumptions'!$B:$B,0))/12</f>
        <v>8333.3333333333339</v>
      </c>
      <c r="I71" s="151">
        <f>I48*INDEX('1. Assumptions'!$G:$G,MATCH($B71,'1. Assumptions'!$B:$B,0))/12</f>
        <v>8333.3333333333339</v>
      </c>
      <c r="J71" s="151">
        <f>J48*INDEX('1. Assumptions'!$G:$G,MATCH($B71,'1. Assumptions'!$B:$B,0))/12</f>
        <v>8333.3333333333339</v>
      </c>
      <c r="K71" s="151">
        <f>K48*INDEX('1. Assumptions'!$G:$G,MATCH($B71,'1. Assumptions'!$B:$B,0))/12</f>
        <v>8333.3333333333339</v>
      </c>
      <c r="L71" s="151">
        <f>L48*INDEX('1. Assumptions'!$G:$G,MATCH($B71,'1. Assumptions'!$B:$B,0))/12</f>
        <v>8333.3333333333339</v>
      </c>
      <c r="M71" s="151">
        <f>M48*INDEX('1. Assumptions'!$G:$G,MATCH($B71,'1. Assumptions'!$B:$B,0))/12</f>
        <v>8333.3333333333339</v>
      </c>
      <c r="N71" s="151">
        <f>N48*INDEX('1. Assumptions'!$G:$G,MATCH($B71,'1. Assumptions'!$B:$B,0))/12</f>
        <v>8333.3333333333339</v>
      </c>
      <c r="O71" s="151">
        <f>O48*INDEX('1. Assumptions'!$G:$G,MATCH($B71,'1. Assumptions'!$B:$B,0))/12</f>
        <v>8333.3333333333339</v>
      </c>
      <c r="P71" s="151">
        <f>P48*INDEX('1. Assumptions'!$G:$G,MATCH($B71,'1. Assumptions'!$B:$B,0))/12</f>
        <v>8333.3333333333339</v>
      </c>
      <c r="Q71" s="151">
        <f>Q48*INDEX('1. Assumptions'!$G:$G,MATCH($B71,'1. Assumptions'!$B:$B,0))/12</f>
        <v>8333.3333333333339</v>
      </c>
      <c r="R71" s="151">
        <f>R48*INDEX('1. Assumptions'!$G:$G,MATCH($B71,'1. Assumptions'!$B:$B,0))/12</f>
        <v>8333.3333333333339</v>
      </c>
      <c r="S71" s="151">
        <f>S48*INDEX('1. Assumptions'!$G:$G,MATCH($B71,'1. Assumptions'!$B:$B,0))/12</f>
        <v>8333.3333333333339</v>
      </c>
      <c r="T71" s="151">
        <f>T48*INDEX('1. Assumptions'!$G:$G,MATCH($B71,'1. Assumptions'!$B:$B,0))/12</f>
        <v>8333.3333333333339</v>
      </c>
      <c r="U71" s="151">
        <f>U48*INDEX('1. Assumptions'!$G:$G,MATCH($B71,'1. Assumptions'!$B:$B,0))/12</f>
        <v>8333.3333333333339</v>
      </c>
      <c r="V71" s="151">
        <f>V48*INDEX('1. Assumptions'!$G:$G,MATCH($B71,'1. Assumptions'!$B:$B,0))/12</f>
        <v>8333.3333333333339</v>
      </c>
      <c r="W71" s="151">
        <f>W48*INDEX('1. Assumptions'!$G:$G,MATCH($B71,'1. Assumptions'!$B:$B,0))/12</f>
        <v>8333.3333333333339</v>
      </c>
      <c r="X71" s="151">
        <f>X48*INDEX('1. Assumptions'!$G:$G,MATCH($B71,'1. Assumptions'!$B:$B,0))/12</f>
        <v>8333.3333333333339</v>
      </c>
      <c r="Y71" s="151">
        <f>Y48*INDEX('1. Assumptions'!$G:$G,MATCH($B71,'1. Assumptions'!$B:$B,0))/12</f>
        <v>8333.3333333333339</v>
      </c>
      <c r="Z71" s="151">
        <f>Z48*INDEX('1. Assumptions'!$G:$G,MATCH($B71,'1. Assumptions'!$B:$B,0))/12</f>
        <v>8333.3333333333339</v>
      </c>
      <c r="AA71" s="151">
        <f>AA48*INDEX('1. Assumptions'!$G:$G,MATCH($B71,'1. Assumptions'!$B:$B,0))/12</f>
        <v>8333.3333333333339</v>
      </c>
    </row>
    <row r="72" spans="1:29" s="3" customFormat="1" ht="26.4">
      <c r="A72" s="141" t="s">
        <v>7</v>
      </c>
      <c r="B72" s="141" t="s">
        <v>596</v>
      </c>
      <c r="C72" s="141" t="s">
        <v>64</v>
      </c>
      <c r="D72" s="152">
        <f>D49*INDEX('1. Assumptions'!$G:$G,MATCH($B72,'1. Assumptions'!$B:$B,0))/12</f>
        <v>0</v>
      </c>
      <c r="E72" s="152">
        <f>E49*INDEX('1. Assumptions'!$G:$G,MATCH($B72,'1. Assumptions'!$B:$B,0))/12</f>
        <v>0</v>
      </c>
      <c r="F72" s="152">
        <f>F49*INDEX('1. Assumptions'!$G:$G,MATCH($B72,'1. Assumptions'!$B:$B,0))/12</f>
        <v>0</v>
      </c>
      <c r="G72" s="152">
        <f>G49*INDEX('1. Assumptions'!$G:$G,MATCH($B72,'1. Assumptions'!$B:$B,0))/12</f>
        <v>0</v>
      </c>
      <c r="H72" s="152">
        <f>H49*INDEX('1. Assumptions'!$G:$G,MATCH($B72,'1. Assumptions'!$B:$B,0))/12</f>
        <v>0</v>
      </c>
      <c r="I72" s="151">
        <f>I49*INDEX('1. Assumptions'!$G:$G,MATCH($B72,'1. Assumptions'!$B:$B,0))/12</f>
        <v>12500</v>
      </c>
      <c r="J72" s="151">
        <f>J49*INDEX('1. Assumptions'!$G:$G,MATCH($B72,'1. Assumptions'!$B:$B,0))/12</f>
        <v>12500</v>
      </c>
      <c r="K72" s="151">
        <f>K49*INDEX('1. Assumptions'!$G:$G,MATCH($B72,'1. Assumptions'!$B:$B,0))/12</f>
        <v>12500</v>
      </c>
      <c r="L72" s="151">
        <f>L49*INDEX('1. Assumptions'!$G:$G,MATCH($B72,'1. Assumptions'!$B:$B,0))/12</f>
        <v>12500</v>
      </c>
      <c r="M72" s="151">
        <f>M49*INDEX('1. Assumptions'!$G:$G,MATCH($B72,'1. Assumptions'!$B:$B,0))/12</f>
        <v>12500</v>
      </c>
      <c r="N72" s="151">
        <f>N49*INDEX('1. Assumptions'!$G:$G,MATCH($B72,'1. Assumptions'!$B:$B,0))/12</f>
        <v>12500</v>
      </c>
      <c r="O72" s="151">
        <f>O49*INDEX('1. Assumptions'!$G:$G,MATCH($B72,'1. Assumptions'!$B:$B,0))/12</f>
        <v>12500</v>
      </c>
      <c r="P72" s="151">
        <f>P49*INDEX('1. Assumptions'!$G:$G,MATCH($B72,'1. Assumptions'!$B:$B,0))/12</f>
        <v>12500</v>
      </c>
      <c r="Q72" s="151">
        <f>Q49*INDEX('1. Assumptions'!$G:$G,MATCH($B72,'1. Assumptions'!$B:$B,0))/12</f>
        <v>12500</v>
      </c>
      <c r="R72" s="151">
        <f>R49*INDEX('1. Assumptions'!$G:$G,MATCH($B72,'1. Assumptions'!$B:$B,0))/12</f>
        <v>12500</v>
      </c>
      <c r="S72" s="151">
        <f>S49*INDEX('1. Assumptions'!$G:$G,MATCH($B72,'1. Assumptions'!$B:$B,0))/12</f>
        <v>12500</v>
      </c>
      <c r="T72" s="151">
        <f>T49*INDEX('1. Assumptions'!$G:$G,MATCH($B72,'1. Assumptions'!$B:$B,0))/12</f>
        <v>12500</v>
      </c>
      <c r="U72" s="151">
        <f>U49*INDEX('1. Assumptions'!$G:$G,MATCH($B72,'1. Assumptions'!$B:$B,0))/12</f>
        <v>12500</v>
      </c>
      <c r="V72" s="151">
        <f>V49*INDEX('1. Assumptions'!$G:$G,MATCH($B72,'1. Assumptions'!$B:$B,0))/12</f>
        <v>12500</v>
      </c>
      <c r="W72" s="151">
        <f>W49*INDEX('1. Assumptions'!$G:$G,MATCH($B72,'1. Assumptions'!$B:$B,0))/12</f>
        <v>12500</v>
      </c>
      <c r="X72" s="151">
        <f>X49*INDEX('1. Assumptions'!$G:$G,MATCH($B72,'1. Assumptions'!$B:$B,0))/12</f>
        <v>12500</v>
      </c>
      <c r="Y72" s="151">
        <f>Y49*INDEX('1. Assumptions'!$G:$G,MATCH($B72,'1. Assumptions'!$B:$B,0))/12</f>
        <v>12500</v>
      </c>
      <c r="Z72" s="151">
        <f>Z49*INDEX('1. Assumptions'!$G:$G,MATCH($B72,'1. Assumptions'!$B:$B,0))/12</f>
        <v>12500</v>
      </c>
      <c r="AA72" s="151">
        <f>AA49*INDEX('1. Assumptions'!$G:$G,MATCH($B72,'1. Assumptions'!$B:$B,0))/12</f>
        <v>12500</v>
      </c>
    </row>
    <row r="73" spans="1:29" s="3" customFormat="1" ht="26.4">
      <c r="A73" s="141" t="s">
        <v>7</v>
      </c>
      <c r="B73" s="141" t="s">
        <v>597</v>
      </c>
      <c r="C73" s="141" t="s">
        <v>64</v>
      </c>
      <c r="D73" s="152">
        <f>D50*INDEX('1. Assumptions'!$G:$G,MATCH($B73,'1. Assumptions'!$B:$B,0))/12</f>
        <v>0</v>
      </c>
      <c r="E73" s="152">
        <f>E50*INDEX('1. Assumptions'!$G:$G,MATCH($B73,'1. Assumptions'!$B:$B,0))/12</f>
        <v>0</v>
      </c>
      <c r="F73" s="152">
        <f>F50*INDEX('1. Assumptions'!$G:$G,MATCH($B73,'1. Assumptions'!$B:$B,0))/12</f>
        <v>0</v>
      </c>
      <c r="G73" s="152">
        <f>G50*INDEX('1. Assumptions'!$G:$G,MATCH($B73,'1. Assumptions'!$B:$B,0))/12</f>
        <v>0</v>
      </c>
      <c r="H73" s="152">
        <f>H50*INDEX('1. Assumptions'!$G:$G,MATCH($B73,'1. Assumptions'!$B:$B,0))/12</f>
        <v>0</v>
      </c>
      <c r="I73" s="152">
        <f>I50*INDEX('1. Assumptions'!$G:$G,MATCH($B73,'1. Assumptions'!$B:$B,0))/12</f>
        <v>0</v>
      </c>
      <c r="J73" s="152">
        <f>J50*INDEX('1. Assumptions'!$G:$G,MATCH($B73,'1. Assumptions'!$B:$B,0))/12</f>
        <v>0</v>
      </c>
      <c r="K73" s="151">
        <f>K50*INDEX('1. Assumptions'!$G:$G,MATCH($B73,'1. Assumptions'!$B:$B,0))/12</f>
        <v>7083.333333333333</v>
      </c>
      <c r="L73" s="151">
        <f>L50*INDEX('1. Assumptions'!$G:$G,MATCH($B73,'1. Assumptions'!$B:$B,0))/12</f>
        <v>7083.333333333333</v>
      </c>
      <c r="M73" s="151">
        <f>M50*INDEX('1. Assumptions'!$G:$G,MATCH($B73,'1. Assumptions'!$B:$B,0))/12</f>
        <v>7083.333333333333</v>
      </c>
      <c r="N73" s="151">
        <f>N50*INDEX('1. Assumptions'!$G:$G,MATCH($B73,'1. Assumptions'!$B:$B,0))/12</f>
        <v>7083.333333333333</v>
      </c>
      <c r="O73" s="151">
        <f>O50*INDEX('1. Assumptions'!$G:$G,MATCH($B73,'1. Assumptions'!$B:$B,0))/12</f>
        <v>7083.333333333333</v>
      </c>
      <c r="P73" s="151">
        <f>P50*INDEX('1. Assumptions'!$G:$G,MATCH($B73,'1. Assumptions'!$B:$B,0))/12</f>
        <v>7083.333333333333</v>
      </c>
      <c r="Q73" s="151">
        <f>Q50*INDEX('1. Assumptions'!$G:$G,MATCH($B73,'1. Assumptions'!$B:$B,0))/12</f>
        <v>7083.333333333333</v>
      </c>
      <c r="R73" s="151">
        <f>R50*INDEX('1. Assumptions'!$G:$G,MATCH($B73,'1. Assumptions'!$B:$B,0))/12</f>
        <v>7083.333333333333</v>
      </c>
      <c r="S73" s="151">
        <f>S50*INDEX('1. Assumptions'!$G:$G,MATCH($B73,'1. Assumptions'!$B:$B,0))/12</f>
        <v>7083.333333333333</v>
      </c>
      <c r="T73" s="151">
        <f>T50*INDEX('1. Assumptions'!$G:$G,MATCH($B73,'1. Assumptions'!$B:$B,0))/12</f>
        <v>7083.333333333333</v>
      </c>
      <c r="U73" s="151">
        <f>U50*INDEX('1. Assumptions'!$G:$G,MATCH($B73,'1. Assumptions'!$B:$B,0))/12</f>
        <v>7083.333333333333</v>
      </c>
      <c r="V73" s="151">
        <f>V50*INDEX('1. Assumptions'!$G:$G,MATCH($B73,'1. Assumptions'!$B:$B,0))/12</f>
        <v>7083.333333333333</v>
      </c>
      <c r="W73" s="151">
        <f>W50*INDEX('1. Assumptions'!$G:$G,MATCH($B73,'1. Assumptions'!$B:$B,0))/12</f>
        <v>7083.333333333333</v>
      </c>
      <c r="X73" s="151">
        <f>X50*INDEX('1. Assumptions'!$G:$G,MATCH($B73,'1. Assumptions'!$B:$B,0))/12</f>
        <v>7083.333333333333</v>
      </c>
      <c r="Y73" s="151">
        <f>Y50*INDEX('1. Assumptions'!$G:$G,MATCH($B73,'1. Assumptions'!$B:$B,0))/12</f>
        <v>7083.333333333333</v>
      </c>
      <c r="Z73" s="151">
        <f>Z50*INDEX('1. Assumptions'!$G:$G,MATCH($B73,'1. Assumptions'!$B:$B,0))/12</f>
        <v>7083.333333333333</v>
      </c>
      <c r="AA73" s="151">
        <f>AA50*INDEX('1. Assumptions'!$G:$G,MATCH($B73,'1. Assumptions'!$B:$B,0))/12</f>
        <v>7083.333333333333</v>
      </c>
    </row>
    <row r="74" spans="1:29" s="3" customFormat="1" ht="13.2">
      <c r="A74" s="141" t="s">
        <v>7</v>
      </c>
      <c r="B74" s="141" t="s">
        <v>599</v>
      </c>
      <c r="C74" s="141" t="s">
        <v>64</v>
      </c>
      <c r="D74" s="152">
        <f>D51*INDEX('1. Assumptions'!$G:$G,MATCH($B74,'1. Assumptions'!$B:$B,0))/12</f>
        <v>0</v>
      </c>
      <c r="E74" s="152">
        <f>E51*INDEX('1. Assumptions'!$G:$G,MATCH($B74,'1. Assumptions'!$B:$B,0))/12</f>
        <v>0</v>
      </c>
      <c r="F74" s="152">
        <f>F51*INDEX('1. Assumptions'!$G:$G,MATCH($B74,'1. Assumptions'!$B:$B,0))/12</f>
        <v>0</v>
      </c>
      <c r="G74" s="152">
        <f>G51*INDEX('1. Assumptions'!$G:$G,MATCH($B74,'1. Assumptions'!$B:$B,0))/12</f>
        <v>0</v>
      </c>
      <c r="H74" s="152">
        <f>H51*INDEX('1. Assumptions'!$G:$G,MATCH($B74,'1. Assumptions'!$B:$B,0))/12</f>
        <v>0</v>
      </c>
      <c r="I74" s="152">
        <f>I51*INDEX('1. Assumptions'!$G:$G,MATCH($B74,'1. Assumptions'!$B:$B,0))/12</f>
        <v>0</v>
      </c>
      <c r="J74" s="152">
        <f>J51*INDEX('1. Assumptions'!$G:$G,MATCH($B74,'1. Assumptions'!$B:$B,0))/12</f>
        <v>0</v>
      </c>
      <c r="K74" s="152">
        <f>K51*INDEX('1. Assumptions'!$G:$G,MATCH($B74,'1. Assumptions'!$B:$B,0))/12</f>
        <v>0</v>
      </c>
      <c r="L74" s="152">
        <f>L51*INDEX('1. Assumptions'!$G:$G,MATCH($B74,'1. Assumptions'!$B:$B,0))/12</f>
        <v>0</v>
      </c>
      <c r="M74" s="151">
        <f>M51*INDEX('1. Assumptions'!$G:$G,MATCH($B74,'1. Assumptions'!$B:$B,0))/12</f>
        <v>10833.333333333334</v>
      </c>
      <c r="N74" s="151">
        <f>N51*INDEX('1. Assumptions'!$G:$G,MATCH($B74,'1. Assumptions'!$B:$B,0))/12</f>
        <v>10833.333333333334</v>
      </c>
      <c r="O74" s="151">
        <f>O51*INDEX('1. Assumptions'!$G:$G,MATCH($B74,'1. Assumptions'!$B:$B,0))/12</f>
        <v>10833.333333333334</v>
      </c>
      <c r="P74" s="151">
        <f>P51*INDEX('1. Assumptions'!$G:$G,MATCH($B74,'1. Assumptions'!$B:$B,0))/12</f>
        <v>10833.333333333334</v>
      </c>
      <c r="Q74" s="151">
        <f>Q51*INDEX('1. Assumptions'!$G:$G,MATCH($B74,'1. Assumptions'!$B:$B,0))/12</f>
        <v>10833.333333333334</v>
      </c>
      <c r="R74" s="151">
        <f>R51*INDEX('1. Assumptions'!$G:$G,MATCH($B74,'1. Assumptions'!$B:$B,0))/12</f>
        <v>10833.333333333334</v>
      </c>
      <c r="S74" s="151">
        <f>S51*INDEX('1. Assumptions'!$G:$G,MATCH($B74,'1. Assumptions'!$B:$B,0))/12</f>
        <v>10833.333333333334</v>
      </c>
      <c r="T74" s="151">
        <f>T51*INDEX('1. Assumptions'!$G:$G,MATCH($B74,'1. Assumptions'!$B:$B,0))/12</f>
        <v>10833.333333333334</v>
      </c>
      <c r="U74" s="151">
        <f>U51*INDEX('1. Assumptions'!$G:$G,MATCH($B74,'1. Assumptions'!$B:$B,0))/12</f>
        <v>10833.333333333334</v>
      </c>
      <c r="V74" s="151">
        <f>V51*INDEX('1. Assumptions'!$G:$G,MATCH($B74,'1. Assumptions'!$B:$B,0))/12</f>
        <v>10833.333333333334</v>
      </c>
      <c r="W74" s="151">
        <f>W51*INDEX('1. Assumptions'!$G:$G,MATCH($B74,'1. Assumptions'!$B:$B,0))/12</f>
        <v>10833.333333333334</v>
      </c>
      <c r="X74" s="151">
        <f>X51*INDEX('1. Assumptions'!$G:$G,MATCH($B74,'1. Assumptions'!$B:$B,0))/12</f>
        <v>10833.333333333334</v>
      </c>
      <c r="Y74" s="151">
        <f>Y51*INDEX('1. Assumptions'!$G:$G,MATCH($B74,'1. Assumptions'!$B:$B,0))/12</f>
        <v>10833.333333333334</v>
      </c>
      <c r="Z74" s="151">
        <f>Z51*INDEX('1. Assumptions'!$G:$G,MATCH($B74,'1. Assumptions'!$B:$B,0))/12</f>
        <v>10833.333333333334</v>
      </c>
      <c r="AA74" s="151">
        <f>AA51*INDEX('1. Assumptions'!$G:$G,MATCH($B74,'1. Assumptions'!$B:$B,0))/12</f>
        <v>10833.333333333334</v>
      </c>
    </row>
    <row r="75" spans="1:29" s="3" customFormat="1" ht="13.2">
      <c r="A75" s="141" t="s">
        <v>7</v>
      </c>
      <c r="B75" s="141" t="s">
        <v>601</v>
      </c>
      <c r="C75" s="141" t="s">
        <v>64</v>
      </c>
      <c r="D75" s="152">
        <f>D52*INDEX('1. Assumptions'!$G:$G,MATCH($B75,'1. Assumptions'!$B:$B,0))/12</f>
        <v>0</v>
      </c>
      <c r="E75" s="152">
        <f>E52*INDEX('1. Assumptions'!$G:$G,MATCH($B75,'1. Assumptions'!$B:$B,0))/12</f>
        <v>0</v>
      </c>
      <c r="F75" s="152">
        <f>F52*INDEX('1. Assumptions'!$G:$G,MATCH($B75,'1. Assumptions'!$B:$B,0))/12</f>
        <v>0</v>
      </c>
      <c r="G75" s="152">
        <f>G52*INDEX('1. Assumptions'!$G:$G,MATCH($B75,'1. Assumptions'!$B:$B,0))/12</f>
        <v>0</v>
      </c>
      <c r="H75" s="152">
        <f>H52*INDEX('1. Assumptions'!$G:$G,MATCH($B75,'1. Assumptions'!$B:$B,0))/12</f>
        <v>0</v>
      </c>
      <c r="I75" s="152">
        <f>I52*INDEX('1. Assumptions'!$G:$G,MATCH($B75,'1. Assumptions'!$B:$B,0))/12</f>
        <v>0</v>
      </c>
      <c r="J75" s="152">
        <f>J52*INDEX('1. Assumptions'!$G:$G,MATCH($B75,'1. Assumptions'!$B:$B,0))/12</f>
        <v>0</v>
      </c>
      <c r="K75" s="152">
        <f>K52*INDEX('1. Assumptions'!$G:$G,MATCH($B75,'1. Assumptions'!$B:$B,0))/12</f>
        <v>0</v>
      </c>
      <c r="L75" s="152">
        <f>L52*INDEX('1. Assumptions'!$G:$G,MATCH($B75,'1. Assumptions'!$B:$B,0))/12</f>
        <v>0</v>
      </c>
      <c r="M75" s="152">
        <f>M52*INDEX('1. Assumptions'!$G:$G,MATCH($B75,'1. Assumptions'!$B:$B,0))/12</f>
        <v>0</v>
      </c>
      <c r="N75" s="152">
        <f>N52*INDEX('1. Assumptions'!$G:$G,MATCH($B75,'1. Assumptions'!$B:$B,0))/12</f>
        <v>0</v>
      </c>
      <c r="O75" s="151">
        <f>O52*INDEX('1. Assumptions'!$G:$G,MATCH($B75,'1. Assumptions'!$B:$B,0))/12</f>
        <v>11666.666666666666</v>
      </c>
      <c r="P75" s="151">
        <f>P52*INDEX('1. Assumptions'!$G:$G,MATCH($B75,'1. Assumptions'!$B:$B,0))/12</f>
        <v>11666.666666666666</v>
      </c>
      <c r="Q75" s="151">
        <f>Q52*INDEX('1. Assumptions'!$G:$G,MATCH($B75,'1. Assumptions'!$B:$B,0))/12</f>
        <v>11666.666666666666</v>
      </c>
      <c r="R75" s="151">
        <f>R52*INDEX('1. Assumptions'!$G:$G,MATCH($B75,'1. Assumptions'!$B:$B,0))/12</f>
        <v>11666.666666666666</v>
      </c>
      <c r="S75" s="151">
        <f>S52*INDEX('1. Assumptions'!$G:$G,MATCH($B75,'1. Assumptions'!$B:$B,0))/12</f>
        <v>11666.666666666666</v>
      </c>
      <c r="T75" s="151">
        <f>T52*INDEX('1. Assumptions'!$G:$G,MATCH($B75,'1. Assumptions'!$B:$B,0))/12</f>
        <v>11666.666666666666</v>
      </c>
      <c r="U75" s="151">
        <f>U52*INDEX('1. Assumptions'!$G:$G,MATCH($B75,'1. Assumptions'!$B:$B,0))/12</f>
        <v>11666.666666666666</v>
      </c>
      <c r="V75" s="151">
        <f>V52*INDEX('1. Assumptions'!$G:$G,MATCH($B75,'1. Assumptions'!$B:$B,0))/12</f>
        <v>11666.666666666666</v>
      </c>
      <c r="W75" s="151">
        <f>W52*INDEX('1. Assumptions'!$G:$G,MATCH($B75,'1. Assumptions'!$B:$B,0))/12</f>
        <v>11666.666666666666</v>
      </c>
      <c r="X75" s="151">
        <f>X52*INDEX('1. Assumptions'!$G:$G,MATCH($B75,'1. Assumptions'!$B:$B,0))/12</f>
        <v>11666.666666666666</v>
      </c>
      <c r="Y75" s="151">
        <f>Y52*INDEX('1. Assumptions'!$G:$G,MATCH($B75,'1. Assumptions'!$B:$B,0))/12</f>
        <v>11666.666666666666</v>
      </c>
      <c r="Z75" s="151">
        <f>Z52*INDEX('1. Assumptions'!$G:$G,MATCH($B75,'1. Assumptions'!$B:$B,0))/12</f>
        <v>11666.666666666666</v>
      </c>
      <c r="AA75" s="151">
        <f>AA52*INDEX('1. Assumptions'!$G:$G,MATCH($B75,'1. Assumptions'!$B:$B,0))/12</f>
        <v>11666.666666666666</v>
      </c>
    </row>
    <row r="76" spans="1:29" s="3" customFormat="1" ht="13.2">
      <c r="A76" s="141" t="s">
        <v>7</v>
      </c>
      <c r="B76" s="141" t="s">
        <v>603</v>
      </c>
      <c r="C76" s="141" t="s">
        <v>64</v>
      </c>
      <c r="D76" s="152">
        <f>D53*INDEX('1. Assumptions'!$G:$G,MATCH($B76,'1. Assumptions'!$B:$B,0))/12</f>
        <v>0</v>
      </c>
      <c r="E76" s="152">
        <f>E53*INDEX('1. Assumptions'!$G:$G,MATCH($B76,'1. Assumptions'!$B:$B,0))/12</f>
        <v>0</v>
      </c>
      <c r="F76" s="152">
        <f>F53*INDEX('1. Assumptions'!$G:$G,MATCH($B76,'1. Assumptions'!$B:$B,0))/12</f>
        <v>0</v>
      </c>
      <c r="G76" s="152">
        <f>G53*INDEX('1. Assumptions'!$G:$G,MATCH($B76,'1. Assumptions'!$B:$B,0))/12</f>
        <v>0</v>
      </c>
      <c r="H76" s="152">
        <f>H53*INDEX('1. Assumptions'!$G:$G,MATCH($B76,'1. Assumptions'!$B:$B,0))/12</f>
        <v>0</v>
      </c>
      <c r="I76" s="152">
        <f>I53*INDEX('1. Assumptions'!$G:$G,MATCH($B76,'1. Assumptions'!$B:$B,0))/12</f>
        <v>0</v>
      </c>
      <c r="J76" s="152">
        <f>J53*INDEX('1. Assumptions'!$G:$G,MATCH($B76,'1. Assumptions'!$B:$B,0))/12</f>
        <v>0</v>
      </c>
      <c r="K76" s="152">
        <f>K53*INDEX('1. Assumptions'!$G:$G,MATCH($B76,'1. Assumptions'!$B:$B,0))/12</f>
        <v>0</v>
      </c>
      <c r="L76" s="151">
        <f>L53*INDEX('1. Assumptions'!$G:$G,MATCH($B76,'1. Assumptions'!$B:$B,0))/12</f>
        <v>11666.666666666666</v>
      </c>
      <c r="M76" s="151">
        <f>M53*INDEX('1. Assumptions'!$G:$G,MATCH($B76,'1. Assumptions'!$B:$B,0))/12</f>
        <v>11666.666666666666</v>
      </c>
      <c r="N76" s="151">
        <f>N53*INDEX('1. Assumptions'!$G:$G,MATCH($B76,'1. Assumptions'!$B:$B,0))/12</f>
        <v>11666.666666666666</v>
      </c>
      <c r="O76" s="151">
        <f>O53*INDEX('1. Assumptions'!$G:$G,MATCH($B76,'1. Assumptions'!$B:$B,0))/12</f>
        <v>11666.666666666666</v>
      </c>
      <c r="P76" s="151">
        <f>P53*INDEX('1. Assumptions'!$G:$G,MATCH($B76,'1. Assumptions'!$B:$B,0))/12</f>
        <v>11666.666666666666</v>
      </c>
      <c r="Q76" s="151">
        <f>Q53*INDEX('1. Assumptions'!$G:$G,MATCH($B76,'1. Assumptions'!$B:$B,0))/12</f>
        <v>11666.666666666666</v>
      </c>
      <c r="R76" s="151">
        <f>R53*INDEX('1. Assumptions'!$G:$G,MATCH($B76,'1. Assumptions'!$B:$B,0))/12</f>
        <v>11666.666666666666</v>
      </c>
      <c r="S76" s="151">
        <f>S53*INDEX('1. Assumptions'!$G:$G,MATCH($B76,'1. Assumptions'!$B:$B,0))/12</f>
        <v>11666.666666666666</v>
      </c>
      <c r="T76" s="151">
        <f>T53*INDEX('1. Assumptions'!$G:$G,MATCH($B76,'1. Assumptions'!$B:$B,0))/12</f>
        <v>11666.666666666666</v>
      </c>
      <c r="U76" s="151">
        <f>U53*INDEX('1. Assumptions'!$G:$G,MATCH($B76,'1. Assumptions'!$B:$B,0))/12</f>
        <v>11666.666666666666</v>
      </c>
      <c r="V76" s="151">
        <f>V53*INDEX('1. Assumptions'!$G:$G,MATCH($B76,'1. Assumptions'!$B:$B,0))/12</f>
        <v>11666.666666666666</v>
      </c>
      <c r="W76" s="151">
        <f>W53*INDEX('1. Assumptions'!$G:$G,MATCH($B76,'1. Assumptions'!$B:$B,0))/12</f>
        <v>11666.666666666666</v>
      </c>
      <c r="X76" s="151">
        <f>X53*INDEX('1. Assumptions'!$G:$G,MATCH($B76,'1. Assumptions'!$B:$B,0))/12</f>
        <v>11666.666666666666</v>
      </c>
      <c r="Y76" s="151">
        <f>Y53*INDEX('1. Assumptions'!$G:$G,MATCH($B76,'1. Assumptions'!$B:$B,0))/12</f>
        <v>11666.666666666666</v>
      </c>
      <c r="Z76" s="151">
        <f>Z53*INDEX('1. Assumptions'!$G:$G,MATCH($B76,'1. Assumptions'!$B:$B,0))/12</f>
        <v>11666.666666666666</v>
      </c>
      <c r="AA76" s="151">
        <f>AA53*INDEX('1. Assumptions'!$G:$G,MATCH($B76,'1. Assumptions'!$B:$B,0))/12</f>
        <v>11666.666666666666</v>
      </c>
    </row>
    <row r="77" spans="1:29" s="3" customFormat="1" ht="26.4">
      <c r="A77" s="141" t="s">
        <v>7</v>
      </c>
      <c r="B77" s="141" t="s">
        <v>604</v>
      </c>
      <c r="C77" s="141" t="s">
        <v>64</v>
      </c>
      <c r="D77" s="152">
        <f>D54*INDEX('1. Assumptions'!$G:$G,MATCH($B77,'1. Assumptions'!$B:$B,0))/12</f>
        <v>0</v>
      </c>
      <c r="E77" s="152">
        <f>E54*INDEX('1. Assumptions'!$G:$G,MATCH($B77,'1. Assumptions'!$B:$B,0))/12</f>
        <v>0</v>
      </c>
      <c r="F77" s="152">
        <f>F54*INDEX('1. Assumptions'!$G:$G,MATCH($B77,'1. Assumptions'!$B:$B,0))/12</f>
        <v>0</v>
      </c>
      <c r="G77" s="152">
        <f>G54*INDEX('1. Assumptions'!$G:$G,MATCH($B77,'1. Assumptions'!$B:$B,0))/12</f>
        <v>0</v>
      </c>
      <c r="H77" s="152">
        <f>H54*INDEX('1. Assumptions'!$G:$G,MATCH($B77,'1. Assumptions'!$B:$B,0))/12</f>
        <v>0</v>
      </c>
      <c r="I77" s="152">
        <f>I54*INDEX('1. Assumptions'!$G:$G,MATCH($B77,'1. Assumptions'!$B:$B,0))/12</f>
        <v>0</v>
      </c>
      <c r="J77" s="152">
        <f>J54*INDEX('1. Assumptions'!$G:$G,MATCH($B77,'1. Assumptions'!$B:$B,0))/12</f>
        <v>0</v>
      </c>
      <c r="K77" s="152">
        <f>K54*INDEX('1. Assumptions'!$G:$G,MATCH($B77,'1. Assumptions'!$B:$B,0))/12</f>
        <v>0</v>
      </c>
      <c r="L77" s="152">
        <f>L54*INDEX('1. Assumptions'!$G:$G,MATCH($B77,'1. Assumptions'!$B:$B,0))/12</f>
        <v>0</v>
      </c>
      <c r="M77" s="152">
        <f>M54*INDEX('1. Assumptions'!$G:$G,MATCH($B77,'1. Assumptions'!$B:$B,0))/12</f>
        <v>0</v>
      </c>
      <c r="N77" s="152">
        <f>N54*INDEX('1. Assumptions'!$G:$G,MATCH($B77,'1. Assumptions'!$B:$B,0))/12</f>
        <v>0</v>
      </c>
      <c r="O77" s="152">
        <f>O54*INDEX('1. Assumptions'!$G:$G,MATCH($B77,'1. Assumptions'!$B:$B,0))/12</f>
        <v>0</v>
      </c>
      <c r="P77" s="152">
        <f>P54*INDEX('1. Assumptions'!$G:$G,MATCH($B77,'1. Assumptions'!$B:$B,0))/12</f>
        <v>0</v>
      </c>
      <c r="Q77" s="152">
        <f>Q54*INDEX('1. Assumptions'!$G:$G,MATCH($B77,'1. Assumptions'!$B:$B,0))/12</f>
        <v>0</v>
      </c>
      <c r="R77" s="152">
        <f>R54*INDEX('1. Assumptions'!$G:$G,MATCH($B77,'1. Assumptions'!$B:$B,0))/12</f>
        <v>0</v>
      </c>
      <c r="S77" s="151">
        <f>S54*INDEX('1. Assumptions'!$G:$G,MATCH($B77,'1. Assumptions'!$B:$B,0))/12</f>
        <v>7083.333333333333</v>
      </c>
      <c r="T77" s="151">
        <f>T54*INDEX('1. Assumptions'!$G:$G,MATCH($B77,'1. Assumptions'!$B:$B,0))/12</f>
        <v>7083.333333333333</v>
      </c>
      <c r="U77" s="151">
        <f>U54*INDEX('1. Assumptions'!$G:$G,MATCH($B77,'1. Assumptions'!$B:$B,0))/12</f>
        <v>7083.333333333333</v>
      </c>
      <c r="V77" s="151">
        <f>V54*INDEX('1. Assumptions'!$G:$G,MATCH($B77,'1. Assumptions'!$B:$B,0))/12</f>
        <v>7083.333333333333</v>
      </c>
      <c r="W77" s="151">
        <f>W54*INDEX('1. Assumptions'!$G:$G,MATCH($B77,'1. Assumptions'!$B:$B,0))/12</f>
        <v>7083.333333333333</v>
      </c>
      <c r="X77" s="151">
        <f>X54*INDEX('1. Assumptions'!$G:$G,MATCH($B77,'1. Assumptions'!$B:$B,0))/12</f>
        <v>7083.333333333333</v>
      </c>
      <c r="Y77" s="151">
        <f>Y54*INDEX('1. Assumptions'!$G:$G,MATCH($B77,'1. Assumptions'!$B:$B,0))/12</f>
        <v>7083.333333333333</v>
      </c>
      <c r="Z77" s="151">
        <f>Z54*INDEX('1. Assumptions'!$G:$G,MATCH($B77,'1. Assumptions'!$B:$B,0))/12</f>
        <v>7083.333333333333</v>
      </c>
      <c r="AA77" s="151">
        <f>AA54*INDEX('1. Assumptions'!$G:$G,MATCH($B77,'1. Assumptions'!$B:$B,0))/12</f>
        <v>7083.333333333333</v>
      </c>
    </row>
    <row r="78" spans="1:29" s="3" customFormat="1" ht="13.2">
      <c r="A78" s="141" t="s">
        <v>7</v>
      </c>
      <c r="B78" s="141" t="s">
        <v>608</v>
      </c>
      <c r="C78" s="141" t="s">
        <v>64</v>
      </c>
      <c r="D78" s="152">
        <f>D55*INDEX('1. Assumptions'!$G:$G,MATCH($B78,'1. Assumptions'!$B:$B,0))/12</f>
        <v>0</v>
      </c>
      <c r="E78" s="152">
        <f>E55*INDEX('1. Assumptions'!$G:$G,MATCH($B78,'1. Assumptions'!$B:$B,0))/12</f>
        <v>0</v>
      </c>
      <c r="F78" s="152">
        <f>F55*INDEX('1. Assumptions'!$G:$G,MATCH($B78,'1. Assumptions'!$B:$B,0))/12</f>
        <v>0</v>
      </c>
      <c r="G78" s="152">
        <f>G55*INDEX('1. Assumptions'!$G:$G,MATCH($B78,'1. Assumptions'!$B:$B,0))/12</f>
        <v>0</v>
      </c>
      <c r="H78" s="152">
        <f>H55*INDEX('1. Assumptions'!$G:$G,MATCH($B78,'1. Assumptions'!$B:$B,0))/12</f>
        <v>0</v>
      </c>
      <c r="I78" s="152">
        <f>I55*INDEX('1. Assumptions'!$G:$G,MATCH($B78,'1. Assumptions'!$B:$B,0))/12</f>
        <v>0</v>
      </c>
      <c r="J78" s="152">
        <f>J55*INDEX('1. Assumptions'!$G:$G,MATCH($B78,'1. Assumptions'!$B:$B,0))/12</f>
        <v>0</v>
      </c>
      <c r="K78" s="152">
        <f>K55*INDEX('1. Assumptions'!$G:$G,MATCH($B78,'1. Assumptions'!$B:$B,0))/12</f>
        <v>0</v>
      </c>
      <c r="L78" s="152">
        <f>L55*INDEX('1. Assumptions'!$G:$G,MATCH($B78,'1. Assumptions'!$B:$B,0))/12</f>
        <v>0</v>
      </c>
      <c r="M78" s="152">
        <f>M55*INDEX('1. Assumptions'!$G:$G,MATCH($B78,'1. Assumptions'!$B:$B,0))/12</f>
        <v>0</v>
      </c>
      <c r="N78" s="152">
        <f>N55*INDEX('1. Assumptions'!$G:$G,MATCH($B78,'1. Assumptions'!$B:$B,0))/12</f>
        <v>0</v>
      </c>
      <c r="O78" s="152">
        <f>O55*INDEX('1. Assumptions'!$G:$G,MATCH($B78,'1. Assumptions'!$B:$B,0))/12</f>
        <v>0</v>
      </c>
      <c r="P78" s="152">
        <f>P55*INDEX('1. Assumptions'!$G:$G,MATCH($B78,'1. Assumptions'!$B:$B,0))/12</f>
        <v>0</v>
      </c>
      <c r="Q78" s="151">
        <f>Q55*INDEX('1. Assumptions'!$G:$G,MATCH($B78,'1. Assumptions'!$B:$B,0))/12</f>
        <v>11666.666666666666</v>
      </c>
      <c r="R78" s="151">
        <f>R55*INDEX('1. Assumptions'!$G:$G,MATCH($B78,'1. Assumptions'!$B:$B,0))/12</f>
        <v>11666.666666666666</v>
      </c>
      <c r="S78" s="151">
        <f>S55*INDEX('1. Assumptions'!$G:$G,MATCH($B78,'1. Assumptions'!$B:$B,0))/12</f>
        <v>11666.666666666666</v>
      </c>
      <c r="T78" s="151">
        <f>T55*INDEX('1. Assumptions'!$G:$G,MATCH($B78,'1. Assumptions'!$B:$B,0))/12</f>
        <v>11666.666666666666</v>
      </c>
      <c r="U78" s="151">
        <f>U55*INDEX('1. Assumptions'!$G:$G,MATCH($B78,'1. Assumptions'!$B:$B,0))/12</f>
        <v>11666.666666666666</v>
      </c>
      <c r="V78" s="151">
        <f>V55*INDEX('1. Assumptions'!$G:$G,MATCH($B78,'1. Assumptions'!$B:$B,0))/12</f>
        <v>11666.666666666666</v>
      </c>
      <c r="W78" s="151">
        <f>W55*INDEX('1. Assumptions'!$G:$G,MATCH($B78,'1. Assumptions'!$B:$B,0))/12</f>
        <v>11666.666666666666</v>
      </c>
      <c r="X78" s="151">
        <f>X55*INDEX('1. Assumptions'!$G:$G,MATCH($B78,'1. Assumptions'!$B:$B,0))/12</f>
        <v>11666.666666666666</v>
      </c>
      <c r="Y78" s="151">
        <f>Y55*INDEX('1. Assumptions'!$G:$G,MATCH($B78,'1. Assumptions'!$B:$B,0))/12</f>
        <v>11666.666666666666</v>
      </c>
      <c r="Z78" s="151">
        <f>Z55*INDEX('1. Assumptions'!$G:$G,MATCH($B78,'1. Assumptions'!$B:$B,0))/12</f>
        <v>11666.666666666666</v>
      </c>
      <c r="AA78" s="151">
        <f>AA55*INDEX('1. Assumptions'!$G:$G,MATCH($B78,'1. Assumptions'!$B:$B,0))/12</f>
        <v>11666.666666666666</v>
      </c>
    </row>
    <row r="79" spans="1:29" s="3" customFormat="1" ht="26.4">
      <c r="A79" s="141" t="s">
        <v>7</v>
      </c>
      <c r="B79" s="141" t="s">
        <v>610</v>
      </c>
      <c r="C79" s="141" t="s">
        <v>64</v>
      </c>
      <c r="D79" s="152">
        <f>D56*INDEX('1. Assumptions'!$G:$G,MATCH($B79,'1. Assumptions'!$B:$B,0))/12</f>
        <v>0</v>
      </c>
      <c r="E79" s="152">
        <f>E56*INDEX('1. Assumptions'!$G:$G,MATCH($B79,'1. Assumptions'!$B:$B,0))/12</f>
        <v>0</v>
      </c>
      <c r="F79" s="152">
        <f>F56*INDEX('1. Assumptions'!$G:$G,MATCH($B79,'1. Assumptions'!$B:$B,0))/12</f>
        <v>0</v>
      </c>
      <c r="G79" s="152">
        <f>G56*INDEX('1. Assumptions'!$G:$G,MATCH($B79,'1. Assumptions'!$B:$B,0))/12</f>
        <v>0</v>
      </c>
      <c r="H79" s="152">
        <f>H56*INDEX('1. Assumptions'!$G:$G,MATCH($B79,'1. Assumptions'!$B:$B,0))/12</f>
        <v>0</v>
      </c>
      <c r="I79" s="152">
        <f>I56*INDEX('1. Assumptions'!$G:$G,MATCH($B79,'1. Assumptions'!$B:$B,0))/12</f>
        <v>0</v>
      </c>
      <c r="J79" s="152">
        <f>J56*INDEX('1. Assumptions'!$G:$G,MATCH($B79,'1. Assumptions'!$B:$B,0))/12</f>
        <v>0</v>
      </c>
      <c r="K79" s="152">
        <f>K56*INDEX('1. Assumptions'!$G:$G,MATCH($B79,'1. Assumptions'!$B:$B,0))/12</f>
        <v>0</v>
      </c>
      <c r="L79" s="152">
        <f>L56*INDEX('1. Assumptions'!$G:$G,MATCH($B79,'1. Assumptions'!$B:$B,0))/12</f>
        <v>0</v>
      </c>
      <c r="M79" s="152">
        <f>M56*INDEX('1. Assumptions'!$G:$G,MATCH($B79,'1. Assumptions'!$B:$B,0))/12</f>
        <v>0</v>
      </c>
      <c r="N79" s="152">
        <f>N56*INDEX('1. Assumptions'!$G:$G,MATCH($B79,'1. Assumptions'!$B:$B,0))/12</f>
        <v>0</v>
      </c>
      <c r="O79" s="152">
        <f>O56*INDEX('1. Assumptions'!$G:$G,MATCH($B79,'1. Assumptions'!$B:$B,0))/12</f>
        <v>0</v>
      </c>
      <c r="P79" s="152">
        <f>P56*INDEX('1. Assumptions'!$G:$G,MATCH($B79,'1. Assumptions'!$B:$B,0))/12</f>
        <v>0</v>
      </c>
      <c r="Q79" s="152">
        <f>Q56*INDEX('1. Assumptions'!$G:$G,MATCH($B79,'1. Assumptions'!$B:$B,0))/12</f>
        <v>0</v>
      </c>
      <c r="R79" s="152">
        <f>R56*INDEX('1. Assumptions'!$G:$G,MATCH($B79,'1. Assumptions'!$B:$B,0))/12</f>
        <v>0</v>
      </c>
      <c r="S79" s="152">
        <f>S56*INDEX('1. Assumptions'!$G:$G,MATCH($B79,'1. Assumptions'!$B:$B,0))/12</f>
        <v>0</v>
      </c>
      <c r="T79" s="152">
        <f>T56*INDEX('1. Assumptions'!$G:$G,MATCH($B79,'1. Assumptions'!$B:$B,0))/12</f>
        <v>0</v>
      </c>
      <c r="U79" s="152">
        <f>U56*INDEX('1. Assumptions'!$G:$G,MATCH($B79,'1. Assumptions'!$B:$B,0))/12</f>
        <v>0</v>
      </c>
      <c r="V79" s="152">
        <f>V56*INDEX('1. Assumptions'!$G:$G,MATCH($B79,'1. Assumptions'!$B:$B,0))/12</f>
        <v>0</v>
      </c>
      <c r="W79" s="151">
        <f>W56*INDEX('1. Assumptions'!$G:$G,MATCH($B79,'1. Assumptions'!$B:$B,0))/12</f>
        <v>13333.333333333334</v>
      </c>
      <c r="X79" s="151">
        <f>X56*INDEX('1. Assumptions'!$G:$G,MATCH($B79,'1. Assumptions'!$B:$B,0))/12</f>
        <v>13333.333333333334</v>
      </c>
      <c r="Y79" s="151">
        <f>Y56*INDEX('1. Assumptions'!$G:$G,MATCH($B79,'1. Assumptions'!$B:$B,0))/12</f>
        <v>13333.333333333334</v>
      </c>
      <c r="Z79" s="151">
        <f>Z56*INDEX('1. Assumptions'!$G:$G,MATCH($B79,'1. Assumptions'!$B:$B,0))/12</f>
        <v>13333.333333333334</v>
      </c>
      <c r="AA79" s="151">
        <f>AA56*INDEX('1. Assumptions'!$G:$G,MATCH($B79,'1. Assumptions'!$B:$B,0))/12</f>
        <v>13333.333333333334</v>
      </c>
    </row>
    <row r="80" spans="1:29" s="3" customFormat="1" ht="13.2">
      <c r="A80" s="141" t="s">
        <v>7</v>
      </c>
      <c r="B80" s="141" t="s">
        <v>847</v>
      </c>
      <c r="C80" s="141" t="s">
        <v>64</v>
      </c>
      <c r="D80" s="151">
        <f>SUM(D67:D79)</f>
        <v>20833.333333333336</v>
      </c>
      <c r="E80" s="151">
        <f t="shared" ref="E80:AA80" si="8">SUM(E67:E79)</f>
        <v>20833.333333333336</v>
      </c>
      <c r="F80" s="151">
        <f t="shared" si="8"/>
        <v>33333.333333333336</v>
      </c>
      <c r="G80" s="151">
        <f t="shared" si="8"/>
        <v>45833.333333333336</v>
      </c>
      <c r="H80" s="151">
        <f t="shared" si="8"/>
        <v>54166.666666666672</v>
      </c>
      <c r="I80" s="151">
        <f t="shared" si="8"/>
        <v>66666.666666666672</v>
      </c>
      <c r="J80" s="151">
        <f t="shared" si="8"/>
        <v>66666.666666666672</v>
      </c>
      <c r="K80" s="151">
        <f t="shared" si="8"/>
        <v>73750</v>
      </c>
      <c r="L80" s="151">
        <f t="shared" si="8"/>
        <v>85416.666666666672</v>
      </c>
      <c r="M80" s="151">
        <f t="shared" si="8"/>
        <v>96250</v>
      </c>
      <c r="N80" s="151">
        <f t="shared" si="8"/>
        <v>96250</v>
      </c>
      <c r="O80" s="151">
        <f t="shared" si="8"/>
        <v>107916.66666666667</v>
      </c>
      <c r="P80" s="151">
        <f t="shared" si="8"/>
        <v>107916.66666666667</v>
      </c>
      <c r="Q80" s="151">
        <f t="shared" si="8"/>
        <v>119583.33333333334</v>
      </c>
      <c r="R80" s="151">
        <f t="shared" si="8"/>
        <v>119583.33333333334</v>
      </c>
      <c r="S80" s="151">
        <f t="shared" si="8"/>
        <v>126666.66666666667</v>
      </c>
      <c r="T80" s="151">
        <f t="shared" si="8"/>
        <v>126666.66666666667</v>
      </c>
      <c r="U80" s="151">
        <f t="shared" si="8"/>
        <v>126666.66666666667</v>
      </c>
      <c r="V80" s="151">
        <f t="shared" si="8"/>
        <v>126666.66666666667</v>
      </c>
      <c r="W80" s="151">
        <f t="shared" si="8"/>
        <v>140000</v>
      </c>
      <c r="X80" s="151">
        <f t="shared" si="8"/>
        <v>140000</v>
      </c>
      <c r="Y80" s="151">
        <f t="shared" si="8"/>
        <v>140000</v>
      </c>
      <c r="Z80" s="151">
        <f t="shared" si="8"/>
        <v>140000</v>
      </c>
      <c r="AA80" s="151">
        <f t="shared" si="8"/>
        <v>140000</v>
      </c>
    </row>
    <row r="81" spans="1:29" s="3" customFormat="1" ht="13.2">
      <c r="A81" s="141" t="s">
        <v>848</v>
      </c>
      <c r="B81" s="141" t="s">
        <v>849</v>
      </c>
      <c r="C81" s="141" t="s">
        <v>64</v>
      </c>
      <c r="D81" s="151">
        <f>D80*INDEX('1. Assumptions'!$G:$G,MATCH("Benefits Load (% of salary)",'1. Assumptions'!$B:$B,0))</f>
        <v>4166.666666666667</v>
      </c>
      <c r="E81" s="151">
        <f>E80*INDEX('1. Assumptions'!$G:$G,MATCH("Benefits Load (% of salary)",'1. Assumptions'!$B:$B,0))</f>
        <v>4166.666666666667</v>
      </c>
      <c r="F81" s="151">
        <f>F80*INDEX('1. Assumptions'!$G:$G,MATCH("Benefits Load (% of salary)",'1. Assumptions'!$B:$B,0))</f>
        <v>6666.6666666666679</v>
      </c>
      <c r="G81" s="151">
        <f>G80*INDEX('1. Assumptions'!$G:$G,MATCH("Benefits Load (% of salary)",'1. Assumptions'!$B:$B,0))</f>
        <v>9166.6666666666679</v>
      </c>
      <c r="H81" s="151">
        <f>H80*INDEX('1. Assumptions'!$G:$G,MATCH("Benefits Load (% of salary)",'1. Assumptions'!$B:$B,0))</f>
        <v>10833.333333333336</v>
      </c>
      <c r="I81" s="151">
        <f>I80*INDEX('1. Assumptions'!$G:$G,MATCH("Benefits Load (% of salary)",'1. Assumptions'!$B:$B,0))</f>
        <v>13333.333333333336</v>
      </c>
      <c r="J81" s="151">
        <f>J80*INDEX('1. Assumptions'!$G:$G,MATCH("Benefits Load (% of salary)",'1. Assumptions'!$B:$B,0))</f>
        <v>13333.333333333336</v>
      </c>
      <c r="K81" s="151">
        <f>K80*INDEX('1. Assumptions'!$G:$G,MATCH("Benefits Load (% of salary)",'1. Assumptions'!$B:$B,0))</f>
        <v>14750</v>
      </c>
      <c r="L81" s="151">
        <f>L80*INDEX('1. Assumptions'!$G:$G,MATCH("Benefits Load (% of salary)",'1. Assumptions'!$B:$B,0))</f>
        <v>17083.333333333336</v>
      </c>
      <c r="M81" s="151">
        <f>M80*INDEX('1. Assumptions'!$G:$G,MATCH("Benefits Load (% of salary)",'1. Assumptions'!$B:$B,0))</f>
        <v>19250</v>
      </c>
      <c r="N81" s="151">
        <f>N80*INDEX('1. Assumptions'!$G:$G,MATCH("Benefits Load (% of salary)",'1. Assumptions'!$B:$B,0))</f>
        <v>19250</v>
      </c>
      <c r="O81" s="151">
        <f>O80*INDEX('1. Assumptions'!$G:$G,MATCH("Benefits Load (% of salary)",'1. Assumptions'!$B:$B,0))</f>
        <v>21583.333333333336</v>
      </c>
      <c r="P81" s="151">
        <f>P80*INDEX('1. Assumptions'!$G:$G,MATCH("Benefits Load (% of salary)",'1. Assumptions'!$B:$B,0))</f>
        <v>21583.333333333336</v>
      </c>
      <c r="Q81" s="151">
        <f>Q80*INDEX('1. Assumptions'!$G:$G,MATCH("Benefits Load (% of salary)",'1. Assumptions'!$B:$B,0))</f>
        <v>23916.666666666672</v>
      </c>
      <c r="R81" s="151">
        <f>R80*INDEX('1. Assumptions'!$G:$G,MATCH("Benefits Load (% of salary)",'1. Assumptions'!$B:$B,0))</f>
        <v>23916.666666666672</v>
      </c>
      <c r="S81" s="151">
        <f>S80*INDEX('1. Assumptions'!$G:$G,MATCH("Benefits Load (% of salary)",'1. Assumptions'!$B:$B,0))</f>
        <v>25333.333333333336</v>
      </c>
      <c r="T81" s="151">
        <f>T80*INDEX('1. Assumptions'!$G:$G,MATCH("Benefits Load (% of salary)",'1. Assumptions'!$B:$B,0))</f>
        <v>25333.333333333336</v>
      </c>
      <c r="U81" s="151">
        <f>U80*INDEX('1. Assumptions'!$G:$G,MATCH("Benefits Load (% of salary)",'1. Assumptions'!$B:$B,0))</f>
        <v>25333.333333333336</v>
      </c>
      <c r="V81" s="151">
        <f>V80*INDEX('1. Assumptions'!$G:$G,MATCH("Benefits Load (% of salary)",'1. Assumptions'!$B:$B,0))</f>
        <v>25333.333333333336</v>
      </c>
      <c r="W81" s="151">
        <f>W80*INDEX('1. Assumptions'!$G:$G,MATCH("Benefits Load (% of salary)",'1. Assumptions'!$B:$B,0))</f>
        <v>28000</v>
      </c>
      <c r="X81" s="151">
        <f>X80*INDEX('1. Assumptions'!$G:$G,MATCH("Benefits Load (% of salary)",'1. Assumptions'!$B:$B,0))</f>
        <v>28000</v>
      </c>
      <c r="Y81" s="151">
        <f>Y80*INDEX('1. Assumptions'!$G:$G,MATCH("Benefits Load (% of salary)",'1. Assumptions'!$B:$B,0))</f>
        <v>28000</v>
      </c>
      <c r="Z81" s="151">
        <f>Z80*INDEX('1. Assumptions'!$G:$G,MATCH("Benefits Load (% of salary)",'1. Assumptions'!$B:$B,0))</f>
        <v>28000</v>
      </c>
      <c r="AA81" s="151">
        <f>AA80*INDEX('1. Assumptions'!$G:$G,MATCH("Benefits Load (% of salary)",'1. Assumptions'!$B:$B,0))</f>
        <v>28000</v>
      </c>
    </row>
    <row r="82" spans="1:29" s="3" customFormat="1" ht="26.4">
      <c r="A82" s="141" t="s">
        <v>850</v>
      </c>
      <c r="B82" s="141" t="s">
        <v>334</v>
      </c>
      <c r="C82" s="141" t="s">
        <v>64</v>
      </c>
      <c r="D82" s="151">
        <f>D64*INDEX('1. Assumptions'!$G:$G,MATCH($B82,'1. Assumptions'!$B:$B,0))/12</f>
        <v>333.33333333333331</v>
      </c>
      <c r="E82" s="151">
        <f>E64*INDEX('1. Assumptions'!$G:$G,MATCH($B82,'1. Assumptions'!$B:$B,0))/12</f>
        <v>333.33333333333331</v>
      </c>
      <c r="F82" s="151">
        <f>F64*INDEX('1. Assumptions'!$G:$G,MATCH($B82,'1. Assumptions'!$B:$B,0))/12</f>
        <v>500</v>
      </c>
      <c r="G82" s="151">
        <f>G64*INDEX('1. Assumptions'!$G:$G,MATCH($B82,'1. Assumptions'!$B:$B,0))/12</f>
        <v>666.66666666666663</v>
      </c>
      <c r="H82" s="151">
        <f>H64*INDEX('1. Assumptions'!$G:$G,MATCH($B82,'1. Assumptions'!$B:$B,0))/12</f>
        <v>833.33333333333337</v>
      </c>
      <c r="I82" s="151">
        <f>I64*INDEX('1. Assumptions'!$G:$G,MATCH($B82,'1. Assumptions'!$B:$B,0))/12</f>
        <v>1000</v>
      </c>
      <c r="J82" s="151">
        <f>J64*INDEX('1. Assumptions'!$G:$G,MATCH($B82,'1. Assumptions'!$B:$B,0))/12</f>
        <v>1000</v>
      </c>
      <c r="K82" s="151">
        <f>K64*INDEX('1. Assumptions'!$G:$G,MATCH($B82,'1. Assumptions'!$B:$B,0))/12</f>
        <v>1166.6666666666667</v>
      </c>
      <c r="L82" s="151">
        <f>L64*INDEX('1. Assumptions'!$G:$G,MATCH($B82,'1. Assumptions'!$B:$B,0))/12</f>
        <v>1333.3333333333333</v>
      </c>
      <c r="M82" s="151">
        <f>M64*INDEX('1. Assumptions'!$G:$G,MATCH($B82,'1. Assumptions'!$B:$B,0))/12</f>
        <v>1500</v>
      </c>
      <c r="N82" s="151">
        <f>N64*INDEX('1. Assumptions'!$G:$G,MATCH($B82,'1. Assumptions'!$B:$B,0))/12</f>
        <v>1500</v>
      </c>
      <c r="O82" s="151">
        <f>O64*INDEX('1. Assumptions'!$G:$G,MATCH($B82,'1. Assumptions'!$B:$B,0))/12</f>
        <v>1666.6666666666667</v>
      </c>
      <c r="P82" s="151">
        <f>P64*INDEX('1. Assumptions'!$G:$G,MATCH($B82,'1. Assumptions'!$B:$B,0))/12</f>
        <v>1666.6666666666667</v>
      </c>
      <c r="Q82" s="151">
        <f>Q64*INDEX('1. Assumptions'!$G:$G,MATCH($B82,'1. Assumptions'!$B:$B,0))/12</f>
        <v>1833.3333333333333</v>
      </c>
      <c r="R82" s="151">
        <f>R64*INDEX('1. Assumptions'!$G:$G,MATCH($B82,'1. Assumptions'!$B:$B,0))/12</f>
        <v>1833.3333333333333</v>
      </c>
      <c r="S82" s="151">
        <f>S64*INDEX('1. Assumptions'!$G:$G,MATCH($B82,'1. Assumptions'!$B:$B,0))/12</f>
        <v>2000</v>
      </c>
      <c r="T82" s="151">
        <f>T64*INDEX('1. Assumptions'!$G:$G,MATCH($B82,'1. Assumptions'!$B:$B,0))/12</f>
        <v>2000</v>
      </c>
      <c r="U82" s="151">
        <f>U64*INDEX('1. Assumptions'!$G:$G,MATCH($B82,'1. Assumptions'!$B:$B,0))/12</f>
        <v>2000</v>
      </c>
      <c r="V82" s="151">
        <f>V64*INDEX('1. Assumptions'!$G:$G,MATCH($B82,'1. Assumptions'!$B:$B,0))/12</f>
        <v>2000</v>
      </c>
      <c r="W82" s="151">
        <f>W64*INDEX('1. Assumptions'!$G:$G,MATCH($B82,'1. Assumptions'!$B:$B,0))/12</f>
        <v>2166.6666666666665</v>
      </c>
      <c r="X82" s="151">
        <f>X64*INDEX('1. Assumptions'!$G:$G,MATCH($B82,'1. Assumptions'!$B:$B,0))/12</f>
        <v>2166.6666666666665</v>
      </c>
      <c r="Y82" s="151">
        <f>Y64*INDEX('1. Assumptions'!$G:$G,MATCH($B82,'1. Assumptions'!$B:$B,0))/12</f>
        <v>2166.6666666666665</v>
      </c>
      <c r="Z82" s="151">
        <f>Z64*INDEX('1. Assumptions'!$G:$G,MATCH($B82,'1. Assumptions'!$B:$B,0))/12</f>
        <v>2166.6666666666665</v>
      </c>
      <c r="AA82" s="151">
        <f>AA64*INDEX('1. Assumptions'!$G:$G,MATCH($B82,'1. Assumptions'!$B:$B,0))/12</f>
        <v>2166.6666666666665</v>
      </c>
    </row>
    <row r="83" spans="1:29" s="3" customFormat="1" ht="13.2">
      <c r="A83" s="141" t="s">
        <v>851</v>
      </c>
      <c r="B83" s="141" t="s">
        <v>852</v>
      </c>
      <c r="C83" s="141" t="s">
        <v>64</v>
      </c>
      <c r="D83" s="153">
        <f>D80+D81+D82</f>
        <v>25333.333333333336</v>
      </c>
      <c r="E83" s="153">
        <f t="shared" ref="E83:AA83" si="9">E80+E81+E82</f>
        <v>25333.333333333336</v>
      </c>
      <c r="F83" s="153">
        <f t="shared" si="9"/>
        <v>40500</v>
      </c>
      <c r="G83" s="153">
        <f t="shared" si="9"/>
        <v>55666.666666666664</v>
      </c>
      <c r="H83" s="153">
        <f t="shared" si="9"/>
        <v>65833.333333333343</v>
      </c>
      <c r="I83" s="153">
        <f t="shared" si="9"/>
        <v>81000</v>
      </c>
      <c r="J83" s="153">
        <f t="shared" si="9"/>
        <v>81000</v>
      </c>
      <c r="K83" s="153">
        <f t="shared" si="9"/>
        <v>89666.666666666672</v>
      </c>
      <c r="L83" s="153">
        <f t="shared" si="9"/>
        <v>103833.33333333333</v>
      </c>
      <c r="M83" s="153">
        <f t="shared" si="9"/>
        <v>117000</v>
      </c>
      <c r="N83" s="153">
        <f t="shared" si="9"/>
        <v>117000</v>
      </c>
      <c r="O83" s="153">
        <f t="shared" si="9"/>
        <v>131166.66666666666</v>
      </c>
      <c r="P83" s="153">
        <f t="shared" si="9"/>
        <v>131166.66666666666</v>
      </c>
      <c r="Q83" s="153">
        <f t="shared" si="9"/>
        <v>145333.33333333334</v>
      </c>
      <c r="R83" s="153">
        <f t="shared" si="9"/>
        <v>145333.33333333334</v>
      </c>
      <c r="S83" s="153">
        <f t="shared" si="9"/>
        <v>154000</v>
      </c>
      <c r="T83" s="153">
        <f t="shared" si="9"/>
        <v>154000</v>
      </c>
      <c r="U83" s="153">
        <f t="shared" si="9"/>
        <v>154000</v>
      </c>
      <c r="V83" s="153">
        <f t="shared" si="9"/>
        <v>154000</v>
      </c>
      <c r="W83" s="153">
        <f t="shared" si="9"/>
        <v>170166.66666666666</v>
      </c>
      <c r="X83" s="153">
        <f t="shared" si="9"/>
        <v>170166.66666666666</v>
      </c>
      <c r="Y83" s="153">
        <f t="shared" si="9"/>
        <v>170166.66666666666</v>
      </c>
      <c r="Z83" s="153">
        <f t="shared" si="9"/>
        <v>170166.66666666666</v>
      </c>
      <c r="AA83" s="153">
        <f t="shared" si="9"/>
        <v>170166.66666666666</v>
      </c>
    </row>
    <row r="84" spans="1:29" s="3" customFormat="1" ht="13.2">
      <c r="AB84" s="142"/>
    </row>
    <row r="85" spans="1:29" s="3" customFormat="1" ht="13.2">
      <c r="A85" s="105" t="s">
        <v>853</v>
      </c>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row>
    <row r="86" spans="1:29" s="3" customFormat="1" ht="13.2">
      <c r="A86" s="141" t="s">
        <v>854</v>
      </c>
      <c r="B86" s="141" t="s">
        <v>855</v>
      </c>
      <c r="C86" s="141" t="s">
        <v>64</v>
      </c>
      <c r="D86" s="154">
        <f>SUM(D68,D69,D72,D74,D75)</f>
        <v>10833.333333333334</v>
      </c>
      <c r="E86" s="154">
        <f t="shared" ref="E86:AA86" si="10">SUM(E68,E69,E72,E74,E75)</f>
        <v>10833.333333333334</v>
      </c>
      <c r="F86" s="154">
        <f t="shared" si="10"/>
        <v>23333.333333333336</v>
      </c>
      <c r="G86" s="154">
        <f t="shared" si="10"/>
        <v>23333.333333333336</v>
      </c>
      <c r="H86" s="154">
        <f t="shared" si="10"/>
        <v>23333.333333333336</v>
      </c>
      <c r="I86" s="154">
        <f t="shared" si="10"/>
        <v>35833.333333333336</v>
      </c>
      <c r="J86" s="154">
        <f t="shared" si="10"/>
        <v>35833.333333333336</v>
      </c>
      <c r="K86" s="154">
        <f t="shared" si="10"/>
        <v>35833.333333333336</v>
      </c>
      <c r="L86" s="154">
        <f t="shared" si="10"/>
        <v>35833.333333333336</v>
      </c>
      <c r="M86" s="154">
        <f t="shared" si="10"/>
        <v>46666.666666666672</v>
      </c>
      <c r="N86" s="154">
        <f t="shared" si="10"/>
        <v>46666.666666666672</v>
      </c>
      <c r="O86" s="154">
        <f t="shared" si="10"/>
        <v>58333.333333333336</v>
      </c>
      <c r="P86" s="154">
        <f t="shared" si="10"/>
        <v>58333.333333333336</v>
      </c>
      <c r="Q86" s="154">
        <f t="shared" si="10"/>
        <v>58333.333333333336</v>
      </c>
      <c r="R86" s="154">
        <f t="shared" si="10"/>
        <v>58333.333333333336</v>
      </c>
      <c r="S86" s="154">
        <f t="shared" si="10"/>
        <v>58333.333333333336</v>
      </c>
      <c r="T86" s="154">
        <f t="shared" si="10"/>
        <v>58333.333333333336</v>
      </c>
      <c r="U86" s="154">
        <f t="shared" si="10"/>
        <v>58333.333333333336</v>
      </c>
      <c r="V86" s="154">
        <f t="shared" si="10"/>
        <v>58333.333333333336</v>
      </c>
      <c r="W86" s="154">
        <f t="shared" si="10"/>
        <v>58333.333333333336</v>
      </c>
      <c r="X86" s="154">
        <f t="shared" si="10"/>
        <v>58333.333333333336</v>
      </c>
      <c r="Y86" s="154">
        <f t="shared" si="10"/>
        <v>58333.333333333336</v>
      </c>
      <c r="Z86" s="154">
        <f t="shared" si="10"/>
        <v>58333.333333333336</v>
      </c>
      <c r="AA86" s="154">
        <f t="shared" si="10"/>
        <v>58333.333333333336</v>
      </c>
    </row>
    <row r="87" spans="1:29" s="3" customFormat="1" ht="13.2">
      <c r="A87" s="141" t="s">
        <v>854</v>
      </c>
      <c r="B87" s="141" t="s">
        <v>856</v>
      </c>
      <c r="C87" s="141" t="s">
        <v>64</v>
      </c>
      <c r="D87" s="155">
        <f>SUM(D70,D71,D76,D78)</f>
        <v>0</v>
      </c>
      <c r="E87" s="155">
        <f t="shared" ref="E87:AA87" si="11">SUM(E70,E71,E76,E78)</f>
        <v>0</v>
      </c>
      <c r="F87" s="155">
        <f t="shared" si="11"/>
        <v>0</v>
      </c>
      <c r="G87" s="154">
        <f t="shared" si="11"/>
        <v>12500</v>
      </c>
      <c r="H87" s="154">
        <f t="shared" si="11"/>
        <v>20833.333333333336</v>
      </c>
      <c r="I87" s="154">
        <f t="shared" si="11"/>
        <v>20833.333333333336</v>
      </c>
      <c r="J87" s="154">
        <f t="shared" si="11"/>
        <v>20833.333333333336</v>
      </c>
      <c r="K87" s="154">
        <f t="shared" si="11"/>
        <v>20833.333333333336</v>
      </c>
      <c r="L87" s="154">
        <f t="shared" si="11"/>
        <v>32500</v>
      </c>
      <c r="M87" s="154">
        <f t="shared" si="11"/>
        <v>32500</v>
      </c>
      <c r="N87" s="154">
        <f t="shared" si="11"/>
        <v>32500</v>
      </c>
      <c r="O87" s="154">
        <f t="shared" si="11"/>
        <v>32500</v>
      </c>
      <c r="P87" s="154">
        <f t="shared" si="11"/>
        <v>32500</v>
      </c>
      <c r="Q87" s="154">
        <f t="shared" si="11"/>
        <v>44166.666666666664</v>
      </c>
      <c r="R87" s="154">
        <f t="shared" si="11"/>
        <v>44166.666666666664</v>
      </c>
      <c r="S87" s="154">
        <f t="shared" si="11"/>
        <v>44166.666666666664</v>
      </c>
      <c r="T87" s="154">
        <f t="shared" si="11"/>
        <v>44166.666666666664</v>
      </c>
      <c r="U87" s="154">
        <f t="shared" si="11"/>
        <v>44166.666666666664</v>
      </c>
      <c r="V87" s="154">
        <f t="shared" si="11"/>
        <v>44166.666666666664</v>
      </c>
      <c r="W87" s="154">
        <f t="shared" si="11"/>
        <v>44166.666666666664</v>
      </c>
      <c r="X87" s="154">
        <f t="shared" si="11"/>
        <v>44166.666666666664</v>
      </c>
      <c r="Y87" s="154">
        <f t="shared" si="11"/>
        <v>44166.666666666664</v>
      </c>
      <c r="Z87" s="154">
        <f t="shared" si="11"/>
        <v>44166.666666666664</v>
      </c>
      <c r="AA87" s="154">
        <f t="shared" si="11"/>
        <v>44166.666666666664</v>
      </c>
    </row>
    <row r="88" spans="1:29" s="3" customFormat="1" ht="13.2">
      <c r="A88" s="141" t="s">
        <v>854</v>
      </c>
      <c r="B88" s="141" t="s">
        <v>857</v>
      </c>
      <c r="C88" s="141" t="s">
        <v>64</v>
      </c>
      <c r="D88" s="154">
        <f>SUM(D67,D79)</f>
        <v>10000</v>
      </c>
      <c r="E88" s="154">
        <f t="shared" ref="E88:AA88" si="12">SUM(E67,E79)</f>
        <v>10000</v>
      </c>
      <c r="F88" s="154">
        <f t="shared" si="12"/>
        <v>10000</v>
      </c>
      <c r="G88" s="154">
        <f t="shared" si="12"/>
        <v>10000</v>
      </c>
      <c r="H88" s="154">
        <f t="shared" si="12"/>
        <v>10000</v>
      </c>
      <c r="I88" s="154">
        <f t="shared" si="12"/>
        <v>10000</v>
      </c>
      <c r="J88" s="154">
        <f t="shared" si="12"/>
        <v>10000</v>
      </c>
      <c r="K88" s="154">
        <f t="shared" si="12"/>
        <v>10000</v>
      </c>
      <c r="L88" s="154">
        <f t="shared" si="12"/>
        <v>10000</v>
      </c>
      <c r="M88" s="154">
        <f t="shared" si="12"/>
        <v>10000</v>
      </c>
      <c r="N88" s="154">
        <f t="shared" si="12"/>
        <v>10000</v>
      </c>
      <c r="O88" s="154">
        <f t="shared" si="12"/>
        <v>10000</v>
      </c>
      <c r="P88" s="154">
        <f t="shared" si="12"/>
        <v>10000</v>
      </c>
      <c r="Q88" s="154">
        <f t="shared" si="12"/>
        <v>10000</v>
      </c>
      <c r="R88" s="154">
        <f t="shared" si="12"/>
        <v>10000</v>
      </c>
      <c r="S88" s="154">
        <f t="shared" si="12"/>
        <v>10000</v>
      </c>
      <c r="T88" s="154">
        <f t="shared" si="12"/>
        <v>10000</v>
      </c>
      <c r="U88" s="154">
        <f t="shared" si="12"/>
        <v>10000</v>
      </c>
      <c r="V88" s="154">
        <f t="shared" si="12"/>
        <v>10000</v>
      </c>
      <c r="W88" s="154">
        <f t="shared" si="12"/>
        <v>23333.333333333336</v>
      </c>
      <c r="X88" s="154">
        <f t="shared" si="12"/>
        <v>23333.333333333336</v>
      </c>
      <c r="Y88" s="154">
        <f t="shared" si="12"/>
        <v>23333.333333333336</v>
      </c>
      <c r="Z88" s="154">
        <f t="shared" si="12"/>
        <v>23333.333333333336</v>
      </c>
      <c r="AA88" s="154">
        <f t="shared" si="12"/>
        <v>23333.333333333336</v>
      </c>
    </row>
    <row r="89" spans="1:29" s="3" customFormat="1" ht="13.2">
      <c r="A89" s="141" t="s">
        <v>854</v>
      </c>
      <c r="B89" s="141" t="s">
        <v>858</v>
      </c>
      <c r="C89" s="141" t="s">
        <v>64</v>
      </c>
      <c r="D89" s="155">
        <f>SUM(D73,D77)</f>
        <v>0</v>
      </c>
      <c r="E89" s="155">
        <f t="shared" ref="E89:AA89" si="13">SUM(E73,E77)</f>
        <v>0</v>
      </c>
      <c r="F89" s="155">
        <f t="shared" si="13"/>
        <v>0</v>
      </c>
      <c r="G89" s="155">
        <f t="shared" si="13"/>
        <v>0</v>
      </c>
      <c r="H89" s="155">
        <f t="shared" si="13"/>
        <v>0</v>
      </c>
      <c r="I89" s="155">
        <f t="shared" si="13"/>
        <v>0</v>
      </c>
      <c r="J89" s="155">
        <f t="shared" si="13"/>
        <v>0</v>
      </c>
      <c r="K89" s="154">
        <f t="shared" si="13"/>
        <v>7083.333333333333</v>
      </c>
      <c r="L89" s="154">
        <f t="shared" si="13"/>
        <v>7083.333333333333</v>
      </c>
      <c r="M89" s="154">
        <f t="shared" si="13"/>
        <v>7083.333333333333</v>
      </c>
      <c r="N89" s="154">
        <f t="shared" si="13"/>
        <v>7083.333333333333</v>
      </c>
      <c r="O89" s="154">
        <f t="shared" si="13"/>
        <v>7083.333333333333</v>
      </c>
      <c r="P89" s="154">
        <f t="shared" si="13"/>
        <v>7083.333333333333</v>
      </c>
      <c r="Q89" s="154">
        <f t="shared" si="13"/>
        <v>7083.333333333333</v>
      </c>
      <c r="R89" s="154">
        <f t="shared" si="13"/>
        <v>7083.333333333333</v>
      </c>
      <c r="S89" s="154">
        <f t="shared" si="13"/>
        <v>14166.666666666666</v>
      </c>
      <c r="T89" s="154">
        <f t="shared" si="13"/>
        <v>14166.666666666666</v>
      </c>
      <c r="U89" s="154">
        <f t="shared" si="13"/>
        <v>14166.666666666666</v>
      </c>
      <c r="V89" s="154">
        <f t="shared" si="13"/>
        <v>14166.666666666666</v>
      </c>
      <c r="W89" s="154">
        <f t="shared" si="13"/>
        <v>14166.666666666666</v>
      </c>
      <c r="X89" s="154">
        <f t="shared" si="13"/>
        <v>14166.666666666666</v>
      </c>
      <c r="Y89" s="154">
        <f t="shared" si="13"/>
        <v>14166.666666666666</v>
      </c>
      <c r="Z89" s="154">
        <f t="shared" si="13"/>
        <v>14166.666666666666</v>
      </c>
      <c r="AA89" s="154">
        <f t="shared" si="13"/>
        <v>14166.666666666666</v>
      </c>
    </row>
    <row r="90" spans="1:29" s="3" customFormat="1" ht="13.2">
      <c r="A90" s="141" t="s">
        <v>854</v>
      </c>
      <c r="B90" s="141" t="s">
        <v>859</v>
      </c>
      <c r="C90" s="141" t="s">
        <v>64</v>
      </c>
      <c r="D90" s="154">
        <f>D86*(1+INDEX('1. Assumptions'!$G:$G,MATCH("Benefits Load (% of salary)",'1. Assumptions'!$B:$B,0)))+D59*INDEX('1. Assumptions'!$G:$G,MATCH($B$82,'1. Assumptions'!$B:$B,0))/12</f>
        <v>13166.666666666666</v>
      </c>
      <c r="E90" s="154">
        <f>E86*(1+INDEX('1. Assumptions'!$G:$G,MATCH("Benefits Load (% of salary)",'1. Assumptions'!$B:$B,0)))+E59*INDEX('1. Assumptions'!$G:$G,MATCH($B$82,'1. Assumptions'!$B:$B,0))/12</f>
        <v>13166.666666666666</v>
      </c>
      <c r="F90" s="154">
        <f>F86*(1+INDEX('1. Assumptions'!$G:$G,MATCH("Benefits Load (% of salary)",'1. Assumptions'!$B:$B,0)))+F59*INDEX('1. Assumptions'!$G:$G,MATCH($B$82,'1. Assumptions'!$B:$B,0))/12</f>
        <v>28333.333333333336</v>
      </c>
      <c r="G90" s="154">
        <f>G86*(1+INDEX('1. Assumptions'!$G:$G,MATCH("Benefits Load (% of salary)",'1. Assumptions'!$B:$B,0)))+G59*INDEX('1. Assumptions'!$G:$G,MATCH($B$82,'1. Assumptions'!$B:$B,0))/12</f>
        <v>28333.333333333336</v>
      </c>
      <c r="H90" s="154">
        <f>H86*(1+INDEX('1. Assumptions'!$G:$G,MATCH("Benefits Load (% of salary)",'1. Assumptions'!$B:$B,0)))+H59*INDEX('1. Assumptions'!$G:$G,MATCH($B$82,'1. Assumptions'!$B:$B,0))/12</f>
        <v>28333.333333333336</v>
      </c>
      <c r="I90" s="154">
        <f>I86*(1+INDEX('1. Assumptions'!$G:$G,MATCH("Benefits Load (% of salary)",'1. Assumptions'!$B:$B,0)))+I59*INDEX('1. Assumptions'!$G:$G,MATCH($B$82,'1. Assumptions'!$B:$B,0))/12</f>
        <v>43500</v>
      </c>
      <c r="J90" s="154">
        <f>J86*(1+INDEX('1. Assumptions'!$G:$G,MATCH("Benefits Load (% of salary)",'1. Assumptions'!$B:$B,0)))+J59*INDEX('1. Assumptions'!$G:$G,MATCH($B$82,'1. Assumptions'!$B:$B,0))/12</f>
        <v>43500</v>
      </c>
      <c r="K90" s="154">
        <f>K86*(1+INDEX('1. Assumptions'!$G:$G,MATCH("Benefits Load (% of salary)",'1. Assumptions'!$B:$B,0)))+K59*INDEX('1. Assumptions'!$G:$G,MATCH($B$82,'1. Assumptions'!$B:$B,0))/12</f>
        <v>43500</v>
      </c>
      <c r="L90" s="154">
        <f>L86*(1+INDEX('1. Assumptions'!$G:$G,MATCH("Benefits Load (% of salary)",'1. Assumptions'!$B:$B,0)))+L59*INDEX('1. Assumptions'!$G:$G,MATCH($B$82,'1. Assumptions'!$B:$B,0))/12</f>
        <v>43500</v>
      </c>
      <c r="M90" s="154">
        <f>M86*(1+INDEX('1. Assumptions'!$G:$G,MATCH("Benefits Load (% of salary)",'1. Assumptions'!$B:$B,0)))+M59*INDEX('1. Assumptions'!$G:$G,MATCH($B$82,'1. Assumptions'!$B:$B,0))/12</f>
        <v>56666.666666666672</v>
      </c>
      <c r="N90" s="154">
        <f>N86*(1+INDEX('1. Assumptions'!$G:$G,MATCH("Benefits Load (% of salary)",'1. Assumptions'!$B:$B,0)))+N59*INDEX('1. Assumptions'!$G:$G,MATCH($B$82,'1. Assumptions'!$B:$B,0))/12</f>
        <v>56666.666666666672</v>
      </c>
      <c r="O90" s="154">
        <f>O86*(1+INDEX('1. Assumptions'!$G:$G,MATCH("Benefits Load (% of salary)",'1. Assumptions'!$B:$B,0)))+O59*INDEX('1. Assumptions'!$G:$G,MATCH($B$82,'1. Assumptions'!$B:$B,0))/12</f>
        <v>70833.333333333328</v>
      </c>
      <c r="P90" s="154">
        <f>P86*(1+INDEX('1. Assumptions'!$G:$G,MATCH("Benefits Load (% of salary)",'1. Assumptions'!$B:$B,0)))+P59*INDEX('1. Assumptions'!$G:$G,MATCH($B$82,'1. Assumptions'!$B:$B,0))/12</f>
        <v>70833.333333333328</v>
      </c>
      <c r="Q90" s="154">
        <f>Q86*(1+INDEX('1. Assumptions'!$G:$G,MATCH("Benefits Load (% of salary)",'1. Assumptions'!$B:$B,0)))+Q59*INDEX('1. Assumptions'!$G:$G,MATCH($B$82,'1. Assumptions'!$B:$B,0))/12</f>
        <v>70833.333333333328</v>
      </c>
      <c r="R90" s="154">
        <f>R86*(1+INDEX('1. Assumptions'!$G:$G,MATCH("Benefits Load (% of salary)",'1. Assumptions'!$B:$B,0)))+R59*INDEX('1. Assumptions'!$G:$G,MATCH($B$82,'1. Assumptions'!$B:$B,0))/12</f>
        <v>70833.333333333328</v>
      </c>
      <c r="S90" s="154">
        <f>S86*(1+INDEX('1. Assumptions'!$G:$G,MATCH("Benefits Load (% of salary)",'1. Assumptions'!$B:$B,0)))+S59*INDEX('1. Assumptions'!$G:$G,MATCH($B$82,'1. Assumptions'!$B:$B,0))/12</f>
        <v>70833.333333333328</v>
      </c>
      <c r="T90" s="154">
        <f>T86*(1+INDEX('1. Assumptions'!$G:$G,MATCH("Benefits Load (% of salary)",'1. Assumptions'!$B:$B,0)))+T59*INDEX('1. Assumptions'!$G:$G,MATCH($B$82,'1. Assumptions'!$B:$B,0))/12</f>
        <v>70833.333333333328</v>
      </c>
      <c r="U90" s="154">
        <f>U86*(1+INDEX('1. Assumptions'!$G:$G,MATCH("Benefits Load (% of salary)",'1. Assumptions'!$B:$B,0)))+U59*INDEX('1. Assumptions'!$G:$G,MATCH($B$82,'1. Assumptions'!$B:$B,0))/12</f>
        <v>70833.333333333328</v>
      </c>
      <c r="V90" s="154">
        <f>V86*(1+INDEX('1. Assumptions'!$G:$G,MATCH("Benefits Load (% of salary)",'1. Assumptions'!$B:$B,0)))+V59*INDEX('1. Assumptions'!$G:$G,MATCH($B$82,'1. Assumptions'!$B:$B,0))/12</f>
        <v>70833.333333333328</v>
      </c>
      <c r="W90" s="154">
        <f>W86*(1+INDEX('1. Assumptions'!$G:$G,MATCH("Benefits Load (% of salary)",'1. Assumptions'!$B:$B,0)))+W59*INDEX('1. Assumptions'!$G:$G,MATCH($B$82,'1. Assumptions'!$B:$B,0))/12</f>
        <v>70833.333333333328</v>
      </c>
      <c r="X90" s="154">
        <f>X86*(1+INDEX('1. Assumptions'!$G:$G,MATCH("Benefits Load (% of salary)",'1. Assumptions'!$B:$B,0)))+X59*INDEX('1. Assumptions'!$G:$G,MATCH($B$82,'1. Assumptions'!$B:$B,0))/12</f>
        <v>70833.333333333328</v>
      </c>
      <c r="Y90" s="154">
        <f>Y86*(1+INDEX('1. Assumptions'!$G:$G,MATCH("Benefits Load (% of salary)",'1. Assumptions'!$B:$B,0)))+Y59*INDEX('1. Assumptions'!$G:$G,MATCH($B$82,'1. Assumptions'!$B:$B,0))/12</f>
        <v>70833.333333333328</v>
      </c>
      <c r="Z90" s="154">
        <f>Z86*(1+INDEX('1. Assumptions'!$G:$G,MATCH("Benefits Load (% of salary)",'1. Assumptions'!$B:$B,0)))+Z59*INDEX('1. Assumptions'!$G:$G,MATCH($B$82,'1. Assumptions'!$B:$B,0))/12</f>
        <v>70833.333333333328</v>
      </c>
      <c r="AA90" s="154">
        <f>AA86*(1+INDEX('1. Assumptions'!$G:$G,MATCH("Benefits Load (% of salary)",'1. Assumptions'!$B:$B,0)))+AA59*INDEX('1. Assumptions'!$G:$G,MATCH($B$82,'1. Assumptions'!$B:$B,0))/12</f>
        <v>70833.333333333328</v>
      </c>
    </row>
    <row r="91" spans="1:29" s="3" customFormat="1" ht="26.4">
      <c r="A91" s="141" t="s">
        <v>854</v>
      </c>
      <c r="B91" s="141" t="s">
        <v>860</v>
      </c>
      <c r="C91" s="141" t="s">
        <v>64</v>
      </c>
      <c r="D91" s="155">
        <f>D87*(1+INDEX('1. Assumptions'!$G:$G,MATCH("Benefits Load (% of salary)",'1. Assumptions'!$B:$B,0)))+D60*INDEX('1. Assumptions'!$G:$G,MATCH($B$82,'1. Assumptions'!$B:$B,0))/12</f>
        <v>0</v>
      </c>
      <c r="E91" s="155">
        <f>E87*(1+INDEX('1. Assumptions'!$G:$G,MATCH("Benefits Load (% of salary)",'1. Assumptions'!$B:$B,0)))+E60*INDEX('1. Assumptions'!$G:$G,MATCH($B$82,'1. Assumptions'!$B:$B,0))/12</f>
        <v>0</v>
      </c>
      <c r="F91" s="155">
        <f>F87*(1+INDEX('1. Assumptions'!$G:$G,MATCH("Benefits Load (% of salary)",'1. Assumptions'!$B:$B,0)))+F60*INDEX('1. Assumptions'!$G:$G,MATCH($B$82,'1. Assumptions'!$B:$B,0))/12</f>
        <v>0</v>
      </c>
      <c r="G91" s="156">
        <f>G87*(1+INDEX('1. Assumptions'!$G:$G,MATCH("Benefits Load (% of salary)",'1. Assumptions'!$B:$B,0)))+G60*INDEX('1. Assumptions'!$G:$G,MATCH($B$82,'1. Assumptions'!$B:$B,0))/12</f>
        <v>15166.666666666666</v>
      </c>
      <c r="H91" s="156">
        <f>H87*(1+INDEX('1. Assumptions'!$G:$G,MATCH("Benefits Load (% of salary)",'1. Assumptions'!$B:$B,0)))+H60*INDEX('1. Assumptions'!$G:$G,MATCH($B$82,'1. Assumptions'!$B:$B,0))/12</f>
        <v>25333.333333333336</v>
      </c>
      <c r="I91" s="156">
        <f>I87*(1+INDEX('1. Assumptions'!$G:$G,MATCH("Benefits Load (% of salary)",'1. Assumptions'!$B:$B,0)))+I60*INDEX('1. Assumptions'!$G:$G,MATCH($B$82,'1. Assumptions'!$B:$B,0))/12</f>
        <v>25333.333333333336</v>
      </c>
      <c r="J91" s="156">
        <f>J87*(1+INDEX('1. Assumptions'!$G:$G,MATCH("Benefits Load (% of salary)",'1. Assumptions'!$B:$B,0)))+J60*INDEX('1. Assumptions'!$G:$G,MATCH($B$82,'1. Assumptions'!$B:$B,0))/12</f>
        <v>25333.333333333336</v>
      </c>
      <c r="K91" s="156">
        <f>K87*(1+INDEX('1. Assumptions'!$G:$G,MATCH("Benefits Load (% of salary)",'1. Assumptions'!$B:$B,0)))+K60*INDEX('1. Assumptions'!$G:$G,MATCH($B$82,'1. Assumptions'!$B:$B,0))/12</f>
        <v>25333.333333333336</v>
      </c>
      <c r="L91" s="156">
        <f>L87*(1+INDEX('1. Assumptions'!$G:$G,MATCH("Benefits Load (% of salary)",'1. Assumptions'!$B:$B,0)))+L60*INDEX('1. Assumptions'!$G:$G,MATCH($B$82,'1. Assumptions'!$B:$B,0))/12</f>
        <v>39500</v>
      </c>
      <c r="M91" s="156">
        <f>M87*(1+INDEX('1. Assumptions'!$G:$G,MATCH("Benefits Load (% of salary)",'1. Assumptions'!$B:$B,0)))+M60*INDEX('1. Assumptions'!$G:$G,MATCH($B$82,'1. Assumptions'!$B:$B,0))/12</f>
        <v>39500</v>
      </c>
      <c r="N91" s="156">
        <f>N87*(1+INDEX('1. Assumptions'!$G:$G,MATCH("Benefits Load (% of salary)",'1. Assumptions'!$B:$B,0)))+N60*INDEX('1. Assumptions'!$G:$G,MATCH($B$82,'1. Assumptions'!$B:$B,0))/12</f>
        <v>39500</v>
      </c>
      <c r="O91" s="156">
        <f>O87*(1+INDEX('1. Assumptions'!$G:$G,MATCH("Benefits Load (% of salary)",'1. Assumptions'!$B:$B,0)))+O60*INDEX('1. Assumptions'!$G:$G,MATCH($B$82,'1. Assumptions'!$B:$B,0))/12</f>
        <v>39500</v>
      </c>
      <c r="P91" s="156">
        <f>P87*(1+INDEX('1. Assumptions'!$G:$G,MATCH("Benefits Load (% of salary)",'1. Assumptions'!$B:$B,0)))+P60*INDEX('1. Assumptions'!$G:$G,MATCH($B$82,'1. Assumptions'!$B:$B,0))/12</f>
        <v>39500</v>
      </c>
      <c r="Q91" s="156">
        <f>Q87*(1+INDEX('1. Assumptions'!$G:$G,MATCH("Benefits Load (% of salary)",'1. Assumptions'!$B:$B,0)))+Q60*INDEX('1. Assumptions'!$G:$G,MATCH($B$82,'1. Assumptions'!$B:$B,0))/12</f>
        <v>53666.666666666657</v>
      </c>
      <c r="R91" s="156">
        <f>R87*(1+INDEX('1. Assumptions'!$G:$G,MATCH("Benefits Load (% of salary)",'1. Assumptions'!$B:$B,0)))+R60*INDEX('1. Assumptions'!$G:$G,MATCH($B$82,'1. Assumptions'!$B:$B,0))/12</f>
        <v>53666.666666666657</v>
      </c>
      <c r="S91" s="156">
        <f>S87*(1+INDEX('1. Assumptions'!$G:$G,MATCH("Benefits Load (% of salary)",'1. Assumptions'!$B:$B,0)))+S60*INDEX('1. Assumptions'!$G:$G,MATCH($B$82,'1. Assumptions'!$B:$B,0))/12</f>
        <v>53666.666666666657</v>
      </c>
      <c r="T91" s="156">
        <f>T87*(1+INDEX('1. Assumptions'!$G:$G,MATCH("Benefits Load (% of salary)",'1. Assumptions'!$B:$B,0)))+T60*INDEX('1. Assumptions'!$G:$G,MATCH($B$82,'1. Assumptions'!$B:$B,0))/12</f>
        <v>53666.666666666657</v>
      </c>
      <c r="U91" s="156">
        <f>U87*(1+INDEX('1. Assumptions'!$G:$G,MATCH("Benefits Load (% of salary)",'1. Assumptions'!$B:$B,0)))+U60*INDEX('1. Assumptions'!$G:$G,MATCH($B$82,'1. Assumptions'!$B:$B,0))/12</f>
        <v>53666.666666666657</v>
      </c>
      <c r="V91" s="156">
        <f>V87*(1+INDEX('1. Assumptions'!$G:$G,MATCH("Benefits Load (% of salary)",'1. Assumptions'!$B:$B,0)))+V60*INDEX('1. Assumptions'!$G:$G,MATCH($B$82,'1. Assumptions'!$B:$B,0))/12</f>
        <v>53666.666666666657</v>
      </c>
      <c r="W91" s="156">
        <f>W87*(1+INDEX('1. Assumptions'!$G:$G,MATCH("Benefits Load (% of salary)",'1. Assumptions'!$B:$B,0)))+W60*INDEX('1. Assumptions'!$G:$G,MATCH($B$82,'1. Assumptions'!$B:$B,0))/12</f>
        <v>53666.666666666657</v>
      </c>
      <c r="X91" s="156">
        <f>X87*(1+INDEX('1. Assumptions'!$G:$G,MATCH("Benefits Load (% of salary)",'1. Assumptions'!$B:$B,0)))+X60*INDEX('1. Assumptions'!$G:$G,MATCH($B$82,'1. Assumptions'!$B:$B,0))/12</f>
        <v>53666.666666666657</v>
      </c>
      <c r="Y91" s="156">
        <f>Y87*(1+INDEX('1. Assumptions'!$G:$G,MATCH("Benefits Load (% of salary)",'1. Assumptions'!$B:$B,0)))+Y60*INDEX('1. Assumptions'!$G:$G,MATCH($B$82,'1. Assumptions'!$B:$B,0))/12</f>
        <v>53666.666666666657</v>
      </c>
      <c r="Z91" s="156">
        <f>Z87*(1+INDEX('1. Assumptions'!$G:$G,MATCH("Benefits Load (% of salary)",'1. Assumptions'!$B:$B,0)))+Z60*INDEX('1. Assumptions'!$G:$G,MATCH($B$82,'1. Assumptions'!$B:$B,0))/12</f>
        <v>53666.666666666657</v>
      </c>
      <c r="AA91" s="156">
        <f>AA87*(1+INDEX('1. Assumptions'!$G:$G,MATCH("Benefits Load (% of salary)",'1. Assumptions'!$B:$B,0)))+AA60*INDEX('1. Assumptions'!$G:$G,MATCH($B$82,'1. Assumptions'!$B:$B,0))/12</f>
        <v>53666.666666666657</v>
      </c>
    </row>
    <row r="92" spans="1:29" s="3" customFormat="1" ht="13.2">
      <c r="A92" s="141" t="s">
        <v>854</v>
      </c>
      <c r="B92" s="141" t="s">
        <v>861</v>
      </c>
      <c r="C92" s="141" t="s">
        <v>64</v>
      </c>
      <c r="D92" s="154">
        <f>D88*(1+INDEX('1. Assumptions'!$G:$G,MATCH("Benefits Load (% of salary)",'1. Assumptions'!$B:$B,0)))+D61*INDEX('1. Assumptions'!$G:$G,MATCH("Tools &amp; Equipment ($/employee/year)",'1. Assumptions'!$B:$B,0))/12</f>
        <v>12166.666666666666</v>
      </c>
      <c r="E92" s="154">
        <f>E88*(1+INDEX('1. Assumptions'!$G:$G,MATCH("Benefits Load (% of salary)",'1. Assumptions'!$B:$B,0)))+E61*INDEX('1. Assumptions'!$G:$G,MATCH("Tools &amp; Equipment ($/employee/year)",'1. Assumptions'!$B:$B,0))/12</f>
        <v>12166.666666666666</v>
      </c>
      <c r="F92" s="154">
        <f>F88*(1+INDEX('1. Assumptions'!$G:$G,MATCH("Benefits Load (% of salary)",'1. Assumptions'!$B:$B,0)))+F61*INDEX('1. Assumptions'!$G:$G,MATCH("Tools &amp; Equipment ($/employee/year)",'1. Assumptions'!$B:$B,0))/12</f>
        <v>12166.666666666666</v>
      </c>
      <c r="G92" s="154">
        <f>G88*(1+INDEX('1. Assumptions'!$G:$G,MATCH("Benefits Load (% of salary)",'1. Assumptions'!$B:$B,0)))+G61*INDEX('1. Assumptions'!$G:$G,MATCH("Tools &amp; Equipment ($/employee/year)",'1. Assumptions'!$B:$B,0))/12</f>
        <v>12166.666666666666</v>
      </c>
      <c r="H92" s="154">
        <f>H88*(1+INDEX('1. Assumptions'!$G:$G,MATCH("Benefits Load (% of salary)",'1. Assumptions'!$B:$B,0)))+H61*INDEX('1. Assumptions'!$G:$G,MATCH("Tools &amp; Equipment ($/employee/year)",'1. Assumptions'!$B:$B,0))/12</f>
        <v>12166.666666666666</v>
      </c>
      <c r="I92" s="154">
        <f>I88*(1+INDEX('1. Assumptions'!$G:$G,MATCH("Benefits Load (% of salary)",'1. Assumptions'!$B:$B,0)))+I61*INDEX('1. Assumptions'!$G:$G,MATCH("Tools &amp; Equipment ($/employee/year)",'1. Assumptions'!$B:$B,0))/12</f>
        <v>12166.666666666666</v>
      </c>
      <c r="J92" s="154">
        <f>J88*(1+INDEX('1. Assumptions'!$G:$G,MATCH("Benefits Load (% of salary)",'1. Assumptions'!$B:$B,0)))+J61*INDEX('1. Assumptions'!$G:$G,MATCH("Tools &amp; Equipment ($/employee/year)",'1. Assumptions'!$B:$B,0))/12</f>
        <v>12166.666666666666</v>
      </c>
      <c r="K92" s="154">
        <f>K88*(1+INDEX('1. Assumptions'!$G:$G,MATCH("Benefits Load (% of salary)",'1. Assumptions'!$B:$B,0)))+K61*INDEX('1. Assumptions'!$G:$G,MATCH("Tools &amp; Equipment ($/employee/year)",'1. Assumptions'!$B:$B,0))/12</f>
        <v>12166.666666666666</v>
      </c>
      <c r="L92" s="154">
        <f>L88*(1+INDEX('1. Assumptions'!$G:$G,MATCH("Benefits Load (% of salary)",'1. Assumptions'!$B:$B,0)))+L61*INDEX('1. Assumptions'!$G:$G,MATCH("Tools &amp; Equipment ($/employee/year)",'1. Assumptions'!$B:$B,0))/12</f>
        <v>12166.666666666666</v>
      </c>
      <c r="M92" s="154">
        <f>M88*(1+INDEX('1. Assumptions'!$G:$G,MATCH("Benefits Load (% of salary)",'1. Assumptions'!$B:$B,0)))+M61*INDEX('1. Assumptions'!$G:$G,MATCH("Tools &amp; Equipment ($/employee/year)",'1. Assumptions'!$B:$B,0))/12</f>
        <v>12166.666666666666</v>
      </c>
      <c r="N92" s="154">
        <f>N88*(1+INDEX('1. Assumptions'!$G:$G,MATCH("Benefits Load (% of salary)",'1. Assumptions'!$B:$B,0)))+N61*INDEX('1. Assumptions'!$G:$G,MATCH("Tools &amp; Equipment ($/employee/year)",'1. Assumptions'!$B:$B,0))/12</f>
        <v>12166.666666666666</v>
      </c>
      <c r="O92" s="154">
        <f>O88*(1+INDEX('1. Assumptions'!$G:$G,MATCH("Benefits Load (% of salary)",'1. Assumptions'!$B:$B,0)))+O61*INDEX('1. Assumptions'!$G:$G,MATCH("Tools &amp; Equipment ($/employee/year)",'1. Assumptions'!$B:$B,0))/12</f>
        <v>12166.666666666666</v>
      </c>
      <c r="P92" s="154">
        <f>P88*(1+INDEX('1. Assumptions'!$G:$G,MATCH("Benefits Load (% of salary)",'1. Assumptions'!$B:$B,0)))+P61*INDEX('1. Assumptions'!$G:$G,MATCH("Tools &amp; Equipment ($/employee/year)",'1. Assumptions'!$B:$B,0))/12</f>
        <v>12166.666666666666</v>
      </c>
      <c r="Q92" s="154">
        <f>Q88*(1+INDEX('1. Assumptions'!$G:$G,MATCH("Benefits Load (% of salary)",'1. Assumptions'!$B:$B,0)))+Q61*INDEX('1. Assumptions'!$G:$G,MATCH("Tools &amp; Equipment ($/employee/year)",'1. Assumptions'!$B:$B,0))/12</f>
        <v>12166.666666666666</v>
      </c>
      <c r="R92" s="154">
        <f>R88*(1+INDEX('1. Assumptions'!$G:$G,MATCH("Benefits Load (% of salary)",'1. Assumptions'!$B:$B,0)))+R61*INDEX('1. Assumptions'!$G:$G,MATCH("Tools &amp; Equipment ($/employee/year)",'1. Assumptions'!$B:$B,0))/12</f>
        <v>12166.666666666666</v>
      </c>
      <c r="S92" s="154">
        <f>S88*(1+INDEX('1. Assumptions'!$G:$G,MATCH("Benefits Load (% of salary)",'1. Assumptions'!$B:$B,0)))+S61*INDEX('1. Assumptions'!$G:$G,MATCH("Tools &amp; Equipment ($/employee/year)",'1. Assumptions'!$B:$B,0))/12</f>
        <v>12166.666666666666</v>
      </c>
      <c r="T92" s="154">
        <f>T88*(1+INDEX('1. Assumptions'!$G:$G,MATCH("Benefits Load (% of salary)",'1. Assumptions'!$B:$B,0)))+T61*INDEX('1. Assumptions'!$G:$G,MATCH("Tools &amp; Equipment ($/employee/year)",'1. Assumptions'!$B:$B,0))/12</f>
        <v>12166.666666666666</v>
      </c>
      <c r="U92" s="154">
        <f>U88*(1+INDEX('1. Assumptions'!$G:$G,MATCH("Benefits Load (% of salary)",'1. Assumptions'!$B:$B,0)))+U61*INDEX('1. Assumptions'!$G:$G,MATCH("Tools &amp; Equipment ($/employee/year)",'1. Assumptions'!$B:$B,0))/12</f>
        <v>12166.666666666666</v>
      </c>
      <c r="V92" s="154">
        <f>V88*(1+INDEX('1. Assumptions'!$G:$G,MATCH("Benefits Load (% of salary)",'1. Assumptions'!$B:$B,0)))+V61*INDEX('1. Assumptions'!$G:$G,MATCH("Tools &amp; Equipment ($/employee/year)",'1. Assumptions'!$B:$B,0))/12</f>
        <v>12166.666666666666</v>
      </c>
      <c r="W92" s="154">
        <f>W88*(1+INDEX('1. Assumptions'!$G:$G,MATCH("Benefits Load (% of salary)",'1. Assumptions'!$B:$B,0)))+W61*INDEX('1. Assumptions'!$G:$G,MATCH("Tools &amp; Equipment ($/employee/year)",'1. Assumptions'!$B:$B,0))/12</f>
        <v>28333.333333333336</v>
      </c>
      <c r="X92" s="154">
        <f>X88*(1+INDEX('1. Assumptions'!$G:$G,MATCH("Benefits Load (% of salary)",'1. Assumptions'!$B:$B,0)))+X61*INDEX('1. Assumptions'!$G:$G,MATCH("Tools &amp; Equipment ($/employee/year)",'1. Assumptions'!$B:$B,0))/12</f>
        <v>28333.333333333336</v>
      </c>
      <c r="Y92" s="154">
        <f>Y88*(1+INDEX('1. Assumptions'!$G:$G,MATCH("Benefits Load (% of salary)",'1. Assumptions'!$B:$B,0)))+Y61*INDEX('1. Assumptions'!$G:$G,MATCH("Tools &amp; Equipment ($/employee/year)",'1. Assumptions'!$B:$B,0))/12</f>
        <v>28333.333333333336</v>
      </c>
      <c r="Z92" s="154">
        <f>Z88*(1+INDEX('1. Assumptions'!$G:$G,MATCH("Benefits Load (% of salary)",'1. Assumptions'!$B:$B,0)))+Z61*INDEX('1. Assumptions'!$G:$G,MATCH("Tools &amp; Equipment ($/employee/year)",'1. Assumptions'!$B:$B,0))/12</f>
        <v>28333.333333333336</v>
      </c>
      <c r="AA92" s="154">
        <f>AA88*(1+INDEX('1. Assumptions'!$G:$G,MATCH("Benefits Load (% of salary)",'1. Assumptions'!$B:$B,0)))+AA61*INDEX('1. Assumptions'!$G:$G,MATCH("Tools &amp; Equipment ($/employee/year)",'1. Assumptions'!$B:$B,0))/12</f>
        <v>28333.333333333336</v>
      </c>
    </row>
    <row r="93" spans="1:29" s="3" customFormat="1" ht="13.2">
      <c r="A93" s="141" t="s">
        <v>854</v>
      </c>
      <c r="B93" s="141" t="s">
        <v>862</v>
      </c>
      <c r="C93" s="141" t="s">
        <v>64</v>
      </c>
      <c r="D93" s="155">
        <f>D89*(1+INDEX('1. Assumptions'!$G:$G,MATCH("Benefits Load (% of salary)",'1. Assumptions'!$B:$B,0)))+D62*INDEX('1. Assumptions'!$G:$G,MATCH("Tools &amp; Equipment ($/employee/year)",'1. Assumptions'!$B:$B,0))/12</f>
        <v>0</v>
      </c>
      <c r="E93" s="155">
        <f>E89*(1+INDEX('1. Assumptions'!$G:$G,MATCH("Benefits Load (% of salary)",'1. Assumptions'!$B:$B,0)))+E62*INDEX('1. Assumptions'!$G:$G,MATCH("Tools &amp; Equipment ($/employee/year)",'1. Assumptions'!$B:$B,0))/12</f>
        <v>0</v>
      </c>
      <c r="F93" s="155">
        <f>F89*(1+INDEX('1. Assumptions'!$G:$G,MATCH("Benefits Load (% of salary)",'1. Assumptions'!$B:$B,0)))+F62*INDEX('1. Assumptions'!$G:$G,MATCH("Tools &amp; Equipment ($/employee/year)",'1. Assumptions'!$B:$B,0))/12</f>
        <v>0</v>
      </c>
      <c r="G93" s="155">
        <f>G89*(1+INDEX('1. Assumptions'!$G:$G,MATCH("Benefits Load (% of salary)",'1. Assumptions'!$B:$B,0)))+G62*INDEX('1. Assumptions'!$G:$G,MATCH("Tools &amp; Equipment ($/employee/year)",'1. Assumptions'!$B:$B,0))/12</f>
        <v>0</v>
      </c>
      <c r="H93" s="155">
        <f>H89*(1+INDEX('1. Assumptions'!$G:$G,MATCH("Benefits Load (% of salary)",'1. Assumptions'!$B:$B,0)))+H62*INDEX('1. Assumptions'!$G:$G,MATCH("Tools &amp; Equipment ($/employee/year)",'1. Assumptions'!$B:$B,0))/12</f>
        <v>0</v>
      </c>
      <c r="I93" s="155">
        <f>I89*(1+INDEX('1. Assumptions'!$G:$G,MATCH("Benefits Load (% of salary)",'1. Assumptions'!$B:$B,0)))+I62*INDEX('1. Assumptions'!$G:$G,MATCH("Tools &amp; Equipment ($/employee/year)",'1. Assumptions'!$B:$B,0))/12</f>
        <v>0</v>
      </c>
      <c r="J93" s="155">
        <f>J89*(1+INDEX('1. Assumptions'!$G:$G,MATCH("Benefits Load (% of salary)",'1. Assumptions'!$B:$B,0)))+J62*INDEX('1. Assumptions'!$G:$G,MATCH("Tools &amp; Equipment ($/employee/year)",'1. Assumptions'!$B:$B,0))/12</f>
        <v>0</v>
      </c>
      <c r="K93" s="154">
        <f>K89*(1+INDEX('1. Assumptions'!$G:$G,MATCH("Benefits Load (% of salary)",'1. Assumptions'!$B:$B,0)))+K62*INDEX('1. Assumptions'!$G:$G,MATCH("Tools &amp; Equipment ($/employee/year)",'1. Assumptions'!$B:$B,0))/12</f>
        <v>8666.6666666666661</v>
      </c>
      <c r="L93" s="154">
        <f>L89*(1+INDEX('1. Assumptions'!$G:$G,MATCH("Benefits Load (% of salary)",'1. Assumptions'!$B:$B,0)))+L62*INDEX('1. Assumptions'!$G:$G,MATCH("Tools &amp; Equipment ($/employee/year)",'1. Assumptions'!$B:$B,0))/12</f>
        <v>8666.6666666666661</v>
      </c>
      <c r="M93" s="154">
        <f>M89*(1+INDEX('1. Assumptions'!$G:$G,MATCH("Benefits Load (% of salary)",'1. Assumptions'!$B:$B,0)))+M62*INDEX('1. Assumptions'!$G:$G,MATCH("Tools &amp; Equipment ($/employee/year)",'1. Assumptions'!$B:$B,0))/12</f>
        <v>8666.6666666666661</v>
      </c>
      <c r="N93" s="154">
        <f>N89*(1+INDEX('1. Assumptions'!$G:$G,MATCH("Benefits Load (% of salary)",'1. Assumptions'!$B:$B,0)))+N62*INDEX('1. Assumptions'!$G:$G,MATCH("Tools &amp; Equipment ($/employee/year)",'1. Assumptions'!$B:$B,0))/12</f>
        <v>8666.6666666666661</v>
      </c>
      <c r="O93" s="154">
        <f>O89*(1+INDEX('1. Assumptions'!$G:$G,MATCH("Benefits Load (% of salary)",'1. Assumptions'!$B:$B,0)))+O62*INDEX('1. Assumptions'!$G:$G,MATCH("Tools &amp; Equipment ($/employee/year)",'1. Assumptions'!$B:$B,0))/12</f>
        <v>8666.6666666666661</v>
      </c>
      <c r="P93" s="154">
        <f>P89*(1+INDEX('1. Assumptions'!$G:$G,MATCH("Benefits Load (% of salary)",'1. Assumptions'!$B:$B,0)))+P62*INDEX('1. Assumptions'!$G:$G,MATCH("Tools &amp; Equipment ($/employee/year)",'1. Assumptions'!$B:$B,0))/12</f>
        <v>8666.6666666666661</v>
      </c>
      <c r="Q93" s="154">
        <f>Q89*(1+INDEX('1. Assumptions'!$G:$G,MATCH("Benefits Load (% of salary)",'1. Assumptions'!$B:$B,0)))+Q62*INDEX('1. Assumptions'!$G:$G,MATCH("Tools &amp; Equipment ($/employee/year)",'1. Assumptions'!$B:$B,0))/12</f>
        <v>8666.6666666666661</v>
      </c>
      <c r="R93" s="154">
        <f>R89*(1+INDEX('1. Assumptions'!$G:$G,MATCH("Benefits Load (% of salary)",'1. Assumptions'!$B:$B,0)))+R62*INDEX('1. Assumptions'!$G:$G,MATCH("Tools &amp; Equipment ($/employee/year)",'1. Assumptions'!$B:$B,0))/12</f>
        <v>8666.6666666666661</v>
      </c>
      <c r="S93" s="154">
        <f>S89*(1+INDEX('1. Assumptions'!$G:$G,MATCH("Benefits Load (% of salary)",'1. Assumptions'!$B:$B,0)))+S62*INDEX('1. Assumptions'!$G:$G,MATCH("Tools &amp; Equipment ($/employee/year)",'1. Assumptions'!$B:$B,0))/12</f>
        <v>17333.333333333332</v>
      </c>
      <c r="T93" s="154">
        <f>T89*(1+INDEX('1. Assumptions'!$G:$G,MATCH("Benefits Load (% of salary)",'1. Assumptions'!$B:$B,0)))+T62*INDEX('1. Assumptions'!$G:$G,MATCH("Tools &amp; Equipment ($/employee/year)",'1. Assumptions'!$B:$B,0))/12</f>
        <v>17333.333333333332</v>
      </c>
      <c r="U93" s="154">
        <f>U89*(1+INDEX('1. Assumptions'!$G:$G,MATCH("Benefits Load (% of salary)",'1. Assumptions'!$B:$B,0)))+U62*INDEX('1. Assumptions'!$G:$G,MATCH("Tools &amp; Equipment ($/employee/year)",'1. Assumptions'!$B:$B,0))/12</f>
        <v>17333.333333333332</v>
      </c>
      <c r="V93" s="154">
        <f>V89*(1+INDEX('1. Assumptions'!$G:$G,MATCH("Benefits Load (% of salary)",'1. Assumptions'!$B:$B,0)))+V62*INDEX('1. Assumptions'!$G:$G,MATCH("Tools &amp; Equipment ($/employee/year)",'1. Assumptions'!$B:$B,0))/12</f>
        <v>17333.333333333332</v>
      </c>
      <c r="W93" s="154">
        <f>W89*(1+INDEX('1. Assumptions'!$G:$G,MATCH("Benefits Load (% of salary)",'1. Assumptions'!$B:$B,0)))+W62*INDEX('1. Assumptions'!$G:$G,MATCH("Tools &amp; Equipment ($/employee/year)",'1. Assumptions'!$B:$B,0))/12</f>
        <v>17333.333333333332</v>
      </c>
      <c r="X93" s="154">
        <f>X89*(1+INDEX('1. Assumptions'!$G:$G,MATCH("Benefits Load (% of salary)",'1. Assumptions'!$B:$B,0)))+X62*INDEX('1. Assumptions'!$G:$G,MATCH("Tools &amp; Equipment ($/employee/year)",'1. Assumptions'!$B:$B,0))/12</f>
        <v>17333.333333333332</v>
      </c>
      <c r="Y93" s="154">
        <f>Y89*(1+INDEX('1. Assumptions'!$G:$G,MATCH("Benefits Load (% of salary)",'1. Assumptions'!$B:$B,0)))+Y62*INDEX('1. Assumptions'!$G:$G,MATCH("Tools &amp; Equipment ($/employee/year)",'1. Assumptions'!$B:$B,0))/12</f>
        <v>17333.333333333332</v>
      </c>
      <c r="Z93" s="154">
        <f>Z89*(1+INDEX('1. Assumptions'!$G:$G,MATCH("Benefits Load (% of salary)",'1. Assumptions'!$B:$B,0)))+Z62*INDEX('1. Assumptions'!$G:$G,MATCH("Tools &amp; Equipment ($/employee/year)",'1. Assumptions'!$B:$B,0))/12</f>
        <v>17333.333333333332</v>
      </c>
      <c r="AA93" s="154">
        <f>AA89*(1+INDEX('1. Assumptions'!$G:$G,MATCH("Benefits Load (% of salary)",'1. Assumptions'!$B:$B,0)))+AA62*INDEX('1. Assumptions'!$G:$G,MATCH("Tools &amp; Equipment ($/employee/year)",'1. Assumptions'!$B:$B,0))/12</f>
        <v>17333.333333333332</v>
      </c>
    </row>
    <row r="94" spans="1:29" s="3" customFormat="1" ht="13.2">
      <c r="A94" s="141" t="s">
        <v>854</v>
      </c>
      <c r="B94" s="141" t="s">
        <v>863</v>
      </c>
      <c r="C94" s="141" t="s">
        <v>64</v>
      </c>
      <c r="D94" s="154">
        <f>SUM(D90:D93)</f>
        <v>25333.333333333332</v>
      </c>
      <c r="E94" s="154">
        <f t="shared" ref="E94:AA94" si="14">SUM(E90:E93)</f>
        <v>25333.333333333332</v>
      </c>
      <c r="F94" s="154">
        <f t="shared" si="14"/>
        <v>40500</v>
      </c>
      <c r="G94" s="154">
        <f t="shared" si="14"/>
        <v>55666.666666666664</v>
      </c>
      <c r="H94" s="154">
        <f t="shared" si="14"/>
        <v>65833.333333333343</v>
      </c>
      <c r="I94" s="154">
        <f t="shared" si="14"/>
        <v>81000.000000000015</v>
      </c>
      <c r="J94" s="154">
        <f t="shared" si="14"/>
        <v>81000.000000000015</v>
      </c>
      <c r="K94" s="154">
        <f t="shared" si="14"/>
        <v>89666.666666666686</v>
      </c>
      <c r="L94" s="154">
        <f t="shared" si="14"/>
        <v>103833.33333333334</v>
      </c>
      <c r="M94" s="154">
        <f t="shared" si="14"/>
        <v>117000.00000000001</v>
      </c>
      <c r="N94" s="154">
        <f t="shared" si="14"/>
        <v>117000.00000000001</v>
      </c>
      <c r="O94" s="154">
        <f t="shared" si="14"/>
        <v>131166.66666666666</v>
      </c>
      <c r="P94" s="154">
        <f t="shared" si="14"/>
        <v>131166.66666666666</v>
      </c>
      <c r="Q94" s="154">
        <f t="shared" si="14"/>
        <v>145333.33333333331</v>
      </c>
      <c r="R94" s="154">
        <f t="shared" si="14"/>
        <v>145333.33333333331</v>
      </c>
      <c r="S94" s="154">
        <f t="shared" si="14"/>
        <v>154000</v>
      </c>
      <c r="T94" s="154">
        <f t="shared" si="14"/>
        <v>154000</v>
      </c>
      <c r="U94" s="154">
        <f t="shared" si="14"/>
        <v>154000</v>
      </c>
      <c r="V94" s="154">
        <f t="shared" si="14"/>
        <v>154000</v>
      </c>
      <c r="W94" s="154">
        <f t="shared" si="14"/>
        <v>170166.66666666666</v>
      </c>
      <c r="X94" s="154">
        <f t="shared" si="14"/>
        <v>170166.66666666666</v>
      </c>
      <c r="Y94" s="154">
        <f t="shared" si="14"/>
        <v>170166.66666666666</v>
      </c>
      <c r="Z94" s="154">
        <f t="shared" si="14"/>
        <v>170166.66666666666</v>
      </c>
      <c r="AA94" s="154">
        <f t="shared" si="14"/>
        <v>170166.66666666666</v>
      </c>
    </row>
    <row r="95" spans="1:29" s="3" customFormat="1" ht="13.2">
      <c r="A95" s="141" t="s">
        <v>960</v>
      </c>
      <c r="B95" s="141" t="s">
        <v>961</v>
      </c>
      <c r="C95" s="141" t="s">
        <v>64</v>
      </c>
      <c r="D95" s="155">
        <f>D93</f>
        <v>0</v>
      </c>
      <c r="E95" s="155">
        <f t="shared" ref="E95:AA95" si="15">E93</f>
        <v>0</v>
      </c>
      <c r="F95" s="155">
        <f t="shared" si="15"/>
        <v>0</v>
      </c>
      <c r="G95" s="155">
        <f t="shared" si="15"/>
        <v>0</v>
      </c>
      <c r="H95" s="155">
        <f t="shared" si="15"/>
        <v>0</v>
      </c>
      <c r="I95" s="155">
        <f t="shared" si="15"/>
        <v>0</v>
      </c>
      <c r="J95" s="155">
        <f t="shared" si="15"/>
        <v>0</v>
      </c>
      <c r="K95" s="154">
        <f t="shared" si="15"/>
        <v>8666.6666666666661</v>
      </c>
      <c r="L95" s="154">
        <f t="shared" si="15"/>
        <v>8666.6666666666661</v>
      </c>
      <c r="M95" s="154">
        <f t="shared" si="15"/>
        <v>8666.6666666666661</v>
      </c>
      <c r="N95" s="154">
        <f t="shared" si="15"/>
        <v>8666.6666666666661</v>
      </c>
      <c r="O95" s="154">
        <f t="shared" si="15"/>
        <v>8666.6666666666661</v>
      </c>
      <c r="P95" s="154">
        <f t="shared" si="15"/>
        <v>8666.6666666666661</v>
      </c>
      <c r="Q95" s="154">
        <f t="shared" si="15"/>
        <v>8666.6666666666661</v>
      </c>
      <c r="R95" s="154">
        <f t="shared" si="15"/>
        <v>8666.6666666666661</v>
      </c>
      <c r="S95" s="154">
        <f t="shared" si="15"/>
        <v>17333.333333333332</v>
      </c>
      <c r="T95" s="154">
        <f t="shared" si="15"/>
        <v>17333.333333333332</v>
      </c>
      <c r="U95" s="154">
        <f t="shared" si="15"/>
        <v>17333.333333333332</v>
      </c>
      <c r="V95" s="154">
        <f t="shared" si="15"/>
        <v>17333.333333333332</v>
      </c>
      <c r="W95" s="154">
        <f t="shared" si="15"/>
        <v>17333.333333333332</v>
      </c>
      <c r="X95" s="154">
        <f t="shared" si="15"/>
        <v>17333.333333333332</v>
      </c>
      <c r="Y95" s="154">
        <f t="shared" si="15"/>
        <v>17333.333333333332</v>
      </c>
      <c r="Z95" s="154">
        <f t="shared" si="15"/>
        <v>17333.333333333332</v>
      </c>
      <c r="AA95" s="154">
        <f t="shared" si="15"/>
        <v>17333.333333333332</v>
      </c>
    </row>
    <row r="96" spans="1:29" s="3" customFormat="1" ht="13.2">
      <c r="A96" s="141" t="s">
        <v>960</v>
      </c>
      <c r="B96" s="141" t="s">
        <v>962</v>
      </c>
      <c r="C96" s="141" t="s">
        <v>64</v>
      </c>
      <c r="D96" s="154">
        <f>D90</f>
        <v>13166.666666666666</v>
      </c>
      <c r="E96" s="154">
        <f t="shared" ref="E96:AA96" si="16">E90</f>
        <v>13166.666666666666</v>
      </c>
      <c r="F96" s="154">
        <f t="shared" si="16"/>
        <v>28333.333333333336</v>
      </c>
      <c r="G96" s="154">
        <f t="shared" si="16"/>
        <v>28333.333333333336</v>
      </c>
      <c r="H96" s="154">
        <f t="shared" si="16"/>
        <v>28333.333333333336</v>
      </c>
      <c r="I96" s="154">
        <f t="shared" si="16"/>
        <v>43500</v>
      </c>
      <c r="J96" s="154">
        <f t="shared" si="16"/>
        <v>43500</v>
      </c>
      <c r="K96" s="154">
        <f t="shared" si="16"/>
        <v>43500</v>
      </c>
      <c r="L96" s="154">
        <f t="shared" si="16"/>
        <v>43500</v>
      </c>
      <c r="M96" s="154">
        <f t="shared" si="16"/>
        <v>56666.666666666672</v>
      </c>
      <c r="N96" s="154">
        <f t="shared" si="16"/>
        <v>56666.666666666672</v>
      </c>
      <c r="O96" s="154">
        <f t="shared" si="16"/>
        <v>70833.333333333328</v>
      </c>
      <c r="P96" s="154">
        <f t="shared" si="16"/>
        <v>70833.333333333328</v>
      </c>
      <c r="Q96" s="154">
        <f t="shared" si="16"/>
        <v>70833.333333333328</v>
      </c>
      <c r="R96" s="154">
        <f t="shared" si="16"/>
        <v>70833.333333333328</v>
      </c>
      <c r="S96" s="154">
        <f t="shared" si="16"/>
        <v>70833.333333333328</v>
      </c>
      <c r="T96" s="154">
        <f t="shared" si="16"/>
        <v>70833.333333333328</v>
      </c>
      <c r="U96" s="154">
        <f t="shared" si="16"/>
        <v>70833.333333333328</v>
      </c>
      <c r="V96" s="154">
        <f t="shared" si="16"/>
        <v>70833.333333333328</v>
      </c>
      <c r="W96" s="154">
        <f t="shared" si="16"/>
        <v>70833.333333333328</v>
      </c>
      <c r="X96" s="154">
        <f t="shared" si="16"/>
        <v>70833.333333333328</v>
      </c>
      <c r="Y96" s="154">
        <f t="shared" si="16"/>
        <v>70833.333333333328</v>
      </c>
      <c r="Z96" s="154">
        <f t="shared" si="16"/>
        <v>70833.333333333328</v>
      </c>
      <c r="AA96" s="154">
        <f t="shared" si="16"/>
        <v>70833.333333333328</v>
      </c>
    </row>
    <row r="97" spans="1:29" s="3" customFormat="1" ht="13.2">
      <c r="A97" s="141" t="s">
        <v>960</v>
      </c>
      <c r="B97" s="141" t="s">
        <v>963</v>
      </c>
      <c r="C97" s="141" t="s">
        <v>64</v>
      </c>
      <c r="D97" s="155">
        <f>D91</f>
        <v>0</v>
      </c>
      <c r="E97" s="155">
        <f t="shared" ref="E97:AA97" si="17">E91</f>
        <v>0</v>
      </c>
      <c r="F97" s="155">
        <f t="shared" si="17"/>
        <v>0</v>
      </c>
      <c r="G97" s="154">
        <f t="shared" si="17"/>
        <v>15166.666666666666</v>
      </c>
      <c r="H97" s="154">
        <f t="shared" si="17"/>
        <v>25333.333333333336</v>
      </c>
      <c r="I97" s="154">
        <f t="shared" si="17"/>
        <v>25333.333333333336</v>
      </c>
      <c r="J97" s="154">
        <f t="shared" si="17"/>
        <v>25333.333333333336</v>
      </c>
      <c r="K97" s="154">
        <f t="shared" si="17"/>
        <v>25333.333333333336</v>
      </c>
      <c r="L97" s="154">
        <f t="shared" si="17"/>
        <v>39500</v>
      </c>
      <c r="M97" s="154">
        <f t="shared" si="17"/>
        <v>39500</v>
      </c>
      <c r="N97" s="154">
        <f t="shared" si="17"/>
        <v>39500</v>
      </c>
      <c r="O97" s="154">
        <f t="shared" si="17"/>
        <v>39500</v>
      </c>
      <c r="P97" s="154">
        <f t="shared" si="17"/>
        <v>39500</v>
      </c>
      <c r="Q97" s="154">
        <f t="shared" si="17"/>
        <v>53666.666666666657</v>
      </c>
      <c r="R97" s="154">
        <f t="shared" si="17"/>
        <v>53666.666666666657</v>
      </c>
      <c r="S97" s="154">
        <f t="shared" si="17"/>
        <v>53666.666666666657</v>
      </c>
      <c r="T97" s="154">
        <f t="shared" si="17"/>
        <v>53666.666666666657</v>
      </c>
      <c r="U97" s="154">
        <f t="shared" si="17"/>
        <v>53666.666666666657</v>
      </c>
      <c r="V97" s="154">
        <f t="shared" si="17"/>
        <v>53666.666666666657</v>
      </c>
      <c r="W97" s="154">
        <f t="shared" si="17"/>
        <v>53666.666666666657</v>
      </c>
      <c r="X97" s="154">
        <f t="shared" si="17"/>
        <v>53666.666666666657</v>
      </c>
      <c r="Y97" s="154">
        <f t="shared" si="17"/>
        <v>53666.666666666657</v>
      </c>
      <c r="Z97" s="154">
        <f t="shared" si="17"/>
        <v>53666.666666666657</v>
      </c>
      <c r="AA97" s="154">
        <f t="shared" si="17"/>
        <v>53666.666666666657</v>
      </c>
    </row>
    <row r="98" spans="1:29" s="3" customFormat="1" ht="13.2">
      <c r="A98" s="141" t="s">
        <v>960</v>
      </c>
      <c r="B98" s="141" t="s">
        <v>964</v>
      </c>
      <c r="C98" s="141" t="s">
        <v>64</v>
      </c>
      <c r="D98" s="154">
        <f>D92</f>
        <v>12166.666666666666</v>
      </c>
      <c r="E98" s="154">
        <f t="shared" ref="E98:AA98" si="18">E92</f>
        <v>12166.666666666666</v>
      </c>
      <c r="F98" s="154">
        <f t="shared" si="18"/>
        <v>12166.666666666666</v>
      </c>
      <c r="G98" s="154">
        <f t="shared" si="18"/>
        <v>12166.666666666666</v>
      </c>
      <c r="H98" s="154">
        <f t="shared" si="18"/>
        <v>12166.666666666666</v>
      </c>
      <c r="I98" s="154">
        <f t="shared" si="18"/>
        <v>12166.666666666666</v>
      </c>
      <c r="J98" s="154">
        <f t="shared" si="18"/>
        <v>12166.666666666666</v>
      </c>
      <c r="K98" s="154">
        <f t="shared" si="18"/>
        <v>12166.666666666666</v>
      </c>
      <c r="L98" s="154">
        <f t="shared" si="18"/>
        <v>12166.666666666666</v>
      </c>
      <c r="M98" s="154">
        <f t="shared" si="18"/>
        <v>12166.666666666666</v>
      </c>
      <c r="N98" s="154">
        <f t="shared" si="18"/>
        <v>12166.666666666666</v>
      </c>
      <c r="O98" s="154">
        <f t="shared" si="18"/>
        <v>12166.666666666666</v>
      </c>
      <c r="P98" s="154">
        <f t="shared" si="18"/>
        <v>12166.666666666666</v>
      </c>
      <c r="Q98" s="154">
        <f t="shared" si="18"/>
        <v>12166.666666666666</v>
      </c>
      <c r="R98" s="154">
        <f t="shared" si="18"/>
        <v>12166.666666666666</v>
      </c>
      <c r="S98" s="154">
        <f t="shared" si="18"/>
        <v>12166.666666666666</v>
      </c>
      <c r="T98" s="154">
        <f t="shared" si="18"/>
        <v>12166.666666666666</v>
      </c>
      <c r="U98" s="154">
        <f t="shared" si="18"/>
        <v>12166.666666666666</v>
      </c>
      <c r="V98" s="154">
        <f t="shared" si="18"/>
        <v>12166.666666666666</v>
      </c>
      <c r="W98" s="154">
        <f t="shared" si="18"/>
        <v>28333.333333333336</v>
      </c>
      <c r="X98" s="154">
        <f t="shared" si="18"/>
        <v>28333.333333333336</v>
      </c>
      <c r="Y98" s="154">
        <f t="shared" si="18"/>
        <v>28333.333333333336</v>
      </c>
      <c r="Z98" s="154">
        <f t="shared" si="18"/>
        <v>28333.333333333336</v>
      </c>
      <c r="AA98" s="154">
        <f t="shared" si="18"/>
        <v>28333.333333333336</v>
      </c>
    </row>
    <row r="99" spans="1:29" s="3" customFormat="1" ht="13.2">
      <c r="A99" s="141" t="s">
        <v>960</v>
      </c>
      <c r="B99" s="141" t="s">
        <v>965</v>
      </c>
      <c r="C99" s="141" t="s">
        <v>64</v>
      </c>
      <c r="D99" s="154">
        <f>SUM(D96:D98)</f>
        <v>25333.333333333332</v>
      </c>
      <c r="E99" s="154">
        <f t="shared" ref="E99:AA99" si="19">SUM(E96:E98)</f>
        <v>25333.333333333332</v>
      </c>
      <c r="F99" s="154">
        <f t="shared" si="19"/>
        <v>40500</v>
      </c>
      <c r="G99" s="154">
        <f t="shared" si="19"/>
        <v>55666.666666666664</v>
      </c>
      <c r="H99" s="154">
        <f t="shared" si="19"/>
        <v>65833.333333333343</v>
      </c>
      <c r="I99" s="154">
        <f t="shared" si="19"/>
        <v>81000.000000000015</v>
      </c>
      <c r="J99" s="154">
        <f t="shared" si="19"/>
        <v>81000.000000000015</v>
      </c>
      <c r="K99" s="154">
        <f t="shared" si="19"/>
        <v>81000.000000000015</v>
      </c>
      <c r="L99" s="154">
        <f t="shared" si="19"/>
        <v>95166.666666666672</v>
      </c>
      <c r="M99" s="154">
        <f t="shared" si="19"/>
        <v>108333.33333333334</v>
      </c>
      <c r="N99" s="154">
        <f t="shared" si="19"/>
        <v>108333.33333333334</v>
      </c>
      <c r="O99" s="154">
        <f t="shared" si="19"/>
        <v>122500</v>
      </c>
      <c r="P99" s="154">
        <f t="shared" si="19"/>
        <v>122500</v>
      </c>
      <c r="Q99" s="154">
        <f t="shared" si="19"/>
        <v>136666.66666666666</v>
      </c>
      <c r="R99" s="154">
        <f t="shared" si="19"/>
        <v>136666.66666666666</v>
      </c>
      <c r="S99" s="154">
        <f t="shared" si="19"/>
        <v>136666.66666666666</v>
      </c>
      <c r="T99" s="154">
        <f t="shared" si="19"/>
        <v>136666.66666666666</v>
      </c>
      <c r="U99" s="154">
        <f t="shared" si="19"/>
        <v>136666.66666666666</v>
      </c>
      <c r="V99" s="154">
        <f t="shared" si="19"/>
        <v>136666.66666666666</v>
      </c>
      <c r="W99" s="154">
        <f t="shared" si="19"/>
        <v>152833.33333333331</v>
      </c>
      <c r="X99" s="154">
        <f t="shared" si="19"/>
        <v>152833.33333333331</v>
      </c>
      <c r="Y99" s="154">
        <f t="shared" si="19"/>
        <v>152833.33333333331</v>
      </c>
      <c r="Z99" s="154">
        <f t="shared" si="19"/>
        <v>152833.33333333331</v>
      </c>
      <c r="AA99" s="154">
        <f t="shared" si="19"/>
        <v>152833.33333333331</v>
      </c>
    </row>
    <row r="100" spans="1:29" s="3" customFormat="1" ht="13.2">
      <c r="A100" s="141" t="s">
        <v>960</v>
      </c>
      <c r="B100" s="141" t="s">
        <v>966</v>
      </c>
      <c r="C100" s="141" t="s">
        <v>64</v>
      </c>
      <c r="D100" s="154">
        <f>D95+D99</f>
        <v>25333.333333333332</v>
      </c>
      <c r="E100" s="154">
        <f t="shared" ref="E100:AA100" si="20">E95+E99</f>
        <v>25333.333333333332</v>
      </c>
      <c r="F100" s="154">
        <f t="shared" si="20"/>
        <v>40500</v>
      </c>
      <c r="G100" s="154">
        <f t="shared" si="20"/>
        <v>55666.666666666664</v>
      </c>
      <c r="H100" s="154">
        <f t="shared" si="20"/>
        <v>65833.333333333343</v>
      </c>
      <c r="I100" s="154">
        <f t="shared" si="20"/>
        <v>81000.000000000015</v>
      </c>
      <c r="J100" s="154">
        <f t="shared" si="20"/>
        <v>81000.000000000015</v>
      </c>
      <c r="K100" s="154">
        <f t="shared" si="20"/>
        <v>89666.666666666686</v>
      </c>
      <c r="L100" s="154">
        <f t="shared" si="20"/>
        <v>103833.33333333334</v>
      </c>
      <c r="M100" s="154">
        <f t="shared" si="20"/>
        <v>117000.00000000001</v>
      </c>
      <c r="N100" s="154">
        <f t="shared" si="20"/>
        <v>117000.00000000001</v>
      </c>
      <c r="O100" s="154">
        <f t="shared" si="20"/>
        <v>131166.66666666666</v>
      </c>
      <c r="P100" s="154">
        <f t="shared" si="20"/>
        <v>131166.66666666666</v>
      </c>
      <c r="Q100" s="154">
        <f t="shared" si="20"/>
        <v>145333.33333333331</v>
      </c>
      <c r="R100" s="154">
        <f t="shared" si="20"/>
        <v>145333.33333333331</v>
      </c>
      <c r="S100" s="154">
        <f t="shared" si="20"/>
        <v>154000</v>
      </c>
      <c r="T100" s="154">
        <f t="shared" si="20"/>
        <v>154000</v>
      </c>
      <c r="U100" s="154">
        <f t="shared" si="20"/>
        <v>154000</v>
      </c>
      <c r="V100" s="154">
        <f t="shared" si="20"/>
        <v>154000</v>
      </c>
      <c r="W100" s="154">
        <f t="shared" si="20"/>
        <v>170166.66666666666</v>
      </c>
      <c r="X100" s="154">
        <f t="shared" si="20"/>
        <v>170166.66666666666</v>
      </c>
      <c r="Y100" s="154">
        <f t="shared" si="20"/>
        <v>170166.66666666666</v>
      </c>
      <c r="Z100" s="154">
        <f t="shared" si="20"/>
        <v>170166.66666666666</v>
      </c>
      <c r="AA100" s="154">
        <f t="shared" si="20"/>
        <v>170166.66666666666</v>
      </c>
    </row>
    <row r="101" spans="1:29" s="3" customFormat="1" ht="13.2"/>
    <row r="102" spans="1:29" s="3" customFormat="1" ht="13.2">
      <c r="A102" s="105" t="s">
        <v>864</v>
      </c>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row>
    <row r="103" spans="1:29" s="3" customFormat="1" ht="13.2">
      <c r="A103" s="141" t="s">
        <v>865</v>
      </c>
      <c r="B103" s="141" t="s">
        <v>866</v>
      </c>
      <c r="C103" s="141" t="s">
        <v>88</v>
      </c>
      <c r="D103" s="157">
        <f>SUM(D47,D53,D55)</f>
        <v>0</v>
      </c>
      <c r="E103" s="157">
        <f t="shared" ref="E103:AA103" si="21">SUM(E47,E53,E55)</f>
        <v>0</v>
      </c>
      <c r="F103" s="157">
        <f t="shared" si="21"/>
        <v>0</v>
      </c>
      <c r="G103" s="157">
        <f t="shared" si="21"/>
        <v>1</v>
      </c>
      <c r="H103" s="157">
        <f t="shared" si="21"/>
        <v>1</v>
      </c>
      <c r="I103" s="157">
        <f t="shared" si="21"/>
        <v>1</v>
      </c>
      <c r="J103" s="157">
        <f t="shared" si="21"/>
        <v>1</v>
      </c>
      <c r="K103" s="157">
        <f t="shared" si="21"/>
        <v>1</v>
      </c>
      <c r="L103" s="157">
        <f t="shared" si="21"/>
        <v>2</v>
      </c>
      <c r="M103" s="157">
        <f t="shared" si="21"/>
        <v>2</v>
      </c>
      <c r="N103" s="157">
        <f t="shared" si="21"/>
        <v>2</v>
      </c>
      <c r="O103" s="157">
        <f t="shared" si="21"/>
        <v>2</v>
      </c>
      <c r="P103" s="157">
        <f t="shared" si="21"/>
        <v>2</v>
      </c>
      <c r="Q103" s="157">
        <f t="shared" si="21"/>
        <v>3</v>
      </c>
      <c r="R103" s="157">
        <f t="shared" si="21"/>
        <v>3</v>
      </c>
      <c r="S103" s="157">
        <f t="shared" si="21"/>
        <v>3</v>
      </c>
      <c r="T103" s="157">
        <f t="shared" si="21"/>
        <v>3</v>
      </c>
      <c r="U103" s="157">
        <f t="shared" si="21"/>
        <v>3</v>
      </c>
      <c r="V103" s="157">
        <f t="shared" si="21"/>
        <v>3</v>
      </c>
      <c r="W103" s="157">
        <f t="shared" si="21"/>
        <v>3</v>
      </c>
      <c r="X103" s="157">
        <f t="shared" si="21"/>
        <v>3</v>
      </c>
      <c r="Y103" s="157">
        <f t="shared" si="21"/>
        <v>3</v>
      </c>
      <c r="Z103" s="157">
        <f t="shared" si="21"/>
        <v>3</v>
      </c>
      <c r="AA103" s="157">
        <f t="shared" si="21"/>
        <v>3</v>
      </c>
    </row>
    <row r="104" spans="1:29" s="3" customFormat="1" ht="13.2">
      <c r="A104" s="141" t="s">
        <v>865</v>
      </c>
      <c r="B104" s="141" t="s">
        <v>878</v>
      </c>
      <c r="C104" s="141" t="s">
        <v>88</v>
      </c>
      <c r="D104" s="157">
        <f>IF(D103=0,0,(D47*MAX(0,D$6-$D$27+1)+D53*MAX(0,D$6-$D$35+1)+D55*MAX(0,D$6-$D$39+1))/D103)</f>
        <v>0</v>
      </c>
      <c r="E104" s="157">
        <f>IF(E103=0,0,(E47*MAX(0,E$6-$D$27+1)+E53*MAX(0,E$6-$D$35+1)+E55*MAX(0,E$6-$D$39+1))/E103)</f>
        <v>0</v>
      </c>
      <c r="F104" s="157">
        <f>IF(F103=0,0,(F47*MAX(0,F$6-$D$27+1)+F53*MAX(0,F$6-$D$35+1)+F55*MAX(0,F$6-$D$39+1))/F103)</f>
        <v>0</v>
      </c>
      <c r="G104" s="157">
        <f>IF(G103=0,0,(G47*MAX(0,G$6-$D$27+1)+G53*MAX(0,G$6-$D$35+1)+G55*MAX(0,G$6-$D$39+1))/G103)</f>
        <v>1</v>
      </c>
      <c r="H104" s="157">
        <f>IF(H103=0,0,(H47*MAX(0,H$6-$D$27+1)+H53*MAX(0,H$6-$D$35+1)+H55*MAX(0,H$6-$D$39+1))/H103)</f>
        <v>2</v>
      </c>
      <c r="I104" s="157">
        <f>IF(I103=0,0,(I47*MAX(0,I$6-$D$27+1)+I53*MAX(0,I$6-$D$35+1)+I55*MAX(0,I$6-$D$39+1))/I103)</f>
        <v>3</v>
      </c>
      <c r="J104" s="157">
        <f>IF(J103=0,0,(J47*MAX(0,J$6-$D$27+1)+J53*MAX(0,J$6-$D$35+1)+J55*MAX(0,J$6-$D$39+1))/J103)</f>
        <v>4</v>
      </c>
      <c r="K104" s="157">
        <f>IF(K103=0,0,(K47*MAX(0,K$6-$D$27+1)+K53*MAX(0,K$6-$D$35+1)+K55*MAX(0,K$6-$D$39+1))/K103)</f>
        <v>5</v>
      </c>
      <c r="L104" s="157">
        <f>IF(L103=0,0,(L47*MAX(0,L$6-$D$27+1)+L53*MAX(0,L$6-$D$35+1)+L55*MAX(0,L$6-$D$39+1))/L103)</f>
        <v>3.5</v>
      </c>
      <c r="M104" s="157">
        <f>IF(M103=0,0,(M47*MAX(0,M$6-$D$27+1)+M53*MAX(0,M$6-$D$35+1)+M55*MAX(0,M$6-$D$39+1))/M103)</f>
        <v>4.5</v>
      </c>
      <c r="N104" s="157">
        <f>IF(N103=0,0,(N47*MAX(0,N$6-$D$27+1)+N53*MAX(0,N$6-$D$35+1)+N55*MAX(0,N$6-$D$39+1))/N103)</f>
        <v>5.5</v>
      </c>
      <c r="O104" s="157">
        <f>IF(O103=0,0,(O47*MAX(0,O$6-$D$27+1)+O53*MAX(0,O$6-$D$35+1)+O55*MAX(0,O$6-$D$39+1))/O103)</f>
        <v>6.5</v>
      </c>
      <c r="P104" s="157">
        <f>IF(P103=0,0,(P47*MAX(0,P$6-$D$27+1)+P53*MAX(0,P$6-$D$35+1)+P55*MAX(0,P$6-$D$39+1))/P103)</f>
        <v>7.5</v>
      </c>
      <c r="Q104" s="157">
        <f>IF(Q103=0,0,(Q47*MAX(0,Q$6-$D$27+1)+Q53*MAX(0,Q$6-$D$35+1)+Q55*MAX(0,Q$6-$D$39+1))/Q103)</f>
        <v>6</v>
      </c>
      <c r="R104" s="157">
        <f>IF(R103=0,0,(R47*MAX(0,R$6-$D$27+1)+R53*MAX(0,R$6-$D$35+1)+R55*MAX(0,R$6-$D$39+1))/R103)</f>
        <v>7</v>
      </c>
      <c r="S104" s="157">
        <f>IF(S103=0,0,(S47*MAX(0,S$6-$D$27+1)+S53*MAX(0,S$6-$D$35+1)+S55*MAX(0,S$6-$D$39+1))/S103)</f>
        <v>8</v>
      </c>
      <c r="T104" s="157">
        <f>IF(T103=0,0,(T47*MAX(0,T$6-$D$27+1)+T53*MAX(0,T$6-$D$35+1)+T55*MAX(0,T$6-$D$39+1))/T103)</f>
        <v>9</v>
      </c>
      <c r="U104" s="157">
        <f>IF(U103=0,0,(U47*MAX(0,U$6-$D$27+1)+U53*MAX(0,U$6-$D$35+1)+U55*MAX(0,U$6-$D$39+1))/U103)</f>
        <v>10</v>
      </c>
      <c r="V104" s="157">
        <f>IF(V103=0,0,(V47*MAX(0,V$6-$D$27+1)+V53*MAX(0,V$6-$D$35+1)+V55*MAX(0,V$6-$D$39+1))/V103)</f>
        <v>11</v>
      </c>
      <c r="W104" s="157">
        <f>IF(W103=0,0,(W47*MAX(0,W$6-$D$27+1)+W53*MAX(0,W$6-$D$35+1)+W55*MAX(0,W$6-$D$39+1))/W103)</f>
        <v>12</v>
      </c>
      <c r="X104" s="157">
        <f>IF(X103=0,0,(X47*MAX(0,X$6-$D$27+1)+X53*MAX(0,X$6-$D$35+1)+X55*MAX(0,X$6-$D$39+1))/X103)</f>
        <v>13</v>
      </c>
      <c r="Y104" s="157">
        <f>IF(Y103=0,0,(Y47*MAX(0,Y$6-$D$27+1)+Y53*MAX(0,Y$6-$D$35+1)+Y55*MAX(0,Y$6-$D$39+1))/Y103)</f>
        <v>14</v>
      </c>
      <c r="Z104" s="157">
        <f>IF(Z103=0,0,(Z47*MAX(0,Z$6-$D$27+1)+Z53*MAX(0,Z$6-$D$35+1)+Z55*MAX(0,Z$6-$D$39+1))/Z103)</f>
        <v>15</v>
      </c>
      <c r="AA104" s="157">
        <f>IF(AA103=0,0,(AA47*MAX(0,AA$6-$D$27+1)+AA53*MAX(0,AA$6-$D$35+1)+AA55*MAX(0,AA$6-$D$39+1))/AA103)</f>
        <v>16</v>
      </c>
      <c r="AB104" s="142"/>
    </row>
    <row r="105" spans="1:29" s="3" customFormat="1" ht="13.2">
      <c r="A105" s="141" t="s">
        <v>865</v>
      </c>
      <c r="B105" s="141" t="s">
        <v>879</v>
      </c>
      <c r="C105" s="141" t="s">
        <v>173</v>
      </c>
      <c r="D105" s="157">
        <f>IF(D104=0,0,IF(D104&lt;2,25%,IF(D104&lt;3,50%,IF(D104&lt;4,75%,100%))))</f>
        <v>0</v>
      </c>
      <c r="E105" s="157">
        <f t="shared" ref="E105:AA105" si="22">IF(E104=0,0,IF(E104&lt;2,25%,IF(E104&lt;3,50%,IF(E104&lt;4,75%,100%))))</f>
        <v>0</v>
      </c>
      <c r="F105" s="157">
        <f t="shared" si="22"/>
        <v>0</v>
      </c>
      <c r="G105" s="158">
        <f t="shared" si="22"/>
        <v>0.25</v>
      </c>
      <c r="H105" s="158">
        <f t="shared" si="22"/>
        <v>0.5</v>
      </c>
      <c r="I105" s="158">
        <f t="shared" si="22"/>
        <v>0.75</v>
      </c>
      <c r="J105" s="158">
        <f t="shared" si="22"/>
        <v>1</v>
      </c>
      <c r="K105" s="158">
        <f t="shared" si="22"/>
        <v>1</v>
      </c>
      <c r="L105" s="158">
        <f t="shared" si="22"/>
        <v>0.75</v>
      </c>
      <c r="M105" s="158">
        <f t="shared" si="22"/>
        <v>1</v>
      </c>
      <c r="N105" s="158">
        <f t="shared" si="22"/>
        <v>1</v>
      </c>
      <c r="O105" s="158">
        <f t="shared" si="22"/>
        <v>1</v>
      </c>
      <c r="P105" s="158">
        <f t="shared" si="22"/>
        <v>1</v>
      </c>
      <c r="Q105" s="158">
        <f t="shared" si="22"/>
        <v>1</v>
      </c>
      <c r="R105" s="158">
        <f t="shared" si="22"/>
        <v>1</v>
      </c>
      <c r="S105" s="158">
        <f t="shared" si="22"/>
        <v>1</v>
      </c>
      <c r="T105" s="158">
        <f t="shared" si="22"/>
        <v>1</v>
      </c>
      <c r="U105" s="158">
        <f t="shared" si="22"/>
        <v>1</v>
      </c>
      <c r="V105" s="158">
        <f t="shared" si="22"/>
        <v>1</v>
      </c>
      <c r="W105" s="158">
        <f t="shared" si="22"/>
        <v>1</v>
      </c>
      <c r="X105" s="158">
        <f t="shared" si="22"/>
        <v>1</v>
      </c>
      <c r="Y105" s="158">
        <f t="shared" si="22"/>
        <v>1</v>
      </c>
      <c r="Z105" s="158">
        <f t="shared" si="22"/>
        <v>1</v>
      </c>
      <c r="AA105" s="158">
        <f t="shared" si="22"/>
        <v>1</v>
      </c>
      <c r="AB105" s="142"/>
    </row>
    <row r="106" spans="1:29" s="3" customFormat="1" ht="13.2">
      <c r="A106" s="141" t="s">
        <v>865</v>
      </c>
      <c r="B106" s="141" t="s">
        <v>867</v>
      </c>
      <c r="C106" s="141" t="s">
        <v>88</v>
      </c>
      <c r="D106" s="157">
        <f>D103*D105</f>
        <v>0</v>
      </c>
      <c r="E106" s="157">
        <f t="shared" ref="E106:AA106" si="23">E103*E105</f>
        <v>0</v>
      </c>
      <c r="F106" s="157">
        <f t="shared" si="23"/>
        <v>0</v>
      </c>
      <c r="G106" s="157">
        <f t="shared" si="23"/>
        <v>0.25</v>
      </c>
      <c r="H106" s="157">
        <f t="shared" si="23"/>
        <v>0.5</v>
      </c>
      <c r="I106" s="157">
        <f t="shared" si="23"/>
        <v>0.75</v>
      </c>
      <c r="J106" s="157">
        <f t="shared" si="23"/>
        <v>1</v>
      </c>
      <c r="K106" s="157">
        <f t="shared" si="23"/>
        <v>1</v>
      </c>
      <c r="L106" s="157">
        <f t="shared" si="23"/>
        <v>1.5</v>
      </c>
      <c r="M106" s="157">
        <f t="shared" si="23"/>
        <v>2</v>
      </c>
      <c r="N106" s="157">
        <f t="shared" si="23"/>
        <v>2</v>
      </c>
      <c r="O106" s="157">
        <f t="shared" si="23"/>
        <v>2</v>
      </c>
      <c r="P106" s="157">
        <f t="shared" si="23"/>
        <v>2</v>
      </c>
      <c r="Q106" s="157">
        <f t="shared" si="23"/>
        <v>3</v>
      </c>
      <c r="R106" s="157">
        <f t="shared" si="23"/>
        <v>3</v>
      </c>
      <c r="S106" s="157">
        <f t="shared" si="23"/>
        <v>3</v>
      </c>
      <c r="T106" s="157">
        <f t="shared" si="23"/>
        <v>3</v>
      </c>
      <c r="U106" s="157">
        <f t="shared" si="23"/>
        <v>3</v>
      </c>
      <c r="V106" s="157">
        <f t="shared" si="23"/>
        <v>3</v>
      </c>
      <c r="W106" s="157">
        <f t="shared" si="23"/>
        <v>3</v>
      </c>
      <c r="X106" s="157">
        <f t="shared" si="23"/>
        <v>3</v>
      </c>
      <c r="Y106" s="157">
        <f t="shared" si="23"/>
        <v>3</v>
      </c>
      <c r="Z106" s="157">
        <f t="shared" si="23"/>
        <v>3</v>
      </c>
      <c r="AA106" s="157">
        <f t="shared" si="23"/>
        <v>3</v>
      </c>
    </row>
    <row r="107" spans="1:29" s="3" customFormat="1" ht="13.2">
      <c r="A107" s="141" t="s">
        <v>865</v>
      </c>
      <c r="B107" s="141" t="s">
        <v>868</v>
      </c>
      <c r="C107" s="141" t="s">
        <v>64</v>
      </c>
      <c r="D107" s="157">
        <f>D106*INDEX('1. Assumptions'!$G:$G,MATCH("AE Annual Quota (full productivity)",'1. Assumptions'!$B:$B,0))*INDEX('1. Assumptions'!$G:$G,MATCH("AE Quota Attainment",'1. Assumptions'!$B:$B,0))/12</f>
        <v>0</v>
      </c>
      <c r="E107" s="157">
        <f>E106*INDEX('1. Assumptions'!$G:$G,MATCH("AE Annual Quota (full productivity)",'1. Assumptions'!$B:$B,0))*INDEX('1. Assumptions'!$G:$G,MATCH("AE Quota Attainment",'1. Assumptions'!$B:$B,0))/12</f>
        <v>0</v>
      </c>
      <c r="F107" s="157">
        <f>F106*INDEX('1. Assumptions'!$G:$G,MATCH("AE Annual Quota (full productivity)",'1. Assumptions'!$B:$B,0))*INDEX('1. Assumptions'!$G:$G,MATCH("AE Quota Attainment",'1. Assumptions'!$B:$B,0))/12</f>
        <v>0</v>
      </c>
      <c r="G107" s="159">
        <f>G106*INDEX('1. Assumptions'!$G:$G,MATCH("AE Annual Quota (full productivity)",'1. Assumptions'!$B:$B,0))*INDEX('1. Assumptions'!$G:$G,MATCH("AE Quota Attainment",'1. Assumptions'!$B:$B,0))/12</f>
        <v>7500</v>
      </c>
      <c r="H107" s="159">
        <f>H106*INDEX('1. Assumptions'!$G:$G,MATCH("AE Annual Quota (full productivity)",'1. Assumptions'!$B:$B,0))*INDEX('1. Assumptions'!$G:$G,MATCH("AE Quota Attainment",'1. Assumptions'!$B:$B,0))/12</f>
        <v>15000</v>
      </c>
      <c r="I107" s="159">
        <f>I106*INDEX('1. Assumptions'!$G:$G,MATCH("AE Annual Quota (full productivity)",'1. Assumptions'!$B:$B,0))*INDEX('1. Assumptions'!$G:$G,MATCH("AE Quota Attainment",'1. Assumptions'!$B:$B,0))/12</f>
        <v>22500</v>
      </c>
      <c r="J107" s="159">
        <f>J106*INDEX('1. Assumptions'!$G:$G,MATCH("AE Annual Quota (full productivity)",'1. Assumptions'!$B:$B,0))*INDEX('1. Assumptions'!$G:$G,MATCH("AE Quota Attainment",'1. Assumptions'!$B:$B,0))/12</f>
        <v>30000</v>
      </c>
      <c r="K107" s="159">
        <f>K106*INDEX('1. Assumptions'!$G:$G,MATCH("AE Annual Quota (full productivity)",'1. Assumptions'!$B:$B,0))*INDEX('1. Assumptions'!$G:$G,MATCH("AE Quota Attainment",'1. Assumptions'!$B:$B,0))/12</f>
        <v>30000</v>
      </c>
      <c r="L107" s="159">
        <f>L106*INDEX('1. Assumptions'!$G:$G,MATCH("AE Annual Quota (full productivity)",'1. Assumptions'!$B:$B,0))*INDEX('1. Assumptions'!$G:$G,MATCH("AE Quota Attainment",'1. Assumptions'!$B:$B,0))/12</f>
        <v>45000</v>
      </c>
      <c r="M107" s="159">
        <f>M106*INDEX('1. Assumptions'!$G:$G,MATCH("AE Annual Quota (full productivity)",'1. Assumptions'!$B:$B,0))*INDEX('1. Assumptions'!$G:$G,MATCH("AE Quota Attainment",'1. Assumptions'!$B:$B,0))/12</f>
        <v>60000</v>
      </c>
      <c r="N107" s="159">
        <f>N106*INDEX('1. Assumptions'!$G:$G,MATCH("AE Annual Quota (full productivity)",'1. Assumptions'!$B:$B,0))*INDEX('1. Assumptions'!$G:$G,MATCH("AE Quota Attainment",'1. Assumptions'!$B:$B,0))/12</f>
        <v>60000</v>
      </c>
      <c r="O107" s="159">
        <f>O106*INDEX('1. Assumptions'!$G:$G,MATCH("AE Annual Quota (full productivity)",'1. Assumptions'!$B:$B,0))*INDEX('1. Assumptions'!$G:$G,MATCH("AE Quota Attainment",'1. Assumptions'!$B:$B,0))/12</f>
        <v>60000</v>
      </c>
      <c r="P107" s="159">
        <f>P106*INDEX('1. Assumptions'!$G:$G,MATCH("AE Annual Quota (full productivity)",'1. Assumptions'!$B:$B,0))*INDEX('1. Assumptions'!$G:$G,MATCH("AE Quota Attainment",'1. Assumptions'!$B:$B,0))/12</f>
        <v>60000</v>
      </c>
      <c r="Q107" s="159">
        <f>Q106*INDEX('1. Assumptions'!$G:$G,MATCH("AE Annual Quota (full productivity)",'1. Assumptions'!$B:$B,0))*INDEX('1. Assumptions'!$G:$G,MATCH("AE Quota Attainment",'1. Assumptions'!$B:$B,0))/12</f>
        <v>90000</v>
      </c>
      <c r="R107" s="159">
        <f>R106*INDEX('1. Assumptions'!$G:$G,MATCH("AE Annual Quota (full productivity)",'1. Assumptions'!$B:$B,0))*INDEX('1. Assumptions'!$G:$G,MATCH("AE Quota Attainment",'1. Assumptions'!$B:$B,0))/12</f>
        <v>90000</v>
      </c>
      <c r="S107" s="159">
        <f>S106*INDEX('1. Assumptions'!$G:$G,MATCH("AE Annual Quota (full productivity)",'1. Assumptions'!$B:$B,0))*INDEX('1. Assumptions'!$G:$G,MATCH("AE Quota Attainment",'1. Assumptions'!$B:$B,0))/12</f>
        <v>90000</v>
      </c>
      <c r="T107" s="159">
        <f>T106*INDEX('1. Assumptions'!$G:$G,MATCH("AE Annual Quota (full productivity)",'1. Assumptions'!$B:$B,0))*INDEX('1. Assumptions'!$G:$G,MATCH("AE Quota Attainment",'1. Assumptions'!$B:$B,0))/12</f>
        <v>90000</v>
      </c>
      <c r="U107" s="159">
        <f>U106*INDEX('1. Assumptions'!$G:$G,MATCH("AE Annual Quota (full productivity)",'1. Assumptions'!$B:$B,0))*INDEX('1. Assumptions'!$G:$G,MATCH("AE Quota Attainment",'1. Assumptions'!$B:$B,0))/12</f>
        <v>90000</v>
      </c>
      <c r="V107" s="159">
        <f>V106*INDEX('1. Assumptions'!$G:$G,MATCH("AE Annual Quota (full productivity)",'1. Assumptions'!$B:$B,0))*INDEX('1. Assumptions'!$G:$G,MATCH("AE Quota Attainment",'1. Assumptions'!$B:$B,0))/12</f>
        <v>90000</v>
      </c>
      <c r="W107" s="159">
        <f>W106*INDEX('1. Assumptions'!$G:$G,MATCH("AE Annual Quota (full productivity)",'1. Assumptions'!$B:$B,0))*INDEX('1. Assumptions'!$G:$G,MATCH("AE Quota Attainment",'1. Assumptions'!$B:$B,0))/12</f>
        <v>90000</v>
      </c>
      <c r="X107" s="159">
        <f>X106*INDEX('1. Assumptions'!$G:$G,MATCH("AE Annual Quota (full productivity)",'1. Assumptions'!$B:$B,0))*INDEX('1. Assumptions'!$G:$G,MATCH("AE Quota Attainment",'1. Assumptions'!$B:$B,0))/12</f>
        <v>90000</v>
      </c>
      <c r="Y107" s="159">
        <f>Y106*INDEX('1. Assumptions'!$G:$G,MATCH("AE Annual Quota (full productivity)",'1. Assumptions'!$B:$B,0))*INDEX('1. Assumptions'!$G:$G,MATCH("AE Quota Attainment",'1. Assumptions'!$B:$B,0))/12</f>
        <v>90000</v>
      </c>
      <c r="Z107" s="159">
        <f>Z106*INDEX('1. Assumptions'!$G:$G,MATCH("AE Annual Quota (full productivity)",'1. Assumptions'!$B:$B,0))*INDEX('1. Assumptions'!$G:$G,MATCH("AE Quota Attainment",'1. Assumptions'!$B:$B,0))/12</f>
        <v>90000</v>
      </c>
      <c r="AA107" s="159">
        <f>AA106*INDEX('1. Assumptions'!$G:$G,MATCH("AE Annual Quota (full productivity)",'1. Assumptions'!$B:$B,0))*INDEX('1. Assumptions'!$G:$G,MATCH("AE Quota Attainment",'1. Assumptions'!$B:$B,0))/12</f>
        <v>90000</v>
      </c>
    </row>
    <row r="108" spans="1:29" s="3" customFormat="1" ht="13.2">
      <c r="A108" s="141" t="s">
        <v>865</v>
      </c>
      <c r="B108" s="141" t="s">
        <v>869</v>
      </c>
      <c r="C108" s="141" t="s">
        <v>64</v>
      </c>
      <c r="D108" s="157">
        <f>N(D14)*INDEX('1. Assumptions'!$G:$G,MATCH("Enterprise Plan Price ($/mo)",'1. Assumptions'!$B:$B,0))*12</f>
        <v>0</v>
      </c>
      <c r="E108" s="157">
        <f>N(E14)*INDEX('1. Assumptions'!$G:$G,MATCH("Enterprise Plan Price ($/mo)",'1. Assumptions'!$B:$B,0))*12</f>
        <v>0</v>
      </c>
      <c r="F108" s="157">
        <f>N(F14)*INDEX('1. Assumptions'!$G:$G,MATCH("Enterprise Plan Price ($/mo)",'1. Assumptions'!$B:$B,0))*12</f>
        <v>0</v>
      </c>
      <c r="G108" s="159">
        <f>N(G14)*INDEX('1. Assumptions'!$G:$G,MATCH("Enterprise Plan Price ($/mo)",'1. Assumptions'!$B:$B,0))*12</f>
        <v>0</v>
      </c>
      <c r="H108" s="159">
        <f>N(H14)*INDEX('1. Assumptions'!$G:$G,MATCH("Enterprise Plan Price ($/mo)",'1. Assumptions'!$B:$B,0))*12</f>
        <v>0</v>
      </c>
      <c r="I108" s="159">
        <f>N(I14)*INDEX('1. Assumptions'!$G:$G,MATCH("Enterprise Plan Price ($/mo)",'1. Assumptions'!$B:$B,0))*12</f>
        <v>7188</v>
      </c>
      <c r="J108" s="159">
        <f>N(J14)*INDEX('1. Assumptions'!$G:$G,MATCH("Enterprise Plan Price ($/mo)",'1. Assumptions'!$B:$B,0))*12</f>
        <v>7691.1600000000008</v>
      </c>
      <c r="K108" s="159">
        <f>N(K14)*INDEX('1. Assumptions'!$G:$G,MATCH("Enterprise Plan Price ($/mo)",'1. Assumptions'!$B:$B,0))*12</f>
        <v>8229.5411999999997</v>
      </c>
      <c r="L108" s="159">
        <f>N(L14)*INDEX('1. Assumptions'!$G:$G,MATCH("Enterprise Plan Price ($/mo)",'1. Assumptions'!$B:$B,0))*12</f>
        <v>8805.6090840000015</v>
      </c>
      <c r="M108" s="159">
        <f>N(M14)*INDEX('1. Assumptions'!$G:$G,MATCH("Enterprise Plan Price ($/mo)",'1. Assumptions'!$B:$B,0))*12</f>
        <v>9422.0017198800015</v>
      </c>
      <c r="N108" s="159">
        <f>N(N14)*INDEX('1. Assumptions'!$G:$G,MATCH("Enterprise Plan Price ($/mo)",'1. Assumptions'!$B:$B,0))*12</f>
        <v>10081.5418402716</v>
      </c>
      <c r="O108" s="159">
        <f>N(O14)*INDEX('1. Assumptions'!$G:$G,MATCH("Enterprise Plan Price ($/mo)",'1. Assumptions'!$B:$B,0))*12</f>
        <v>10787.249769090613</v>
      </c>
      <c r="P108" s="159">
        <f>N(P14)*INDEX('1. Assumptions'!$G:$G,MATCH("Enterprise Plan Price ($/mo)",'1. Assumptions'!$B:$B,0))*12</f>
        <v>11542.357252926957</v>
      </c>
      <c r="Q108" s="159">
        <f>N(Q14)*INDEX('1. Assumptions'!$G:$G,MATCH("Enterprise Plan Price ($/mo)",'1. Assumptions'!$B:$B,0))*12</f>
        <v>12350.322260631841</v>
      </c>
      <c r="R108" s="159">
        <f>N(R14)*INDEX('1. Assumptions'!$G:$G,MATCH("Enterprise Plan Price ($/mo)",'1. Assumptions'!$B:$B,0))*12</f>
        <v>13214.844818876072</v>
      </c>
      <c r="S108" s="159">
        <f>N(S14)*INDEX('1. Assumptions'!$G:$G,MATCH("Enterprise Plan Price ($/mo)",'1. Assumptions'!$B:$B,0))*12</f>
        <v>14139.883956197396</v>
      </c>
      <c r="T108" s="159">
        <f>N(T14)*INDEX('1. Assumptions'!$G:$G,MATCH("Enterprise Plan Price ($/mo)",'1. Assumptions'!$B:$B,0))*12</f>
        <v>15129.675833131218</v>
      </c>
      <c r="U108" s="159">
        <f>N(U14)*INDEX('1. Assumptions'!$G:$G,MATCH("Enterprise Plan Price ($/mo)",'1. Assumptions'!$B:$B,0))*12</f>
        <v>16188.753141450397</v>
      </c>
      <c r="V108" s="159">
        <f>N(V14)*INDEX('1. Assumptions'!$G:$G,MATCH("Enterprise Plan Price ($/mo)",'1. Assumptions'!$B:$B,0))*12</f>
        <v>17321.965861351928</v>
      </c>
      <c r="W108" s="159">
        <f>N(W14)*INDEX('1. Assumptions'!$G:$G,MATCH("Enterprise Plan Price ($/mo)",'1. Assumptions'!$B:$B,0))*12</f>
        <v>18534.503471646563</v>
      </c>
      <c r="X108" s="159">
        <f>N(X14)*INDEX('1. Assumptions'!$G:$G,MATCH("Enterprise Plan Price ($/mo)",'1. Assumptions'!$B:$B,0))*12</f>
        <v>19831.918714661824</v>
      </c>
      <c r="Y108" s="159">
        <f>N(Y14)*INDEX('1. Assumptions'!$G:$G,MATCH("Enterprise Plan Price ($/mo)",'1. Assumptions'!$B:$B,0))*12</f>
        <v>21220.153024688148</v>
      </c>
      <c r="Z108" s="159">
        <f>N(Z14)*INDEX('1. Assumptions'!$G:$G,MATCH("Enterprise Plan Price ($/mo)",'1. Assumptions'!$B:$B,0))*12</f>
        <v>22705.563736416319</v>
      </c>
      <c r="AA108" s="159">
        <f>N(AA14)*INDEX('1. Assumptions'!$G:$G,MATCH("Enterprise Plan Price ($/mo)",'1. Assumptions'!$B:$B,0))*12</f>
        <v>24294.953197965464</v>
      </c>
    </row>
    <row r="109" spans="1:29" s="3" customFormat="1" ht="13.2">
      <c r="A109" s="141" t="s">
        <v>865</v>
      </c>
      <c r="B109" s="141" t="s">
        <v>870</v>
      </c>
      <c r="C109" s="141" t="s">
        <v>785</v>
      </c>
      <c r="D109" s="148" t="str">
        <f>IF(D107&gt;=D108,"OK","CAPACITY GAP")</f>
        <v>OK</v>
      </c>
      <c r="E109" s="148" t="str">
        <f t="shared" ref="E109:AA109" si="24">IF(E107&gt;=E108,"OK","CAPACITY GAP")</f>
        <v>OK</v>
      </c>
      <c r="F109" s="148" t="str">
        <f t="shared" si="24"/>
        <v>OK</v>
      </c>
      <c r="G109" s="148" t="str">
        <f t="shared" si="24"/>
        <v>OK</v>
      </c>
      <c r="H109" s="148" t="str">
        <f t="shared" si="24"/>
        <v>OK</v>
      </c>
      <c r="I109" s="148" t="str">
        <f t="shared" si="24"/>
        <v>OK</v>
      </c>
      <c r="J109" s="148" t="str">
        <f t="shared" si="24"/>
        <v>OK</v>
      </c>
      <c r="K109" s="148" t="str">
        <f t="shared" si="24"/>
        <v>OK</v>
      </c>
      <c r="L109" s="148" t="str">
        <f t="shared" si="24"/>
        <v>OK</v>
      </c>
      <c r="M109" s="148" t="str">
        <f t="shared" si="24"/>
        <v>OK</v>
      </c>
      <c r="N109" s="148" t="str">
        <f t="shared" si="24"/>
        <v>OK</v>
      </c>
      <c r="O109" s="148" t="str">
        <f t="shared" si="24"/>
        <v>OK</v>
      </c>
      <c r="P109" s="148" t="str">
        <f t="shared" si="24"/>
        <v>OK</v>
      </c>
      <c r="Q109" s="148" t="str">
        <f t="shared" si="24"/>
        <v>OK</v>
      </c>
      <c r="R109" s="148" t="str">
        <f t="shared" si="24"/>
        <v>OK</v>
      </c>
      <c r="S109" s="148" t="str">
        <f t="shared" si="24"/>
        <v>OK</v>
      </c>
      <c r="T109" s="148" t="str">
        <f t="shared" si="24"/>
        <v>OK</v>
      </c>
      <c r="U109" s="148" t="str">
        <f t="shared" si="24"/>
        <v>OK</v>
      </c>
      <c r="V109" s="148" t="str">
        <f t="shared" si="24"/>
        <v>OK</v>
      </c>
      <c r="W109" s="148" t="str">
        <f t="shared" si="24"/>
        <v>OK</v>
      </c>
      <c r="X109" s="148" t="str">
        <f t="shared" si="24"/>
        <v>OK</v>
      </c>
      <c r="Y109" s="148" t="str">
        <f t="shared" si="24"/>
        <v>OK</v>
      </c>
      <c r="Z109" s="148" t="str">
        <f t="shared" si="24"/>
        <v>OK</v>
      </c>
      <c r="AA109" s="148" t="str">
        <f t="shared" si="24"/>
        <v>OK</v>
      </c>
    </row>
    <row r="110" spans="1:29" s="3" customFormat="1" ht="13.2"/>
    <row r="111" spans="1:29" s="3" customFormat="1" ht="13.2">
      <c r="A111" s="105" t="s">
        <v>871</v>
      </c>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row>
    <row r="112" spans="1:29" s="3" customFormat="1" ht="13.2">
      <c r="A112" s="141" t="s">
        <v>807</v>
      </c>
      <c r="B112" s="141" t="s">
        <v>872</v>
      </c>
      <c r="C112" s="141" t="s">
        <v>785</v>
      </c>
      <c r="D112" s="148" t="str">
        <f>IF(D63=D64,"OK","CHECK")</f>
        <v>OK</v>
      </c>
      <c r="E112" s="148" t="str">
        <f t="shared" ref="E112:AA112" si="25">IF(E63=E64,"OK","CHECK")</f>
        <v>OK</v>
      </c>
      <c r="F112" s="148" t="str">
        <f t="shared" si="25"/>
        <v>OK</v>
      </c>
      <c r="G112" s="148" t="str">
        <f t="shared" si="25"/>
        <v>OK</v>
      </c>
      <c r="H112" s="148" t="str">
        <f t="shared" si="25"/>
        <v>OK</v>
      </c>
      <c r="I112" s="148" t="str">
        <f t="shared" si="25"/>
        <v>OK</v>
      </c>
      <c r="J112" s="148" t="str">
        <f t="shared" si="25"/>
        <v>OK</v>
      </c>
      <c r="K112" s="148" t="str">
        <f t="shared" si="25"/>
        <v>OK</v>
      </c>
      <c r="L112" s="148" t="str">
        <f t="shared" si="25"/>
        <v>OK</v>
      </c>
      <c r="M112" s="148" t="str">
        <f t="shared" si="25"/>
        <v>OK</v>
      </c>
      <c r="N112" s="148" t="str">
        <f t="shared" si="25"/>
        <v>OK</v>
      </c>
      <c r="O112" s="148" t="str">
        <f t="shared" si="25"/>
        <v>OK</v>
      </c>
      <c r="P112" s="148" t="str">
        <f t="shared" si="25"/>
        <v>OK</v>
      </c>
      <c r="Q112" s="148" t="str">
        <f t="shared" si="25"/>
        <v>OK</v>
      </c>
      <c r="R112" s="148" t="str">
        <f t="shared" si="25"/>
        <v>OK</v>
      </c>
      <c r="S112" s="148" t="str">
        <f t="shared" si="25"/>
        <v>OK</v>
      </c>
      <c r="T112" s="148" t="str">
        <f t="shared" si="25"/>
        <v>OK</v>
      </c>
      <c r="U112" s="148" t="str">
        <f t="shared" si="25"/>
        <v>OK</v>
      </c>
      <c r="V112" s="148" t="str">
        <f t="shared" si="25"/>
        <v>OK</v>
      </c>
      <c r="W112" s="148" t="str">
        <f t="shared" si="25"/>
        <v>OK</v>
      </c>
      <c r="X112" s="148" t="str">
        <f t="shared" si="25"/>
        <v>OK</v>
      </c>
      <c r="Y112" s="148" t="str">
        <f t="shared" si="25"/>
        <v>OK</v>
      </c>
      <c r="Z112" s="148" t="str">
        <f t="shared" si="25"/>
        <v>OK</v>
      </c>
      <c r="AA112" s="148" t="str">
        <f t="shared" si="25"/>
        <v>OK</v>
      </c>
    </row>
    <row r="113" spans="1:27" s="3" customFormat="1" ht="13.2">
      <c r="A113" s="141" t="s">
        <v>807</v>
      </c>
      <c r="B113" s="141" t="s">
        <v>873</v>
      </c>
      <c r="C113" s="141" t="s">
        <v>785</v>
      </c>
      <c r="D113" s="148" t="str">
        <f>IF(ROUND(D95,0)=ROUND(D93,0),"OK","CHECK")</f>
        <v>OK</v>
      </c>
      <c r="E113" s="148" t="str">
        <f t="shared" ref="E113:AA113" si="26">IF(ROUND(E95,0)=ROUND(E93,0),"OK","CHECK")</f>
        <v>OK</v>
      </c>
      <c r="F113" s="148" t="str">
        <f t="shared" si="26"/>
        <v>OK</v>
      </c>
      <c r="G113" s="148" t="str">
        <f t="shared" si="26"/>
        <v>OK</v>
      </c>
      <c r="H113" s="148" t="str">
        <f t="shared" si="26"/>
        <v>OK</v>
      </c>
      <c r="I113" s="148" t="str">
        <f t="shared" si="26"/>
        <v>OK</v>
      </c>
      <c r="J113" s="148" t="str">
        <f t="shared" si="26"/>
        <v>OK</v>
      </c>
      <c r="K113" s="148" t="str">
        <f t="shared" si="26"/>
        <v>OK</v>
      </c>
      <c r="L113" s="148" t="str">
        <f t="shared" si="26"/>
        <v>OK</v>
      </c>
      <c r="M113" s="148" t="str">
        <f t="shared" si="26"/>
        <v>OK</v>
      </c>
      <c r="N113" s="148" t="str">
        <f t="shared" si="26"/>
        <v>OK</v>
      </c>
      <c r="O113" s="148" t="str">
        <f t="shared" si="26"/>
        <v>OK</v>
      </c>
      <c r="P113" s="148" t="str">
        <f t="shared" si="26"/>
        <v>OK</v>
      </c>
      <c r="Q113" s="148" t="str">
        <f t="shared" si="26"/>
        <v>OK</v>
      </c>
      <c r="R113" s="148" t="str">
        <f t="shared" si="26"/>
        <v>OK</v>
      </c>
      <c r="S113" s="148" t="str">
        <f t="shared" si="26"/>
        <v>OK</v>
      </c>
      <c r="T113" s="148" t="str">
        <f t="shared" si="26"/>
        <v>OK</v>
      </c>
      <c r="U113" s="148" t="str">
        <f t="shared" si="26"/>
        <v>OK</v>
      </c>
      <c r="V113" s="148" t="str">
        <f t="shared" si="26"/>
        <v>OK</v>
      </c>
      <c r="W113" s="148" t="str">
        <f t="shared" si="26"/>
        <v>OK</v>
      </c>
      <c r="X113" s="148" t="str">
        <f t="shared" si="26"/>
        <v>OK</v>
      </c>
      <c r="Y113" s="148" t="str">
        <f t="shared" si="26"/>
        <v>OK</v>
      </c>
      <c r="Z113" s="148" t="str">
        <f t="shared" si="26"/>
        <v>OK</v>
      </c>
      <c r="AA113" s="148" t="str">
        <f t="shared" si="26"/>
        <v>OK</v>
      </c>
    </row>
    <row r="114" spans="1:27" s="3" customFormat="1" ht="13.2">
      <c r="A114" s="141" t="s">
        <v>807</v>
      </c>
      <c r="B114" s="141" t="s">
        <v>874</v>
      </c>
      <c r="C114" s="141" t="s">
        <v>785</v>
      </c>
      <c r="D114" s="148" t="str">
        <f>IF(D103=SUM(D47,D53,D55),"OK","CHECK")</f>
        <v>OK</v>
      </c>
      <c r="E114" s="148" t="str">
        <f t="shared" ref="E114:AA114" si="27">IF(E103=SUM(E47,E53,E55),"OK","CHECK")</f>
        <v>OK</v>
      </c>
      <c r="F114" s="148" t="str">
        <f t="shared" si="27"/>
        <v>OK</v>
      </c>
      <c r="G114" s="148" t="str">
        <f t="shared" si="27"/>
        <v>OK</v>
      </c>
      <c r="H114" s="148" t="str">
        <f t="shared" si="27"/>
        <v>OK</v>
      </c>
      <c r="I114" s="148" t="str">
        <f t="shared" si="27"/>
        <v>OK</v>
      </c>
      <c r="J114" s="148" t="str">
        <f t="shared" si="27"/>
        <v>OK</v>
      </c>
      <c r="K114" s="148" t="str">
        <f t="shared" si="27"/>
        <v>OK</v>
      </c>
      <c r="L114" s="148" t="str">
        <f t="shared" si="27"/>
        <v>OK</v>
      </c>
      <c r="M114" s="148" t="str">
        <f t="shared" si="27"/>
        <v>OK</v>
      </c>
      <c r="N114" s="148" t="str">
        <f t="shared" si="27"/>
        <v>OK</v>
      </c>
      <c r="O114" s="148" t="str">
        <f t="shared" si="27"/>
        <v>OK</v>
      </c>
      <c r="P114" s="148" t="str">
        <f t="shared" si="27"/>
        <v>OK</v>
      </c>
      <c r="Q114" s="148" t="str">
        <f t="shared" si="27"/>
        <v>OK</v>
      </c>
      <c r="R114" s="148" t="str">
        <f t="shared" si="27"/>
        <v>OK</v>
      </c>
      <c r="S114" s="148" t="str">
        <f t="shared" si="27"/>
        <v>OK</v>
      </c>
      <c r="T114" s="148" t="str">
        <f t="shared" si="27"/>
        <v>OK</v>
      </c>
      <c r="U114" s="148" t="str">
        <f t="shared" si="27"/>
        <v>OK</v>
      </c>
      <c r="V114" s="148" t="str">
        <f t="shared" si="27"/>
        <v>OK</v>
      </c>
      <c r="W114" s="148" t="str">
        <f t="shared" si="27"/>
        <v>OK</v>
      </c>
      <c r="X114" s="148" t="str">
        <f t="shared" si="27"/>
        <v>OK</v>
      </c>
      <c r="Y114" s="148" t="str">
        <f t="shared" si="27"/>
        <v>OK</v>
      </c>
      <c r="Z114" s="148" t="str">
        <f t="shared" si="27"/>
        <v>OK</v>
      </c>
      <c r="AA114" s="148" t="str">
        <f t="shared" si="27"/>
        <v>OK</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CAF1A-B029-43C8-9E18-9623081A8012}">
  <dimension ref="A1:AC94"/>
  <sheetViews>
    <sheetView showGridLines="0" zoomScale="83" workbookViewId="0">
      <pane xSplit="3" ySplit="4" topLeftCell="D5" activePane="bottomRight" state="frozen"/>
      <selection pane="topRight" activeCell="D1" sqref="D1"/>
      <selection pane="bottomLeft" activeCell="A6" sqref="A6"/>
      <selection pane="bottomRight" activeCell="A2" sqref="A2"/>
    </sheetView>
  </sheetViews>
  <sheetFormatPr defaultRowHeight="14.4"/>
  <cols>
    <col min="1" max="1" width="25" customWidth="1"/>
    <col min="2" max="2" width="31" customWidth="1"/>
    <col min="3" max="3" width="17" customWidth="1"/>
    <col min="4" max="4" width="9.44140625" bestFit="1" customWidth="1"/>
    <col min="5" max="12" width="9" bestFit="1" customWidth="1"/>
    <col min="13" max="26" width="9.44140625" bestFit="1" customWidth="1"/>
    <col min="27" max="27" width="9.77734375" bestFit="1" customWidth="1"/>
    <col min="28" max="28" width="27" customWidth="1"/>
    <col min="29" max="29" width="23.44140625" customWidth="1"/>
  </cols>
  <sheetData>
    <row r="1" spans="1:29" ht="17.399999999999999">
      <c r="A1" s="59" t="s">
        <v>1320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row>
    <row r="2" spans="1:29">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row>
    <row r="3" spans="1:29" s="3" customFormat="1" ht="13.2">
      <c r="A3" s="160" t="s">
        <v>662</v>
      </c>
      <c r="B3" s="160" t="s">
        <v>663</v>
      </c>
      <c r="C3" s="160" t="str">
        <f>+'3. Revenue Model'!C2</f>
        <v>Unit</v>
      </c>
      <c r="D3" s="160" t="str">
        <f>+'3. Revenue Model'!D2</f>
        <v>Month 1</v>
      </c>
      <c r="E3" s="160" t="str">
        <f>+'3. Revenue Model'!E2</f>
        <v>Month 2</v>
      </c>
      <c r="F3" s="160" t="str">
        <f>+'3. Revenue Model'!F2</f>
        <v>Month 3</v>
      </c>
      <c r="G3" s="160" t="str">
        <f>+'3. Revenue Model'!G2</f>
        <v>Month 4</v>
      </c>
      <c r="H3" s="160" t="str">
        <f>+'3. Revenue Model'!H2</f>
        <v>Month 5</v>
      </c>
      <c r="I3" s="160" t="str">
        <f>+'3. Revenue Model'!I2</f>
        <v>Month 6</v>
      </c>
      <c r="J3" s="160" t="str">
        <f>+'3. Revenue Model'!J2</f>
        <v>Month 7</v>
      </c>
      <c r="K3" s="160" t="str">
        <f>+'3. Revenue Model'!K2</f>
        <v>Month 8</v>
      </c>
      <c r="L3" s="160" t="str">
        <f>+'3. Revenue Model'!L2</f>
        <v>Month 9</v>
      </c>
      <c r="M3" s="160" t="str">
        <f>+'3. Revenue Model'!M2</f>
        <v>Month 10</v>
      </c>
      <c r="N3" s="160" t="str">
        <f>+'3. Revenue Model'!N2</f>
        <v>Month 11</v>
      </c>
      <c r="O3" s="160" t="str">
        <f>+'3. Revenue Model'!O2</f>
        <v>Month 12</v>
      </c>
      <c r="P3" s="160" t="str">
        <f>+'3. Revenue Model'!P2</f>
        <v>Month 13</v>
      </c>
      <c r="Q3" s="160" t="str">
        <f>+'3. Revenue Model'!Q2</f>
        <v>Month 14</v>
      </c>
      <c r="R3" s="160" t="str">
        <f>+'3. Revenue Model'!R2</f>
        <v>Month 15</v>
      </c>
      <c r="S3" s="160" t="str">
        <f>+'3. Revenue Model'!S2</f>
        <v>Month 16</v>
      </c>
      <c r="T3" s="160" t="str">
        <f>+'3. Revenue Model'!T2</f>
        <v>Month 17</v>
      </c>
      <c r="U3" s="160" t="str">
        <f>+'3. Revenue Model'!U2</f>
        <v>Month 18</v>
      </c>
      <c r="V3" s="160" t="str">
        <f>+'3. Revenue Model'!V2</f>
        <v>Month 19</v>
      </c>
      <c r="W3" s="160" t="str">
        <f>+'3. Revenue Model'!W2</f>
        <v>Month 20</v>
      </c>
      <c r="X3" s="160" t="str">
        <f>+'3. Revenue Model'!X2</f>
        <v>Month 21</v>
      </c>
      <c r="Y3" s="160" t="str">
        <f>+'3. Revenue Model'!Y2</f>
        <v>Month 22</v>
      </c>
      <c r="Z3" s="160" t="str">
        <f>+'3. Revenue Model'!Z2</f>
        <v>Month 23</v>
      </c>
      <c r="AA3" s="160" t="str">
        <f>+'3. Revenue Model'!AA2</f>
        <v>Month 24</v>
      </c>
      <c r="AB3" s="160" t="str">
        <f>+'3. Revenue Model'!AB2</f>
        <v>Notes / Formula Logic</v>
      </c>
      <c r="AC3" s="160" t="str">
        <f>+'3. Revenue Model'!AC2</f>
        <v>Check / Source</v>
      </c>
    </row>
    <row r="4" spans="1:29" s="3" customFormat="1" ht="13.2">
      <c r="A4" s="105" t="s">
        <v>818</v>
      </c>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row>
    <row r="5" spans="1:29" s="3" customFormat="1" ht="13.2">
      <c r="A5" s="141" t="s">
        <v>691</v>
      </c>
      <c r="B5" s="141" t="s">
        <v>38</v>
      </c>
      <c r="C5" s="141" t="s">
        <v>39</v>
      </c>
      <c r="D5" s="161" t="str">
        <f>INDEX('1. Assumptions'!$G:$G,MATCH("Selected Scenario",'1. Assumptions'!$B:$B,0))</f>
        <v>Base</v>
      </c>
      <c r="E5" s="161" t="str">
        <f>INDEX('1. Assumptions'!$G:$G,MATCH("Selected Scenario",'1. Assumptions'!$B:$B,0))</f>
        <v>Base</v>
      </c>
      <c r="F5" s="161" t="str">
        <f>INDEX('1. Assumptions'!$G:$G,MATCH("Selected Scenario",'1. Assumptions'!$B:$B,0))</f>
        <v>Base</v>
      </c>
      <c r="G5" s="161" t="str">
        <f>INDEX('1. Assumptions'!$G:$G,MATCH("Selected Scenario",'1. Assumptions'!$B:$B,0))</f>
        <v>Base</v>
      </c>
      <c r="H5" s="161" t="str">
        <f>INDEX('1. Assumptions'!$G:$G,MATCH("Selected Scenario",'1. Assumptions'!$B:$B,0))</f>
        <v>Base</v>
      </c>
      <c r="I5" s="161" t="str">
        <f>INDEX('1. Assumptions'!$G:$G,MATCH("Selected Scenario",'1. Assumptions'!$B:$B,0))</f>
        <v>Base</v>
      </c>
      <c r="J5" s="161" t="str">
        <f>INDEX('1. Assumptions'!$G:$G,MATCH("Selected Scenario",'1. Assumptions'!$B:$B,0))</f>
        <v>Base</v>
      </c>
      <c r="K5" s="161" t="str">
        <f>INDEX('1. Assumptions'!$G:$G,MATCH("Selected Scenario",'1. Assumptions'!$B:$B,0))</f>
        <v>Base</v>
      </c>
      <c r="L5" s="161" t="str">
        <f>INDEX('1. Assumptions'!$G:$G,MATCH("Selected Scenario",'1. Assumptions'!$B:$B,0))</f>
        <v>Base</v>
      </c>
      <c r="M5" s="161" t="str">
        <f>INDEX('1. Assumptions'!$G:$G,MATCH("Selected Scenario",'1. Assumptions'!$B:$B,0))</f>
        <v>Base</v>
      </c>
      <c r="N5" s="161" t="str">
        <f>INDEX('1. Assumptions'!$G:$G,MATCH("Selected Scenario",'1. Assumptions'!$B:$B,0))</f>
        <v>Base</v>
      </c>
      <c r="O5" s="161" t="str">
        <f>INDEX('1. Assumptions'!$G:$G,MATCH("Selected Scenario",'1. Assumptions'!$B:$B,0))</f>
        <v>Base</v>
      </c>
      <c r="P5" s="161" t="str">
        <f>INDEX('1. Assumptions'!$G:$G,MATCH("Selected Scenario",'1. Assumptions'!$B:$B,0))</f>
        <v>Base</v>
      </c>
      <c r="Q5" s="161" t="str">
        <f>INDEX('1. Assumptions'!$G:$G,MATCH("Selected Scenario",'1. Assumptions'!$B:$B,0))</f>
        <v>Base</v>
      </c>
      <c r="R5" s="161" t="str">
        <f>INDEX('1. Assumptions'!$G:$G,MATCH("Selected Scenario",'1. Assumptions'!$B:$B,0))</f>
        <v>Base</v>
      </c>
      <c r="S5" s="161" t="str">
        <f>INDEX('1. Assumptions'!$G:$G,MATCH("Selected Scenario",'1. Assumptions'!$B:$B,0))</f>
        <v>Base</v>
      </c>
      <c r="T5" s="161" t="str">
        <f>INDEX('1. Assumptions'!$G:$G,MATCH("Selected Scenario",'1. Assumptions'!$B:$B,0))</f>
        <v>Base</v>
      </c>
      <c r="U5" s="161" t="str">
        <f>INDEX('1. Assumptions'!$G:$G,MATCH("Selected Scenario",'1. Assumptions'!$B:$B,0))</f>
        <v>Base</v>
      </c>
      <c r="V5" s="161" t="str">
        <f>INDEX('1. Assumptions'!$G:$G,MATCH("Selected Scenario",'1. Assumptions'!$B:$B,0))</f>
        <v>Base</v>
      </c>
      <c r="W5" s="161" t="str">
        <f>INDEX('1. Assumptions'!$G:$G,MATCH("Selected Scenario",'1. Assumptions'!$B:$B,0))</f>
        <v>Base</v>
      </c>
      <c r="X5" s="161" t="str">
        <f>INDEX('1. Assumptions'!$G:$G,MATCH("Selected Scenario",'1. Assumptions'!$B:$B,0))</f>
        <v>Base</v>
      </c>
      <c r="Y5" s="161" t="str">
        <f>INDEX('1. Assumptions'!$G:$G,MATCH("Selected Scenario",'1. Assumptions'!$B:$B,0))</f>
        <v>Base</v>
      </c>
      <c r="Z5" s="161" t="str">
        <f>INDEX('1. Assumptions'!$G:$G,MATCH("Selected Scenario",'1. Assumptions'!$B:$B,0))</f>
        <v>Base</v>
      </c>
      <c r="AA5" s="161" t="str">
        <f>INDEX('1. Assumptions'!$G:$G,MATCH("Selected Scenario",'1. Assumptions'!$B:$B,0))</f>
        <v>Base</v>
      </c>
      <c r="AB5" s="141"/>
      <c r="AC5" s="141"/>
    </row>
    <row r="6" spans="1:29" s="3" customFormat="1" ht="26.4">
      <c r="A6" s="141" t="s">
        <v>693</v>
      </c>
      <c r="B6" s="141" t="s">
        <v>694</v>
      </c>
      <c r="C6" s="141" t="s">
        <v>159</v>
      </c>
      <c r="D6" s="148">
        <f>+'3. Revenue Model'!D5</f>
        <v>1</v>
      </c>
      <c r="E6" s="148">
        <f>+'3. Revenue Model'!E5</f>
        <v>2</v>
      </c>
      <c r="F6" s="148">
        <f>+'3. Revenue Model'!F5</f>
        <v>3</v>
      </c>
      <c r="G6" s="148">
        <f>+'3. Revenue Model'!G5</f>
        <v>4</v>
      </c>
      <c r="H6" s="148">
        <f>+'3. Revenue Model'!H5</f>
        <v>5</v>
      </c>
      <c r="I6" s="148">
        <f>+'3. Revenue Model'!I5</f>
        <v>6</v>
      </c>
      <c r="J6" s="148">
        <f>+'3. Revenue Model'!J5</f>
        <v>7</v>
      </c>
      <c r="K6" s="148">
        <f>+'3. Revenue Model'!K5</f>
        <v>8</v>
      </c>
      <c r="L6" s="148">
        <f>+'3. Revenue Model'!L5</f>
        <v>9</v>
      </c>
      <c r="M6" s="148">
        <f>+'3. Revenue Model'!M5</f>
        <v>10</v>
      </c>
      <c r="N6" s="148">
        <f>+'3. Revenue Model'!N5</f>
        <v>11</v>
      </c>
      <c r="O6" s="148">
        <f>+'3. Revenue Model'!O5</f>
        <v>12</v>
      </c>
      <c r="P6" s="148">
        <f>+'3. Revenue Model'!P5</f>
        <v>13</v>
      </c>
      <c r="Q6" s="148">
        <f>+'3. Revenue Model'!Q5</f>
        <v>14</v>
      </c>
      <c r="R6" s="148">
        <f>+'3. Revenue Model'!R5</f>
        <v>15</v>
      </c>
      <c r="S6" s="148">
        <f>+'3. Revenue Model'!S5</f>
        <v>16</v>
      </c>
      <c r="T6" s="148">
        <f>+'3. Revenue Model'!T5</f>
        <v>17</v>
      </c>
      <c r="U6" s="148">
        <f>+'3. Revenue Model'!U5</f>
        <v>18</v>
      </c>
      <c r="V6" s="148">
        <f>+'3. Revenue Model'!V5</f>
        <v>19</v>
      </c>
      <c r="W6" s="148">
        <f>+'3. Revenue Model'!W5</f>
        <v>20</v>
      </c>
      <c r="X6" s="148">
        <f>+'3. Revenue Model'!X5</f>
        <v>21</v>
      </c>
      <c r="Y6" s="148">
        <f>+'3. Revenue Model'!Y5</f>
        <v>22</v>
      </c>
      <c r="Z6" s="148">
        <f>+'3. Revenue Model'!Z5</f>
        <v>23</v>
      </c>
      <c r="AA6" s="148">
        <f>+'3. Revenue Model'!AA5</f>
        <v>24</v>
      </c>
      <c r="AB6" s="141" t="s">
        <v>881</v>
      </c>
      <c r="AC6" s="141" t="s">
        <v>882</v>
      </c>
    </row>
    <row r="7" spans="1:29" s="3" customFormat="1" ht="26.4">
      <c r="A7" s="141" t="s">
        <v>693</v>
      </c>
      <c r="B7" s="141" t="s">
        <v>695</v>
      </c>
      <c r="C7" s="141" t="s">
        <v>44</v>
      </c>
      <c r="D7" s="162">
        <f>+'3. Revenue Model'!D6</f>
        <v>46023</v>
      </c>
      <c r="E7" s="162">
        <f>+'3. Revenue Model'!E6</f>
        <v>46054</v>
      </c>
      <c r="F7" s="162">
        <f>+'3. Revenue Model'!F6</f>
        <v>46082</v>
      </c>
      <c r="G7" s="162">
        <f>+'3. Revenue Model'!G6</f>
        <v>46113</v>
      </c>
      <c r="H7" s="162">
        <f>+'3. Revenue Model'!H6</f>
        <v>46143</v>
      </c>
      <c r="I7" s="162">
        <f>+'3. Revenue Model'!I6</f>
        <v>46174</v>
      </c>
      <c r="J7" s="162">
        <f>+'3. Revenue Model'!J6</f>
        <v>46204</v>
      </c>
      <c r="K7" s="162">
        <f>+'3. Revenue Model'!K6</f>
        <v>46235</v>
      </c>
      <c r="L7" s="162">
        <f>+'3. Revenue Model'!L6</f>
        <v>46266</v>
      </c>
      <c r="M7" s="162">
        <f>+'3. Revenue Model'!M6</f>
        <v>46296</v>
      </c>
      <c r="N7" s="162">
        <f>+'3. Revenue Model'!N6</f>
        <v>46327</v>
      </c>
      <c r="O7" s="162">
        <f>+'3. Revenue Model'!O6</f>
        <v>46357</v>
      </c>
      <c r="P7" s="162">
        <f>+'3. Revenue Model'!P6</f>
        <v>46388</v>
      </c>
      <c r="Q7" s="162">
        <f>+'3. Revenue Model'!Q6</f>
        <v>46419</v>
      </c>
      <c r="R7" s="162">
        <f>+'3. Revenue Model'!R6</f>
        <v>46447</v>
      </c>
      <c r="S7" s="162">
        <f>+'3. Revenue Model'!S6</f>
        <v>46478</v>
      </c>
      <c r="T7" s="162">
        <f>+'3. Revenue Model'!T6</f>
        <v>46508</v>
      </c>
      <c r="U7" s="162">
        <f>+'3. Revenue Model'!U6</f>
        <v>46539</v>
      </c>
      <c r="V7" s="162">
        <f>+'3. Revenue Model'!V6</f>
        <v>46569</v>
      </c>
      <c r="W7" s="162">
        <f>+'3. Revenue Model'!W6</f>
        <v>46600</v>
      </c>
      <c r="X7" s="162">
        <f>+'3. Revenue Model'!X6</f>
        <v>46631</v>
      </c>
      <c r="Y7" s="162">
        <f>+'3. Revenue Model'!Y6</f>
        <v>46661</v>
      </c>
      <c r="Z7" s="162">
        <f>+'3. Revenue Model'!Z6</f>
        <v>46692</v>
      </c>
      <c r="AA7" s="162">
        <f>+'3. Revenue Model'!AA6</f>
        <v>46722</v>
      </c>
      <c r="AB7" s="141" t="s">
        <v>881</v>
      </c>
      <c r="AC7" s="141" t="s">
        <v>882</v>
      </c>
    </row>
    <row r="8" spans="1:29" s="3" customFormat="1" ht="13.2">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c r="AA8" s="142"/>
      <c r="AB8" s="142"/>
      <c r="AC8" s="142"/>
    </row>
    <row r="9" spans="1:29" s="3" customFormat="1" ht="13.2">
      <c r="A9" s="105" t="s">
        <v>883</v>
      </c>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row>
    <row r="10" spans="1:29" s="3" customFormat="1" ht="13.2">
      <c r="A10" s="141" t="s">
        <v>882</v>
      </c>
      <c r="B10" s="141" t="s">
        <v>751</v>
      </c>
      <c r="C10" s="141" t="s">
        <v>64</v>
      </c>
      <c r="D10" s="163">
        <f>IFERROR(INDEX('3. Revenue Model'!$D:$AA,MATCH($B10,'3. Revenue Model'!$B:$B,0),MATCH(D$3,'3. Revenue Model'!$D$2:$AA$2,0)),"CHECK")</f>
        <v>16366</v>
      </c>
      <c r="E10" s="163">
        <f>IFERROR(INDEX('3. Revenue Model'!$D:$AA,MATCH($B10,'3. Revenue Model'!$B:$B,0),MATCH(E$3,'3. Revenue Model'!$D$2:$AA$2,0)),"CHECK")</f>
        <v>17340.12</v>
      </c>
      <c r="F10" s="163">
        <f>IFERROR(INDEX('3. Revenue Model'!$D:$AA,MATCH($B10,'3. Revenue Model'!$B:$B,0),MATCH(F$3,'3. Revenue Model'!$D$2:$AA$2,0)),"CHECK")</f>
        <v>18292.052800000001</v>
      </c>
      <c r="G10" s="163">
        <f>IFERROR(INDEX('3. Revenue Model'!$D:$AA,MATCH($B10,'3. Revenue Model'!$B:$B,0),MATCH(G$3,'3. Revenue Model'!$D$2:$AA$2,0)),"CHECK")</f>
        <v>19258.163064</v>
      </c>
      <c r="H10" s="163">
        <f>IFERROR(INDEX('3. Revenue Model'!$D:$AA,MATCH($B10,'3. Revenue Model'!$B:$B,0),MATCH(H$3,'3. Revenue Model'!$D$2:$AA$2,0)),"CHECK")</f>
        <v>20268.971845359996</v>
      </c>
      <c r="I10" s="163">
        <f>IFERROR(INDEX('3. Revenue Model'!$D:$AA,MATCH($B10,'3. Revenue Model'!$B:$B,0),MATCH(I$3,'3. Revenue Model'!$D$2:$AA$2,0)),"CHECK")</f>
        <v>21350.699465911199</v>
      </c>
      <c r="J10" s="163">
        <f>IFERROR(INDEX('3. Revenue Model'!$D:$AA,MATCH($B10,'3. Revenue Model'!$B:$B,0),MATCH(J$3,'3. Revenue Model'!$D$2:$AA$2,0)),"CHECK")</f>
        <v>22526.490941095286</v>
      </c>
      <c r="K10" s="163">
        <f>IFERROR(INDEX('3. Revenue Model'!$D:$AA,MATCH($B10,'3. Revenue Model'!$B:$B,0),MATCH(K$3,'3. Revenue Model'!$D$2:$AA$2,0)),"CHECK")</f>
        <v>23817.396126276002</v>
      </c>
      <c r="L10" s="163">
        <f>IFERROR(INDEX('3. Revenue Model'!$D:$AA,MATCH($B10,'3. Revenue Model'!$B:$B,0),MATCH(L$3,'3. Revenue Model'!$D$2:$AA$2,0)),"CHECK")</f>
        <v>25243.16109998972</v>
      </c>
      <c r="M10" s="163">
        <f>IFERROR(INDEX('3. Revenue Model'!$D:$AA,MATCH($B10,'3. Revenue Model'!$B:$B,0),MATCH(M$3,'3. Revenue Model'!$D$2:$AA$2,0)),"CHECK")</f>
        <v>26822.875107936055</v>
      </c>
      <c r="N10" s="163">
        <f>IFERROR(INDEX('3. Revenue Model'!$D:$AA,MATCH($B10,'3. Revenue Model'!$B:$B,0),MATCH(N$3,'3. Revenue Model'!$D$2:$AA$2,0)),"CHECK")</f>
        <v>28575.507906303072</v>
      </c>
      <c r="O10" s="163">
        <f>IFERROR(INDEX('3. Revenue Model'!$D:$AA,MATCH($B10,'3. Revenue Model'!$B:$B,0),MATCH(O$3,'3. Revenue Model'!$D$2:$AA$2,0)),"CHECK")</f>
        <v>30520.364971486611</v>
      </c>
      <c r="P10" s="163">
        <f>IFERROR(INDEX('3. Revenue Model'!$D:$AA,MATCH($B10,'3. Revenue Model'!$B:$B,0),MATCH(P$3,'3. Revenue Model'!$D$2:$AA$2,0)),"CHECK")</f>
        <v>32677.482323029097</v>
      </c>
      <c r="Q10" s="163">
        <f>IFERROR(INDEX('3. Revenue Model'!$D:$AA,MATCH($B10,'3. Revenue Model'!$B:$B,0),MATCH(Q$3,'3. Revenue Model'!$D$2:$AA$2,0)),"CHECK")</f>
        <v>35067.978277288836</v>
      </c>
      <c r="R10" s="163">
        <f>IFERROR(INDEX('3. Revenue Model'!$D:$AA,MATCH($B10,'3. Revenue Model'!$B:$B,0),MATCH(R$3,'3. Revenue Model'!$D$2:$AA$2,0)),"CHECK")</f>
        <v>37714.37603014693</v>
      </c>
      <c r="S10" s="163">
        <f>IFERROR(INDEX('3. Revenue Model'!$D:$AA,MATCH($B10,'3. Revenue Model'!$B:$B,0),MATCH(S$3,'3. Revenue Model'!$D$2:$AA$2,0)),"CHECK")</f>
        <v>40640.908339256464</v>
      </c>
      <c r="T10" s="163">
        <f>IFERROR(INDEX('3. Revenue Model'!$D:$AA,MATCH($B10,'3. Revenue Model'!$B:$B,0),MATCH(T$3,'3. Revenue Model'!$D$2:$AA$2,0)),"CHECK")</f>
        <v>43873.813569694663</v>
      </c>
      <c r="U10" s="163">
        <f>IFERROR(INDEX('3. Revenue Model'!$D:$AA,MATCH($B10,'3. Revenue Model'!$B:$B,0),MATCH(U$3,'3. Revenue Model'!$D$2:$AA$2,0)),"CHECK")</f>
        <v>47441.630848990513</v>
      </c>
      <c r="V10" s="163">
        <f>IFERROR(INDEX('3. Revenue Model'!$D:$AA,MATCH($B10,'3. Revenue Model'!$B:$B,0),MATCH(V$3,'3. Revenue Model'!$D$2:$AA$2,0)),"CHECK")</f>
        <v>51375.500945519852</v>
      </c>
      <c r="W10" s="163">
        <f>IFERROR(INDEX('3. Revenue Model'!$D:$AA,MATCH($B10,'3. Revenue Model'!$B:$B,0),MATCH(W$3,'3. Revenue Model'!$D$2:$AA$2,0)),"CHECK")</f>
        <v>55709.478658430737</v>
      </c>
      <c r="X10" s="163">
        <f>IFERROR(INDEX('3. Revenue Model'!$D:$AA,MATCH($B10,'3. Revenue Model'!$B:$B,0),MATCH(X$3,'3. Revenue Model'!$D$2:$AA$2,0)),"CHECK")</f>
        <v>60480.86192589064</v>
      </c>
      <c r="Y10" s="163">
        <f>IFERROR(INDEX('3. Revenue Model'!$D:$AA,MATCH($B10,'3. Revenue Model'!$B:$B,0),MATCH(Y$3,'3. Revenue Model'!$D$2:$AA$2,0)),"CHECK")</f>
        <v>65730.542473974434</v>
      </c>
      <c r="Z10" s="163">
        <f>IFERROR(INDEX('3. Revenue Model'!$D:$AA,MATCH($B10,'3. Revenue Model'!$B:$B,0),MATCH(Z$3,'3. Revenue Model'!$D$2:$AA$2,0)),"CHECK")</f>
        <v>71503.382604466475</v>
      </c>
      <c r="AA10" s="163">
        <f>IFERROR(INDEX('3. Revenue Model'!$D:$AA,MATCH($B10,'3. Revenue Model'!$B:$B,0),MATCH(AA$3,'3. Revenue Model'!$D$2:$AA$2,0)),"CHECK")</f>
        <v>77848.622628463883</v>
      </c>
      <c r="AB10" s="141" t="s">
        <v>884</v>
      </c>
      <c r="AC10" s="141" t="s">
        <v>882</v>
      </c>
    </row>
    <row r="11" spans="1:29" s="3" customFormat="1" ht="13.2">
      <c r="A11" s="141" t="s">
        <v>882</v>
      </c>
      <c r="B11" s="141" t="s">
        <v>752</v>
      </c>
      <c r="C11" s="141" t="s">
        <v>64</v>
      </c>
      <c r="D11" s="163">
        <f>IFERROR(INDEX('3. Revenue Model'!$D:$AA,MATCH($B11,'3. Revenue Model'!$B:$B,0),MATCH(D$3,'3. Revenue Model'!$D$2:$AA$2,0)),"CHECK")</f>
        <v>28242.95</v>
      </c>
      <c r="E11" s="163">
        <f>IFERROR(INDEX('3. Revenue Model'!$D:$AA,MATCH($B11,'3. Revenue Model'!$B:$B,0),MATCH(E$3,'3. Revenue Model'!$D$2:$AA$2,0)),"CHECK")</f>
        <v>29099.308875000002</v>
      </c>
      <c r="F11" s="163">
        <f>IFERROR(INDEX('3. Revenue Model'!$D:$AA,MATCH($B11,'3. Revenue Model'!$B:$B,0),MATCH(F$3,'3. Revenue Model'!$D$2:$AA$2,0)),"CHECK")</f>
        <v>30036.000680937501</v>
      </c>
      <c r="G11" s="163">
        <f>IFERROR(INDEX('3. Revenue Model'!$D:$AA,MATCH($B11,'3. Revenue Model'!$B:$B,0),MATCH(G$3,'3. Revenue Model'!$D$2:$AA$2,0)),"CHECK")</f>
        <v>31052.591746211721</v>
      </c>
      <c r="H11" s="163">
        <f>IFERROR(INDEX('3. Revenue Model'!$D:$AA,MATCH($B11,'3. Revenue Model'!$B:$B,0),MATCH(H$3,'3. Revenue Model'!$D$2:$AA$2,0)),"CHECK")</f>
        <v>32151.090628430899</v>
      </c>
      <c r="I11" s="163">
        <f>IFERROR(INDEX('3. Revenue Model'!$D:$AA,MATCH($B11,'3. Revenue Model'!$B:$B,0),MATCH(I$3,'3. Revenue Model'!$D$2:$AA$2,0)),"CHECK")</f>
        <v>33335.540877833446</v>
      </c>
      <c r="J11" s="163">
        <f>IFERROR(INDEX('3. Revenue Model'!$D:$AA,MATCH($B11,'3. Revenue Model'!$B:$B,0),MATCH(J$3,'3. Revenue Model'!$D$2:$AA$2,0)),"CHECK")</f>
        <v>34611.719903770856</v>
      </c>
      <c r="K11" s="163">
        <f>IFERROR(INDEX('3. Revenue Model'!$D:$AA,MATCH($B11,'3. Revenue Model'!$B:$B,0),MATCH(K$3,'3. Revenue Model'!$D$2:$AA$2,0)),"CHECK")</f>
        <v>35986.921795060829</v>
      </c>
      <c r="L11" s="163">
        <f>IFERROR(INDEX('3. Revenue Model'!$D:$AA,MATCH($B11,'3. Revenue Model'!$B:$B,0),MATCH(L$3,'3. Revenue Model'!$D$2:$AA$2,0)),"CHECK")</f>
        <v>37469.806948801022</v>
      </c>
      <c r="M11" s="163">
        <f>IFERROR(INDEX('3. Revenue Model'!$D:$AA,MATCH($B11,'3. Revenue Model'!$B:$B,0),MATCH(M$3,'3. Revenue Model'!$D$2:$AA$2,0)),"CHECK")</f>
        <v>39070.305276433239</v>
      </c>
      <c r="N11" s="163">
        <f>IFERROR(INDEX('3. Revenue Model'!$D:$AA,MATCH($B11,'3. Revenue Model'!$B:$B,0),MATCH(N$3,'3. Revenue Model'!$D$2:$AA$2,0)),"CHECK")</f>
        <v>40799.562821329979</v>
      </c>
      <c r="O11" s="163">
        <f>IFERROR(INDEX('3. Revenue Model'!$D:$AA,MATCH($B11,'3. Revenue Model'!$B:$B,0),MATCH(O$3,'3. Revenue Model'!$D$2:$AA$2,0)),"CHECK")</f>
        <v>42669.92402692193</v>
      </c>
      <c r="P11" s="163">
        <f>IFERROR(INDEX('3. Revenue Model'!$D:$AA,MATCH($B11,'3. Revenue Model'!$B:$B,0),MATCH(P$3,'3. Revenue Model'!$D$2:$AA$2,0)),"CHECK")</f>
        <v>44694.943785141622</v>
      </c>
      <c r="Q11" s="163">
        <f>IFERROR(INDEX('3. Revenue Model'!$D:$AA,MATCH($B11,'3. Revenue Model'!$B:$B,0),MATCH(Q$3,'3. Revenue Model'!$D$2:$AA$2,0)),"CHECK")</f>
        <v>46889.424886317975</v>
      </c>
      <c r="R11" s="163">
        <f>IFERROR(INDEX('3. Revenue Model'!$D:$AA,MATCH($B11,'3. Revenue Model'!$B:$B,0),MATCH(R$3,'3. Revenue Model'!$D$2:$AA$2,0)),"CHECK")</f>
        <v>49269.477673144196</v>
      </c>
      <c r="S11" s="163">
        <f>IFERROR(INDEX('3. Revenue Model'!$D:$AA,MATCH($B11,'3. Revenue Model'!$B:$B,0),MATCH(S$3,'3. Revenue Model'!$D$2:$AA$2,0)),"CHECK")</f>
        <v>51852.599642946785</v>
      </c>
      <c r="T11" s="163">
        <f>IFERROR(INDEX('3. Revenue Model'!$D:$AA,MATCH($B11,'3. Revenue Model'!$B:$B,0),MATCH(T$3,'3. Revenue Model'!$D$2:$AA$2,0)),"CHECK")</f>
        <v>54657.773498971634</v>
      </c>
      <c r="U11" s="163">
        <f>IFERROR(INDEX('3. Revenue Model'!$D:$AA,MATCH($B11,'3. Revenue Model'!$B:$B,0),MATCH(U$3,'3. Revenue Model'!$D$2:$AA$2,0)),"CHECK")</f>
        <v>57705.582765682811</v>
      </c>
      <c r="V11" s="163">
        <f>IFERROR(INDEX('3. Revenue Model'!$D:$AA,MATCH($B11,'3. Revenue Model'!$B:$B,0),MATCH(V$3,'3. Revenue Model'!$D$2:$AA$2,0)),"CHECK")</f>
        <v>61018.344588820095</v>
      </c>
      <c r="W11" s="163">
        <f>IFERROR(INDEX('3. Revenue Model'!$D:$AA,MATCH($B11,'3. Revenue Model'!$B:$B,0),MATCH(W$3,'3. Revenue Model'!$D$2:$AA$2,0)),"CHECK")</f>
        <v>64620.259764684219</v>
      </c>
      <c r="X11" s="163">
        <f>IFERROR(INDEX('3. Revenue Model'!$D:$AA,MATCH($B11,'3. Revenue Model'!$B:$B,0),MATCH(X$3,'3. Revenue Model'!$D$2:$AA$2,0)),"CHECK")</f>
        <v>68537.580405738467</v>
      </c>
      <c r="Y11" s="163">
        <f>IFERROR(INDEX('3. Revenue Model'!$D:$AA,MATCH($B11,'3. Revenue Model'!$B:$B,0),MATCH(Y$3,'3. Revenue Model'!$D$2:$AA$2,0)),"CHECK")</f>
        <v>72798.79596773519</v>
      </c>
      <c r="Z11" s="163">
        <f>IFERROR(INDEX('3. Revenue Model'!$D:$AA,MATCH($B11,'3. Revenue Model'!$B:$B,0),MATCH(Z$3,'3. Revenue Model'!$D$2:$AA$2,0)),"CHECK")</f>
        <v>77434.838650449834</v>
      </c>
      <c r="AA11" s="163">
        <f>IFERROR(INDEX('3. Revenue Model'!$D:$AA,MATCH($B11,'3. Revenue Model'!$B:$B,0),MATCH(AA$3,'3. Revenue Model'!$D$2:$AA$2,0)),"CHECK")</f>
        <v>82479.309450413566</v>
      </c>
      <c r="AB11" s="141" t="s">
        <v>884</v>
      </c>
      <c r="AC11" s="141" t="s">
        <v>882</v>
      </c>
    </row>
    <row r="12" spans="1:29" s="3" customFormat="1" ht="13.2">
      <c r="A12" s="141" t="s">
        <v>882</v>
      </c>
      <c r="B12" s="141" t="s">
        <v>753</v>
      </c>
      <c r="C12" s="141" t="s">
        <v>64</v>
      </c>
      <c r="D12" s="163">
        <f>IFERROR(INDEX('3. Revenue Model'!$D:$AA,MATCH($B12,'3. Revenue Model'!$B:$B,0),MATCH(D$3,'3. Revenue Model'!$D$2:$AA$2,0)),"CHECK")</f>
        <v>269.55</v>
      </c>
      <c r="E12" s="163">
        <f>IFERROR(INDEX('3. Revenue Model'!$D:$AA,MATCH($B12,'3. Revenue Model'!$B:$B,0),MATCH(E$3,'3. Revenue Model'!$D$2:$AA$2,0)),"CHECK")</f>
        <v>549.77515268295076</v>
      </c>
      <c r="F12" s="163">
        <f>IFERROR(INDEX('3. Revenue Model'!$D:$AA,MATCH($B12,'3. Revenue Model'!$B:$B,0),MATCH(F$3,'3. Revenue Model'!$D$2:$AA$2,0)),"CHECK")</f>
        <v>834.83742552311753</v>
      </c>
      <c r="G12" s="163">
        <f>IFERROR(INDEX('3. Revenue Model'!$D:$AA,MATCH($B12,'3. Revenue Model'!$B:$B,0),MATCH(G$3,'3. Revenue Model'!$D$2:$AA$2,0)),"CHECK")</f>
        <v>1125.4791227497369</v>
      </c>
      <c r="H12" s="163">
        <f>IFERROR(INDEX('3. Revenue Model'!$D:$AA,MATCH($B12,'3. Revenue Model'!$B:$B,0),MATCH(H$3,'3. Revenue Model'!$D$2:$AA$2,0)),"CHECK")</f>
        <v>1422.4282046097712</v>
      </c>
      <c r="I12" s="163">
        <f>IFERROR(INDEX('3. Revenue Model'!$D:$AA,MATCH($B12,'3. Revenue Model'!$B:$B,0),MATCH(I$3,'3. Revenue Model'!$D$2:$AA$2,0)),"CHECK")</f>
        <v>2325.42302554549</v>
      </c>
      <c r="J12" s="163">
        <f>IFERROR(INDEX('3. Revenue Model'!$D:$AA,MATCH($B12,'3. Revenue Model'!$B:$B,0),MATCH(J$3,'3. Revenue Model'!$D$2:$AA$2,0)),"CHECK")</f>
        <v>3270.1049304710114</v>
      </c>
      <c r="K12" s="163">
        <f>IFERROR(INDEX('3. Revenue Model'!$D:$AA,MATCH($B12,'3. Revenue Model'!$B:$B,0),MATCH(K$3,'3. Revenue Model'!$D$2:$AA$2,0)),"CHECK")</f>
        <v>4259.7701519270695</v>
      </c>
      <c r="L12" s="163">
        <f>IFERROR(INDEX('3. Revenue Model'!$D:$AA,MATCH($B12,'3. Revenue Model'!$B:$B,0),MATCH(L$3,'3. Revenue Model'!$D$2:$AA$2,0)),"CHECK")</f>
        <v>5297.9493467492202</v>
      </c>
      <c r="M12" s="163">
        <f>IFERROR(INDEX('3. Revenue Model'!$D:$AA,MATCH($B12,'3. Revenue Model'!$B:$B,0),MATCH(M$3,'3. Revenue Model'!$D$2:$AA$2,0)),"CHECK")</f>
        <v>6388.4325564513556</v>
      </c>
      <c r="N12" s="163">
        <f>IFERROR(INDEX('3. Revenue Model'!$D:$AA,MATCH($B12,'3. Revenue Model'!$B:$B,0),MATCH(N$3,'3. Revenue Model'!$D$2:$AA$2,0)),"CHECK")</f>
        <v>7535.2938657712257</v>
      </c>
      <c r="O12" s="163">
        <f>IFERROR(INDEX('3. Revenue Model'!$D:$AA,MATCH($B12,'3. Revenue Model'!$B:$B,0),MATCH(O$3,'3. Revenue Model'!$D$2:$AA$2,0)),"CHECK")</f>
        <v>8742.9162702103913</v>
      </c>
      <c r="P12" s="163">
        <f>IFERROR(INDEX('3. Revenue Model'!$D:$AA,MATCH($B12,'3. Revenue Model'!$B:$B,0),MATCH(P$3,'3. Revenue Model'!$D$2:$AA$2,0)),"CHECK")</f>
        <v>10016.017183461912</v>
      </c>
      <c r="Q12" s="163">
        <f>IFERROR(INDEX('3. Revenue Model'!$D:$AA,MATCH($B12,'3. Revenue Model'!$B:$B,0),MATCH(Q$3,'3. Revenue Model'!$D$2:$AA$2,0)),"CHECK")</f>
        <v>11359.674956103292</v>
      </c>
      <c r="R12" s="163">
        <f>IFERROR(INDEX('3. Revenue Model'!$D:$AA,MATCH($B12,'3. Revenue Model'!$B:$B,0),MATCH(R$3,'3. Revenue Model'!$D$2:$AA$2,0)),"CHECK")</f>
        <v>12779.356733575243</v>
      </c>
      <c r="S12" s="163">
        <f>IFERROR(INDEX('3. Revenue Model'!$D:$AA,MATCH($B12,'3. Revenue Model'!$B:$B,0),MATCH(S$3,'3. Revenue Model'!$D$2:$AA$2,0)),"CHECK")</f>
        <v>14280.947950962736</v>
      </c>
      <c r="T12" s="163">
        <f>IFERROR(INDEX('3. Revenue Model'!$D:$AA,MATCH($B12,'3. Revenue Model'!$B:$B,0),MATCH(T$3,'3. Revenue Model'!$D$2:$AA$2,0)),"CHECK")</f>
        <v>15870.783741887566</v>
      </c>
      <c r="U12" s="163">
        <f>IFERROR(INDEX('3. Revenue Model'!$D:$AA,MATCH($B12,'3. Revenue Model'!$B:$B,0),MATCH(U$3,'3. Revenue Model'!$D$2:$AA$2,0)),"CHECK")</f>
        <v>17555.682526941793</v>
      </c>
      <c r="V12" s="163">
        <f>IFERROR(INDEX('3. Revenue Model'!$D:$AA,MATCH($B12,'3. Revenue Model'!$B:$B,0),MATCH(V$3,'3. Revenue Model'!$D$2:$AA$2,0)),"CHECK")</f>
        <v>19342.982042029471</v>
      </c>
      <c r="W12" s="163">
        <f>IFERROR(INDEX('3. Revenue Model'!$D:$AA,MATCH($B12,'3. Revenue Model'!$B:$B,0),MATCH(W$3,'3. Revenue Model'!$D$2:$AA$2,0)),"CHECK")</f>
        <v>21240.578067591312</v>
      </c>
      <c r="X12" s="163">
        <f>IFERROR(INDEX('3. Revenue Model'!$D:$AA,MATCH($B12,'3. Revenue Model'!$B:$B,0),MATCH(X$3,'3. Revenue Model'!$D$2:$AA$2,0)),"CHECK")</f>
        <v>23256.966125099101</v>
      </c>
      <c r="Y12" s="163">
        <f>IFERROR(INDEX('3. Revenue Model'!$D:$AA,MATCH($B12,'3. Revenue Model'!$B:$B,0),MATCH(Y$3,'3. Revenue Model'!$D$2:$AA$2,0)),"CHECK")</f>
        <v>25401.286416783842</v>
      </c>
      <c r="Z12" s="163">
        <f>IFERROR(INDEX('3. Revenue Model'!$D:$AA,MATCH($B12,'3. Revenue Model'!$B:$B,0),MATCH(Z$3,'3. Revenue Model'!$D$2:$AA$2,0)),"CHECK")</f>
        <v>27683.372297841892</v>
      </c>
      <c r="AA12" s="163">
        <f>IFERROR(INDEX('3. Revenue Model'!$D:$AA,MATCH($B12,'3. Revenue Model'!$B:$B,0),MATCH(AA$3,'3. Revenue Model'!$D$2:$AA$2,0)),"CHECK")</f>
        <v>30113.802587027476</v>
      </c>
      <c r="AB12" s="141" t="s">
        <v>884</v>
      </c>
      <c r="AC12" s="141" t="s">
        <v>882</v>
      </c>
    </row>
    <row r="13" spans="1:29" s="3" customFormat="1" ht="13.2">
      <c r="A13" s="141" t="s">
        <v>882</v>
      </c>
      <c r="B13" s="141" t="s">
        <v>756</v>
      </c>
      <c r="C13" s="141" t="s">
        <v>64</v>
      </c>
      <c r="D13" s="163">
        <f>IFERROR(INDEX('3. Revenue Model'!$D:$AA,MATCH($B13,'3. Revenue Model'!$B:$B,0),MATCH(D$3,'3. Revenue Model'!$D$2:$AA$2,0)),"CHECK")</f>
        <v>44463.3</v>
      </c>
      <c r="E13" s="163">
        <f>IFERROR(INDEX('3. Revenue Model'!$D:$AA,MATCH($B13,'3. Revenue Model'!$B:$B,0),MATCH(E$3,'3. Revenue Model'!$D$2:$AA$2,0)),"CHECK")</f>
        <v>46129.371027682952</v>
      </c>
      <c r="F13" s="163">
        <f>IFERROR(INDEX('3. Revenue Model'!$D:$AA,MATCH($B13,'3. Revenue Model'!$B:$B,0),MATCH(F$3,'3. Revenue Model'!$D$2:$AA$2,0)),"CHECK")</f>
        <v>47841.764196183787</v>
      </c>
      <c r="G13" s="163">
        <f>IFERROR(INDEX('3. Revenue Model'!$D:$AA,MATCH($B13,'3. Revenue Model'!$B:$B,0),MATCH(G$3,'3. Revenue Model'!$D$2:$AA$2,0)),"CHECK")</f>
        <v>49636.689580722785</v>
      </c>
      <c r="H13" s="163">
        <f>IFERROR(INDEX('3. Revenue Model'!$D:$AA,MATCH($B13,'3. Revenue Model'!$B:$B,0),MATCH(H$3,'3. Revenue Model'!$D$2:$AA$2,0)),"CHECK")</f>
        <v>51546.579430354774</v>
      </c>
      <c r="I13" s="163">
        <f>IFERROR(INDEX('3. Revenue Model'!$D:$AA,MATCH($B13,'3. Revenue Model'!$B:$B,0),MATCH(I$3,'3. Revenue Model'!$D$2:$AA$2,0)),"CHECK")</f>
        <v>54200.286326940695</v>
      </c>
      <c r="J13" s="163">
        <f>IFERROR(INDEX('3. Revenue Model'!$D:$AA,MATCH($B13,'3. Revenue Model'!$B:$B,0),MATCH(J$3,'3. Revenue Model'!$D$2:$AA$2,0)),"CHECK")</f>
        <v>57054.935869718305</v>
      </c>
      <c r="K13" s="163">
        <f>IFERROR(INDEX('3. Revenue Model'!$D:$AA,MATCH($B13,'3. Revenue Model'!$B:$B,0),MATCH(K$3,'3. Revenue Model'!$D$2:$AA$2,0)),"CHECK")</f>
        <v>60140.158808947861</v>
      </c>
      <c r="L13" s="163">
        <f>IFERROR(INDEX('3. Revenue Model'!$D:$AA,MATCH($B13,'3. Revenue Model'!$B:$B,0),MATCH(L$3,'3. Revenue Model'!$D$2:$AA$2,0)),"CHECK")</f>
        <v>63485.58654313445</v>
      </c>
      <c r="M13" s="163">
        <f>IFERROR(INDEX('3. Revenue Model'!$D:$AA,MATCH($B13,'3. Revenue Model'!$B:$B,0),MATCH(M$3,'3. Revenue Model'!$D$2:$AA$2,0)),"CHECK")</f>
        <v>67121.426222983791</v>
      </c>
      <c r="N13" s="163">
        <f>IFERROR(INDEX('3. Revenue Model'!$D:$AA,MATCH($B13,'3. Revenue Model'!$B:$B,0),MATCH(N$3,'3. Revenue Model'!$D$2:$AA$2,0)),"CHECK")</f>
        <v>71078.963613337575</v>
      </c>
      <c r="O13" s="163">
        <f>IFERROR(INDEX('3. Revenue Model'!$D:$AA,MATCH($B13,'3. Revenue Model'!$B:$B,0),MATCH(O$3,'3. Revenue Model'!$D$2:$AA$2,0)),"CHECK")</f>
        <v>75391.01465241886</v>
      </c>
      <c r="P13" s="163">
        <f>IFERROR(INDEX('3. Revenue Model'!$D:$AA,MATCH($B13,'3. Revenue Model'!$B:$B,0),MATCH(P$3,'3. Revenue Model'!$D$2:$AA$2,0)),"CHECK")</f>
        <v>80092.342528908368</v>
      </c>
      <c r="Q13" s="163">
        <f>IFERROR(INDEX('3. Revenue Model'!$D:$AA,MATCH($B13,'3. Revenue Model'!$B:$B,0),MATCH(Q$3,'3. Revenue Model'!$D$2:$AA$2,0)),"CHECK")</f>
        <v>85220.053931696762</v>
      </c>
      <c r="R13" s="163">
        <f>IFERROR(INDEX('3. Revenue Model'!$D:$AA,MATCH($B13,'3. Revenue Model'!$B:$B,0),MATCH(R$3,'3. Revenue Model'!$D$2:$AA$2,0)),"CHECK")</f>
        <v>90813.985709536064</v>
      </c>
      <c r="S13" s="163">
        <f>IFERROR(INDEX('3. Revenue Model'!$D:$AA,MATCH($B13,'3. Revenue Model'!$B:$B,0),MATCH(S$3,'3. Revenue Model'!$D$2:$AA$2,0)),"CHECK")</f>
        <v>96917.091348740316</v>
      </c>
      <c r="T13" s="163">
        <f>IFERROR(INDEX('3. Revenue Model'!$D:$AA,MATCH($B13,'3. Revenue Model'!$B:$B,0),MATCH(T$3,'3. Revenue Model'!$D$2:$AA$2,0)),"CHECK")</f>
        <v>103575.83531264079</v>
      </c>
      <c r="U13" s="163">
        <f>IFERROR(INDEX('3. Revenue Model'!$D:$AA,MATCH($B13,'3. Revenue Model'!$B:$B,0),MATCH(U$3,'3. Revenue Model'!$D$2:$AA$2,0)),"CHECK")</f>
        <v>110840.60229057564</v>
      </c>
      <c r="V13" s="163">
        <f>IFERROR(INDEX('3. Revenue Model'!$D:$AA,MATCH($B13,'3. Revenue Model'!$B:$B,0),MATCH(V$3,'3. Revenue Model'!$D$2:$AA$2,0)),"CHECK")</f>
        <v>118766.12770242419</v>
      </c>
      <c r="W13" s="163">
        <f>IFERROR(INDEX('3. Revenue Model'!$D:$AA,MATCH($B13,'3. Revenue Model'!$B:$B,0),MATCH(W$3,'3. Revenue Model'!$D$2:$AA$2,0)),"CHECK")</f>
        <v>127411.95533973681</v>
      </c>
      <c r="X13" s="163">
        <f>IFERROR(INDEX('3. Revenue Model'!$D:$AA,MATCH($B13,'3. Revenue Model'!$B:$B,0),MATCH(X$3,'3. Revenue Model'!$D$2:$AA$2,0)),"CHECK")</f>
        <v>136842.92775236137</v>
      </c>
      <c r="Y13" s="163">
        <f>IFERROR(INDEX('3. Revenue Model'!$D:$AA,MATCH($B13,'3. Revenue Model'!$B:$B,0),MATCH(Y$3,'3. Revenue Model'!$D$2:$AA$2,0)),"CHECK")</f>
        <v>147129.71487660302</v>
      </c>
      <c r="Z13" s="163">
        <f>IFERROR(INDEX('3. Revenue Model'!$D:$AA,MATCH($B13,'3. Revenue Model'!$B:$B,0),MATCH(Z$3,'3. Revenue Model'!$D$2:$AA$2,0)),"CHECK")</f>
        <v>158349.3864221017</v>
      </c>
      <c r="AA13" s="163">
        <f>IFERROR(INDEX('3. Revenue Model'!$D:$AA,MATCH($B13,'3. Revenue Model'!$B:$B,0),MATCH(AA$3,'3. Revenue Model'!$D$2:$AA$2,0)),"CHECK")</f>
        <v>170586.03367102746</v>
      </c>
      <c r="AB13" s="141" t="s">
        <v>884</v>
      </c>
      <c r="AC13" s="141" t="s">
        <v>882</v>
      </c>
    </row>
    <row r="14" spans="1:29" s="3" customFormat="1" ht="13.2">
      <c r="A14" s="141" t="s">
        <v>882</v>
      </c>
      <c r="B14" s="141" t="s">
        <v>144</v>
      </c>
      <c r="C14" s="141" t="s">
        <v>64</v>
      </c>
      <c r="D14" s="163">
        <f>IFERROR(INDEX('3. Revenue Model'!$D:$AA,MATCH($B14,'3. Revenue Model'!$B:$B,0),MATCH(D$3,'3. Revenue Model'!$D$2:$AA$2,0)),"CHECK")</f>
        <v>0</v>
      </c>
      <c r="E14" s="163">
        <f>IFERROR(INDEX('3. Revenue Model'!$D:$AA,MATCH($B14,'3. Revenue Model'!$B:$B,0),MATCH(E$3,'3. Revenue Model'!$D$2:$AA$2,0)),"CHECK")</f>
        <v>0</v>
      </c>
      <c r="F14" s="163">
        <f>IFERROR(INDEX('3. Revenue Model'!$D:$AA,MATCH($B14,'3. Revenue Model'!$B:$B,0),MATCH(F$3,'3. Revenue Model'!$D$2:$AA$2,0)),"CHECK")</f>
        <v>0</v>
      </c>
      <c r="G14" s="163">
        <f>IFERROR(INDEX('3. Revenue Model'!$D:$AA,MATCH($B14,'3. Revenue Model'!$B:$B,0),MATCH(G$3,'3. Revenue Model'!$D$2:$AA$2,0)),"CHECK")</f>
        <v>0</v>
      </c>
      <c r="H14" s="163">
        <f>IFERROR(INDEX('3. Revenue Model'!$D:$AA,MATCH($B14,'3. Revenue Model'!$B:$B,0),MATCH(H$3,'3. Revenue Model'!$D$2:$AA$2,0)),"CHECK")</f>
        <v>0</v>
      </c>
      <c r="I14" s="163">
        <f>IFERROR(INDEX('3. Revenue Model'!$D:$AA,MATCH($B14,'3. Revenue Model'!$B:$B,0),MATCH(I$3,'3. Revenue Model'!$D$2:$AA$2,0)),"CHECK")</f>
        <v>0</v>
      </c>
      <c r="J14" s="163">
        <f>IFERROR(INDEX('3. Revenue Model'!$D:$AA,MATCH($B14,'3. Revenue Model'!$B:$B,0),MATCH(J$3,'3. Revenue Model'!$D$2:$AA$2,0)),"CHECK")</f>
        <v>0</v>
      </c>
      <c r="K14" s="163">
        <f>IFERROR(INDEX('3. Revenue Model'!$D:$AA,MATCH($B14,'3. Revenue Model'!$B:$B,0),MATCH(K$3,'3. Revenue Model'!$D$2:$AA$2,0)),"CHECK")</f>
        <v>0</v>
      </c>
      <c r="L14" s="163">
        <f>IFERROR(INDEX('3. Revenue Model'!$D:$AA,MATCH($B14,'3. Revenue Model'!$B:$B,0),MATCH(L$3,'3. Revenue Model'!$D$2:$AA$2,0)),"CHECK")</f>
        <v>0</v>
      </c>
      <c r="M14" s="163">
        <f>IFERROR(INDEX('3. Revenue Model'!$D:$AA,MATCH($B14,'3. Revenue Model'!$B:$B,0),MATCH(M$3,'3. Revenue Model'!$D$2:$AA$2,0)),"CHECK")</f>
        <v>273.42919708299877</v>
      </c>
      <c r="N14" s="163">
        <f>IFERROR(INDEX('3. Revenue Model'!$D:$AA,MATCH($B14,'3. Revenue Model'!$B:$B,0),MATCH(N$3,'3. Revenue Model'!$D$2:$AA$2,0)),"CHECK")</f>
        <v>579.71732629125188</v>
      </c>
      <c r="O14" s="163">
        <f>IFERROR(INDEX('3. Revenue Model'!$D:$AA,MATCH($B14,'3. Revenue Model'!$B:$B,0),MATCH(O$3,'3. Revenue Model'!$D$2:$AA$2,0)),"CHECK")</f>
        <v>923.83577383415695</v>
      </c>
      <c r="P14" s="163">
        <f>IFERROR(INDEX('3. Revenue Model'!$D:$AA,MATCH($B14,'3. Revenue Model'!$B:$B,0),MATCH(P$3,'3. Revenue Model'!$D$2:$AA$2,0)),"CHECK")</f>
        <v>1311.4329209465036</v>
      </c>
      <c r="Q14" s="163">
        <f>IFERROR(INDEX('3. Revenue Model'!$D:$AA,MATCH($B14,'3. Revenue Model'!$B:$B,0),MATCH(Q$3,'3. Revenue Model'!$D$2:$AA$2,0)),"CHECK")</f>
        <v>1748.8859195766302</v>
      </c>
      <c r="R14" s="163">
        <f>IFERROR(INDEX('3. Revenue Model'!$D:$AA,MATCH($B14,'3. Revenue Model'!$B:$B,0),MATCH(R$3,'3. Revenue Model'!$D$2:$AA$2,0)),"CHECK")</f>
        <v>2243.3665284550329</v>
      </c>
      <c r="S14" s="163">
        <f>IFERROR(INDEX('3. Revenue Model'!$D:$AA,MATCH($B14,'3. Revenue Model'!$B:$B,0),MATCH(S$3,'3. Revenue Model'!$D$2:$AA$2,0)),"CHECK")</f>
        <v>2802.9204759061472</v>
      </c>
      <c r="T14" s="163">
        <f>IFERROR(INDEX('3. Revenue Model'!$D:$AA,MATCH($B14,'3. Revenue Model'!$B:$B,0),MATCH(T$3,'3. Revenue Model'!$D$2:$AA$2,0)),"CHECK")</f>
        <v>3436.560294323443</v>
      </c>
      <c r="U14" s="163">
        <f>IFERROR(INDEX('3. Revenue Model'!$D:$AA,MATCH($B14,'3. Revenue Model'!$B:$B,0),MATCH(U$3,'3. Revenue Model'!$D$2:$AA$2,0)),"CHECK")</f>
        <v>4154.3719691619608</v>
      </c>
      <c r="V14" s="163">
        <f>IFERROR(INDEX('3. Revenue Model'!$D:$AA,MATCH($B14,'3. Revenue Model'!$B:$B,0),MATCH(V$3,'3. Revenue Model'!$D$2:$AA$2,0)),"CHECK")</f>
        <v>4967.6360864753042</v>
      </c>
      <c r="W14" s="163">
        <f>IFERROR(INDEX('3. Revenue Model'!$D:$AA,MATCH($B14,'3. Revenue Model'!$B:$B,0),MATCH(W$3,'3. Revenue Model'!$D$2:$AA$2,0)),"CHECK")</f>
        <v>5888.9644659749738</v>
      </c>
      <c r="X14" s="163">
        <f>IFERROR(INDEX('3. Revenue Model'!$D:$AA,MATCH($B14,'3. Revenue Model'!$B:$B,0),MATCH(X$3,'3. Revenue Model'!$D$2:$AA$2,0)),"CHECK")</f>
        <v>6932.4535458616901</v>
      </c>
      <c r="Y14" s="163">
        <f>IFERROR(INDEX('3. Revenue Model'!$D:$AA,MATCH($B14,'3. Revenue Model'!$B:$B,0),MATCH(Y$3,'3. Revenue Model'!$D$2:$AA$2,0)),"CHECK")</f>
        <v>8113.8560528328962</v>
      </c>
      <c r="Z14" s="163">
        <f>IFERROR(INDEX('3. Revenue Model'!$D:$AA,MATCH($B14,'3. Revenue Model'!$B:$B,0),MATCH(Z$3,'3. Revenue Model'!$D$2:$AA$2,0)),"CHECK")</f>
        <v>9450.7727550681138</v>
      </c>
      <c r="AA14" s="163">
        <f>IFERROR(INDEX('3. Revenue Model'!$D:$AA,MATCH($B14,'3. Revenue Model'!$B:$B,0),MATCH(AA$3,'3. Revenue Model'!$D$2:$AA$2,0)),"CHECK")</f>
        <v>10962.866365391445</v>
      </c>
      <c r="AB14" s="141" t="s">
        <v>884</v>
      </c>
      <c r="AC14" s="141" t="s">
        <v>882</v>
      </c>
    </row>
    <row r="15" spans="1:29" s="3" customFormat="1" ht="13.2">
      <c r="A15" s="141" t="s">
        <v>882</v>
      </c>
      <c r="B15" s="141" t="s">
        <v>788</v>
      </c>
      <c r="C15" s="141" t="s">
        <v>64</v>
      </c>
      <c r="D15" s="163">
        <f>IFERROR(INDEX('3. Revenue Model'!$D:$AA,MATCH($B15,'3. Revenue Model'!$B:$B,0),MATCH(D$3,'3. Revenue Model'!$D$2:$AA$2,0)),"CHECK")</f>
        <v>44463.3</v>
      </c>
      <c r="E15" s="163">
        <f>IFERROR(INDEX('3. Revenue Model'!$D:$AA,MATCH($B15,'3. Revenue Model'!$B:$B,0),MATCH(E$3,'3. Revenue Model'!$D$2:$AA$2,0)),"CHECK")</f>
        <v>46129.371027682952</v>
      </c>
      <c r="F15" s="163">
        <f>IFERROR(INDEX('3. Revenue Model'!$D:$AA,MATCH($B15,'3. Revenue Model'!$B:$B,0),MATCH(F$3,'3. Revenue Model'!$D$2:$AA$2,0)),"CHECK")</f>
        <v>47841.764196183787</v>
      </c>
      <c r="G15" s="163">
        <f>IFERROR(INDEX('3. Revenue Model'!$D:$AA,MATCH($B15,'3. Revenue Model'!$B:$B,0),MATCH(G$3,'3. Revenue Model'!$D$2:$AA$2,0)),"CHECK")</f>
        <v>49636.689580722785</v>
      </c>
      <c r="H15" s="163">
        <f>IFERROR(INDEX('3. Revenue Model'!$D:$AA,MATCH($B15,'3. Revenue Model'!$B:$B,0),MATCH(H$3,'3. Revenue Model'!$D$2:$AA$2,0)),"CHECK")</f>
        <v>51546.579430354774</v>
      </c>
      <c r="I15" s="163">
        <f>IFERROR(INDEX('3. Revenue Model'!$D:$AA,MATCH($B15,'3. Revenue Model'!$B:$B,0),MATCH(I$3,'3. Revenue Model'!$D$2:$AA$2,0)),"CHECK")</f>
        <v>54200.286326940695</v>
      </c>
      <c r="J15" s="163">
        <f>IFERROR(INDEX('3. Revenue Model'!$D:$AA,MATCH($B15,'3. Revenue Model'!$B:$B,0),MATCH(J$3,'3. Revenue Model'!$D$2:$AA$2,0)),"CHECK")</f>
        <v>57054.935869718305</v>
      </c>
      <c r="K15" s="163">
        <f>IFERROR(INDEX('3. Revenue Model'!$D:$AA,MATCH($B15,'3. Revenue Model'!$B:$B,0),MATCH(K$3,'3. Revenue Model'!$D$2:$AA$2,0)),"CHECK")</f>
        <v>60140.158808947861</v>
      </c>
      <c r="L15" s="163">
        <f>IFERROR(INDEX('3. Revenue Model'!$D:$AA,MATCH($B15,'3. Revenue Model'!$B:$B,0),MATCH(L$3,'3. Revenue Model'!$D$2:$AA$2,0)),"CHECK")</f>
        <v>63485.58654313445</v>
      </c>
      <c r="M15" s="163">
        <f>IFERROR(INDEX('3. Revenue Model'!$D:$AA,MATCH($B15,'3. Revenue Model'!$B:$B,0),MATCH(M$3,'3. Revenue Model'!$D$2:$AA$2,0)),"CHECK")</f>
        <v>67394.855420066786</v>
      </c>
      <c r="N15" s="163">
        <f>IFERROR(INDEX('3. Revenue Model'!$D:$AA,MATCH($B15,'3. Revenue Model'!$B:$B,0),MATCH(N$3,'3. Revenue Model'!$D$2:$AA$2,0)),"CHECK")</f>
        <v>71658.68093962883</v>
      </c>
      <c r="O15" s="163">
        <f>IFERROR(INDEX('3. Revenue Model'!$D:$AA,MATCH($B15,'3. Revenue Model'!$B:$B,0),MATCH(O$3,'3. Revenue Model'!$D$2:$AA$2,0)),"CHECK")</f>
        <v>76314.850426253019</v>
      </c>
      <c r="P15" s="163">
        <f>IFERROR(INDEX('3. Revenue Model'!$D:$AA,MATCH($B15,'3. Revenue Model'!$B:$B,0),MATCH(P$3,'3. Revenue Model'!$D$2:$AA$2,0)),"CHECK")</f>
        <v>81403.775449854875</v>
      </c>
      <c r="Q15" s="163">
        <f>IFERROR(INDEX('3. Revenue Model'!$D:$AA,MATCH($B15,'3. Revenue Model'!$B:$B,0),MATCH(Q$3,'3. Revenue Model'!$D$2:$AA$2,0)),"CHECK")</f>
        <v>86968.93985127339</v>
      </c>
      <c r="R15" s="163">
        <f>IFERROR(INDEX('3. Revenue Model'!$D:$AA,MATCH($B15,'3. Revenue Model'!$B:$B,0),MATCH(R$3,'3. Revenue Model'!$D$2:$AA$2,0)),"CHECK")</f>
        <v>93057.352237991101</v>
      </c>
      <c r="S15" s="163">
        <f>IFERROR(INDEX('3. Revenue Model'!$D:$AA,MATCH($B15,'3. Revenue Model'!$B:$B,0),MATCH(S$3,'3. Revenue Model'!$D$2:$AA$2,0)),"CHECK")</f>
        <v>99720.01182464647</v>
      </c>
      <c r="T15" s="163">
        <f>IFERROR(INDEX('3. Revenue Model'!$D:$AA,MATCH($B15,'3. Revenue Model'!$B:$B,0),MATCH(T$3,'3. Revenue Model'!$D$2:$AA$2,0)),"CHECK")</f>
        <v>107012.39560696423</v>
      </c>
      <c r="U15" s="163">
        <f>IFERROR(INDEX('3. Revenue Model'!$D:$AA,MATCH($B15,'3. Revenue Model'!$B:$B,0),MATCH(U$3,'3. Revenue Model'!$D$2:$AA$2,0)),"CHECK")</f>
        <v>114994.9742597376</v>
      </c>
      <c r="V15" s="163">
        <f>IFERROR(INDEX('3. Revenue Model'!$D:$AA,MATCH($B15,'3. Revenue Model'!$B:$B,0),MATCH(V$3,'3. Revenue Model'!$D$2:$AA$2,0)),"CHECK")</f>
        <v>123733.76378889949</v>
      </c>
      <c r="W15" s="163">
        <f>IFERROR(INDEX('3. Revenue Model'!$D:$AA,MATCH($B15,'3. Revenue Model'!$B:$B,0),MATCH(W$3,'3. Revenue Model'!$D$2:$AA$2,0)),"CHECK")</f>
        <v>133300.91980571178</v>
      </c>
      <c r="X15" s="163">
        <f>IFERROR(INDEX('3. Revenue Model'!$D:$AA,MATCH($B15,'3. Revenue Model'!$B:$B,0),MATCH(X$3,'3. Revenue Model'!$D$2:$AA$2,0)),"CHECK")</f>
        <v>143775.38129822307</v>
      </c>
      <c r="Y15" s="163">
        <f>IFERROR(INDEX('3. Revenue Model'!$D:$AA,MATCH($B15,'3. Revenue Model'!$B:$B,0),MATCH(Y$3,'3. Revenue Model'!$D$2:$AA$2,0)),"CHECK")</f>
        <v>155243.5709294359</v>
      </c>
      <c r="Z15" s="163">
        <f>IFERROR(INDEX('3. Revenue Model'!$D:$AA,MATCH($B15,'3. Revenue Model'!$B:$B,0),MATCH(Z$3,'3. Revenue Model'!$D$2:$AA$2,0)),"CHECK")</f>
        <v>167800.15917716981</v>
      </c>
      <c r="AA15" s="163">
        <f>IFERROR(INDEX('3. Revenue Model'!$D:$AA,MATCH($B15,'3. Revenue Model'!$B:$B,0),MATCH(AA$3,'3. Revenue Model'!$D$2:$AA$2,0)),"CHECK")</f>
        <v>181548.9000364189</v>
      </c>
      <c r="AB15" s="141" t="s">
        <v>884</v>
      </c>
      <c r="AC15" s="141" t="s">
        <v>882</v>
      </c>
    </row>
    <row r="16" spans="1:29" s="3" customFormat="1" ht="26.4">
      <c r="A16" s="141" t="s">
        <v>882</v>
      </c>
      <c r="B16" s="141" t="s">
        <v>789</v>
      </c>
      <c r="C16" s="141" t="s">
        <v>64</v>
      </c>
      <c r="D16" s="163">
        <f>IFERROR(INDEX('3. Revenue Model'!$D:$AA,MATCH($B16,'3. Revenue Model'!$B:$B,0),MATCH(D$3,'3. Revenue Model'!$D$2:$AA$2,0)),"CHECK")</f>
        <v>0</v>
      </c>
      <c r="E16" s="163">
        <f>IFERROR(INDEX('3. Revenue Model'!$D:$AA,MATCH($B16,'3. Revenue Model'!$B:$B,0),MATCH(E$3,'3. Revenue Model'!$D$2:$AA$2,0)),"CHECK")</f>
        <v>0</v>
      </c>
      <c r="F16" s="163">
        <f>IFERROR(INDEX('3. Revenue Model'!$D:$AA,MATCH($B16,'3. Revenue Model'!$B:$B,0),MATCH(F$3,'3. Revenue Model'!$D$2:$AA$2,0)),"CHECK")</f>
        <v>0</v>
      </c>
      <c r="G16" s="163">
        <f>IFERROR(INDEX('3. Revenue Model'!$D:$AA,MATCH($B16,'3. Revenue Model'!$B:$B,0),MATCH(G$3,'3. Revenue Model'!$D$2:$AA$2,0)),"CHECK")</f>
        <v>0</v>
      </c>
      <c r="H16" s="163">
        <f>IFERROR(INDEX('3. Revenue Model'!$D:$AA,MATCH($B16,'3. Revenue Model'!$B:$B,0),MATCH(H$3,'3. Revenue Model'!$D$2:$AA$2,0)),"CHECK")</f>
        <v>0</v>
      </c>
      <c r="I16" s="163">
        <f>IFERROR(INDEX('3. Revenue Model'!$D:$AA,MATCH($B16,'3. Revenue Model'!$B:$B,0),MATCH(I$3,'3. Revenue Model'!$D$2:$AA$2,0)),"CHECK")</f>
        <v>1000</v>
      </c>
      <c r="J16" s="163">
        <f>IFERROR(INDEX('3. Revenue Model'!$D:$AA,MATCH($B16,'3. Revenue Model'!$B:$B,0),MATCH(J$3,'3. Revenue Model'!$D$2:$AA$2,0)),"CHECK")</f>
        <v>2070</v>
      </c>
      <c r="K16" s="163">
        <f>IFERROR(INDEX('3. Revenue Model'!$D:$AA,MATCH($B16,'3. Revenue Model'!$B:$B,0),MATCH(K$3,'3. Revenue Model'!$D$2:$AA$2,0)),"CHECK")</f>
        <v>3214.9</v>
      </c>
      <c r="L16" s="163">
        <f>IFERROR(INDEX('3. Revenue Model'!$D:$AA,MATCH($B16,'3. Revenue Model'!$B:$B,0),MATCH(L$3,'3. Revenue Model'!$D$2:$AA$2,0)),"CHECK")</f>
        <v>3439.9430000000007</v>
      </c>
      <c r="M16" s="163">
        <f>IFERROR(INDEX('3. Revenue Model'!$D:$AA,MATCH($B16,'3. Revenue Model'!$B:$B,0),MATCH(M$3,'3. Revenue Model'!$D$2:$AA$2,0)),"CHECK")</f>
        <v>3680.7390100000007</v>
      </c>
      <c r="N16" s="163">
        <f>IFERROR(INDEX('3. Revenue Model'!$D:$AA,MATCH($B16,'3. Revenue Model'!$B:$B,0),MATCH(N$3,'3. Revenue Model'!$D$2:$AA$2,0)),"CHECK")</f>
        <v>3938.3907407000006</v>
      </c>
      <c r="O16" s="163">
        <f>IFERROR(INDEX('3. Revenue Model'!$D:$AA,MATCH($B16,'3. Revenue Model'!$B:$B,0),MATCH(O$3,'3. Revenue Model'!$D$2:$AA$2,0)),"CHECK")</f>
        <v>4214.0780925490008</v>
      </c>
      <c r="P16" s="163">
        <f>IFERROR(INDEX('3. Revenue Model'!$D:$AA,MATCH($B16,'3. Revenue Model'!$B:$B,0),MATCH(P$3,'3. Revenue Model'!$D$2:$AA$2,0)),"CHECK")</f>
        <v>4509.0635590274305</v>
      </c>
      <c r="Q16" s="163">
        <f>IFERROR(INDEX('3. Revenue Model'!$D:$AA,MATCH($B16,'3. Revenue Model'!$B:$B,0),MATCH(Q$3,'3. Revenue Model'!$D$2:$AA$2,0)),"CHECK")</f>
        <v>4824.698008159351</v>
      </c>
      <c r="R16" s="163">
        <f>IFERROR(INDEX('3. Revenue Model'!$D:$AA,MATCH($B16,'3. Revenue Model'!$B:$B,0),MATCH(R$3,'3. Revenue Model'!$D$2:$AA$2,0)),"CHECK")</f>
        <v>5162.4268687305057</v>
      </c>
      <c r="S16" s="163">
        <f>IFERROR(INDEX('3. Revenue Model'!$D:$AA,MATCH($B16,'3. Revenue Model'!$B:$B,0),MATCH(S$3,'3. Revenue Model'!$D$2:$AA$2,0)),"CHECK")</f>
        <v>5523.7967495416406</v>
      </c>
      <c r="T16" s="163">
        <f>IFERROR(INDEX('3. Revenue Model'!$D:$AA,MATCH($B16,'3. Revenue Model'!$B:$B,0),MATCH(T$3,'3. Revenue Model'!$D$2:$AA$2,0)),"CHECK")</f>
        <v>5910.462522009555</v>
      </c>
      <c r="U16" s="163">
        <f>IFERROR(INDEX('3. Revenue Model'!$D:$AA,MATCH($B16,'3. Revenue Model'!$B:$B,0),MATCH(U$3,'3. Revenue Model'!$D$2:$AA$2,0)),"CHECK")</f>
        <v>6324.194898550224</v>
      </c>
      <c r="V16" s="163">
        <f>IFERROR(INDEX('3. Revenue Model'!$D:$AA,MATCH($B16,'3. Revenue Model'!$B:$B,0),MATCH(V$3,'3. Revenue Model'!$D$2:$AA$2,0)),"CHECK")</f>
        <v>6766.8885414487404</v>
      </c>
      <c r="W16" s="163">
        <f>IFERROR(INDEX('3. Revenue Model'!$D:$AA,MATCH($B16,'3. Revenue Model'!$B:$B,0),MATCH(W$3,'3. Revenue Model'!$D$2:$AA$2,0)),"CHECK")</f>
        <v>7240.5707393501516</v>
      </c>
      <c r="X16" s="163">
        <f>IFERROR(INDEX('3. Revenue Model'!$D:$AA,MATCH($B16,'3. Revenue Model'!$B:$B,0),MATCH(X$3,'3. Revenue Model'!$D$2:$AA$2,0)),"CHECK")</f>
        <v>7747.410691104662</v>
      </c>
      <c r="Y16" s="163">
        <f>IFERROR(INDEX('3. Revenue Model'!$D:$AA,MATCH($B16,'3. Revenue Model'!$B:$B,0),MATCH(Y$3,'3. Revenue Model'!$D$2:$AA$2,0)),"CHECK")</f>
        <v>8289.7294394819892</v>
      </c>
      <c r="Z16" s="163">
        <f>IFERROR(INDEX('3. Revenue Model'!$D:$AA,MATCH($B16,'3. Revenue Model'!$B:$B,0),MATCH(Z$3,'3. Revenue Model'!$D$2:$AA$2,0)),"CHECK")</f>
        <v>8870.0105002457276</v>
      </c>
      <c r="AA16" s="163">
        <f>IFERROR(INDEX('3. Revenue Model'!$D:$AA,MATCH($B16,'3. Revenue Model'!$B:$B,0),MATCH(AA$3,'3. Revenue Model'!$D$2:$AA$2,0)),"CHECK")</f>
        <v>9490.911235262929</v>
      </c>
      <c r="AB16" s="141" t="s">
        <v>884</v>
      </c>
      <c r="AC16" s="141" t="s">
        <v>882</v>
      </c>
    </row>
    <row r="17" spans="1:29" s="3" customFormat="1" ht="13.2">
      <c r="A17" s="141" t="s">
        <v>882</v>
      </c>
      <c r="B17" s="141" t="s">
        <v>790</v>
      </c>
      <c r="C17" s="141" t="s">
        <v>64</v>
      </c>
      <c r="D17" s="163">
        <f>IFERROR(INDEX('3. Revenue Model'!$D:$AA,MATCH($B17,'3. Revenue Model'!$B:$B,0),MATCH(D$3,'3. Revenue Model'!$D$2:$AA$2,0)),"CHECK")</f>
        <v>44463.3</v>
      </c>
      <c r="E17" s="163">
        <f>IFERROR(INDEX('3. Revenue Model'!$D:$AA,MATCH($B17,'3. Revenue Model'!$B:$B,0),MATCH(E$3,'3. Revenue Model'!$D$2:$AA$2,0)),"CHECK")</f>
        <v>46129.371027682952</v>
      </c>
      <c r="F17" s="163">
        <f>IFERROR(INDEX('3. Revenue Model'!$D:$AA,MATCH($B17,'3. Revenue Model'!$B:$B,0),MATCH(F$3,'3. Revenue Model'!$D$2:$AA$2,0)),"CHECK")</f>
        <v>47841.764196183787</v>
      </c>
      <c r="G17" s="163">
        <f>IFERROR(INDEX('3. Revenue Model'!$D:$AA,MATCH($B17,'3. Revenue Model'!$B:$B,0),MATCH(G$3,'3. Revenue Model'!$D$2:$AA$2,0)),"CHECK")</f>
        <v>49636.689580722785</v>
      </c>
      <c r="H17" s="163">
        <f>IFERROR(INDEX('3. Revenue Model'!$D:$AA,MATCH($B17,'3. Revenue Model'!$B:$B,0),MATCH(H$3,'3. Revenue Model'!$D$2:$AA$2,0)),"CHECK")</f>
        <v>51546.579430354774</v>
      </c>
      <c r="I17" s="163">
        <f>IFERROR(INDEX('3. Revenue Model'!$D:$AA,MATCH($B17,'3. Revenue Model'!$B:$B,0),MATCH(I$3,'3. Revenue Model'!$D$2:$AA$2,0)),"CHECK")</f>
        <v>55200.286326940695</v>
      </c>
      <c r="J17" s="163">
        <f>IFERROR(INDEX('3. Revenue Model'!$D:$AA,MATCH($B17,'3. Revenue Model'!$B:$B,0),MATCH(J$3,'3. Revenue Model'!$D$2:$AA$2,0)),"CHECK")</f>
        <v>59124.935869718305</v>
      </c>
      <c r="K17" s="163">
        <f>IFERROR(INDEX('3. Revenue Model'!$D:$AA,MATCH($B17,'3. Revenue Model'!$B:$B,0),MATCH(K$3,'3. Revenue Model'!$D$2:$AA$2,0)),"CHECK")</f>
        <v>63355.058808947862</v>
      </c>
      <c r="L17" s="163">
        <f>IFERROR(INDEX('3. Revenue Model'!$D:$AA,MATCH($B17,'3. Revenue Model'!$B:$B,0),MATCH(L$3,'3. Revenue Model'!$D$2:$AA$2,0)),"CHECK")</f>
        <v>66925.529543134457</v>
      </c>
      <c r="M17" s="163">
        <f>IFERROR(INDEX('3. Revenue Model'!$D:$AA,MATCH($B17,'3. Revenue Model'!$B:$B,0),MATCH(M$3,'3. Revenue Model'!$D$2:$AA$2,0)),"CHECK")</f>
        <v>71075.594430066791</v>
      </c>
      <c r="N17" s="163">
        <f>IFERROR(INDEX('3. Revenue Model'!$D:$AA,MATCH($B17,'3. Revenue Model'!$B:$B,0),MATCH(N$3,'3. Revenue Model'!$D$2:$AA$2,0)),"CHECK")</f>
        <v>75597.071680328838</v>
      </c>
      <c r="O17" s="163">
        <f>IFERROR(INDEX('3. Revenue Model'!$D:$AA,MATCH($B17,'3. Revenue Model'!$B:$B,0),MATCH(O$3,'3. Revenue Model'!$D$2:$AA$2,0)),"CHECK")</f>
        <v>80528.928518802015</v>
      </c>
      <c r="P17" s="163">
        <f>IFERROR(INDEX('3. Revenue Model'!$D:$AA,MATCH($B17,'3. Revenue Model'!$B:$B,0),MATCH(P$3,'3. Revenue Model'!$D$2:$AA$2,0)),"CHECK")</f>
        <v>85912.839008882307</v>
      </c>
      <c r="Q17" s="163">
        <f>IFERROR(INDEX('3. Revenue Model'!$D:$AA,MATCH($B17,'3. Revenue Model'!$B:$B,0),MATCH(Q$3,'3. Revenue Model'!$D$2:$AA$2,0)),"CHECK")</f>
        <v>91793.63785943274</v>
      </c>
      <c r="R17" s="163">
        <f>IFERROR(INDEX('3. Revenue Model'!$D:$AA,MATCH($B17,'3. Revenue Model'!$B:$B,0),MATCH(R$3,'3. Revenue Model'!$D$2:$AA$2,0)),"CHECK")</f>
        <v>98219.779106721602</v>
      </c>
      <c r="S17" s="163">
        <f>IFERROR(INDEX('3. Revenue Model'!$D:$AA,MATCH($B17,'3. Revenue Model'!$B:$B,0),MATCH(S$3,'3. Revenue Model'!$D$2:$AA$2,0)),"CHECK")</f>
        <v>105243.80857418811</v>
      </c>
      <c r="T17" s="163">
        <f>IFERROR(INDEX('3. Revenue Model'!$D:$AA,MATCH($B17,'3. Revenue Model'!$B:$B,0),MATCH(T$3,'3. Revenue Model'!$D$2:$AA$2,0)),"CHECK")</f>
        <v>112922.85812897378</v>
      </c>
      <c r="U17" s="163">
        <f>IFERROR(INDEX('3. Revenue Model'!$D:$AA,MATCH($B17,'3. Revenue Model'!$B:$B,0),MATCH(U$3,'3. Revenue Model'!$D$2:$AA$2,0)),"CHECK")</f>
        <v>121319.16915828783</v>
      </c>
      <c r="V17" s="163">
        <f>IFERROR(INDEX('3. Revenue Model'!$D:$AA,MATCH($B17,'3. Revenue Model'!$B:$B,0),MATCH(V$3,'3. Revenue Model'!$D$2:$AA$2,0)),"CHECK")</f>
        <v>130500.65233034824</v>
      </c>
      <c r="W17" s="163">
        <f>IFERROR(INDEX('3. Revenue Model'!$D:$AA,MATCH($B17,'3. Revenue Model'!$B:$B,0),MATCH(W$3,'3. Revenue Model'!$D$2:$AA$2,0)),"CHECK")</f>
        <v>140541.49054506194</v>
      </c>
      <c r="X17" s="163">
        <f>IFERROR(INDEX('3. Revenue Model'!$D:$AA,MATCH($B17,'3. Revenue Model'!$B:$B,0),MATCH(X$3,'3. Revenue Model'!$D$2:$AA$2,0)),"CHECK")</f>
        <v>151522.79198932773</v>
      </c>
      <c r="Y17" s="163">
        <f>IFERROR(INDEX('3. Revenue Model'!$D:$AA,MATCH($B17,'3. Revenue Model'!$B:$B,0),MATCH(Y$3,'3. Revenue Model'!$D$2:$AA$2,0)),"CHECK")</f>
        <v>163533.30036891787</v>
      </c>
      <c r="Z17" s="163">
        <f>IFERROR(INDEX('3. Revenue Model'!$D:$AA,MATCH($B17,'3. Revenue Model'!$B:$B,0),MATCH(Z$3,'3. Revenue Model'!$D$2:$AA$2,0)),"CHECK")</f>
        <v>176670.16967741554</v>
      </c>
      <c r="AA17" s="163">
        <f>IFERROR(INDEX('3. Revenue Model'!$D:$AA,MATCH($B17,'3. Revenue Model'!$B:$B,0),MATCH(AA$3,'3. Revenue Model'!$D$2:$AA$2,0)),"CHECK")</f>
        <v>191039.81127168183</v>
      </c>
      <c r="AB17" s="141" t="s">
        <v>884</v>
      </c>
      <c r="AC17" s="141" t="s">
        <v>882</v>
      </c>
    </row>
    <row r="18" spans="1:29" s="3" customFormat="1" ht="13.2">
      <c r="A18" s="141" t="s">
        <v>882</v>
      </c>
      <c r="B18" s="141" t="s">
        <v>799</v>
      </c>
      <c r="C18" s="141" t="s">
        <v>79</v>
      </c>
      <c r="D18" s="164">
        <f>IFERROR(INDEX('3. Revenue Model'!$D:$AA,MATCH($B18,'3. Revenue Model'!$B:$B,0),MATCH(D$3,'3. Revenue Model'!$D$2:$AA$2,0)),"CHECK")</f>
        <v>524</v>
      </c>
      <c r="E18" s="164">
        <f>IFERROR(INDEX('3. Revenue Model'!$D:$AA,MATCH($B18,'3. Revenue Model'!$B:$B,0),MATCH(E$3,'3. Revenue Model'!$D$2:$AA$2,0)),"CHECK")</f>
        <v>550.09519662384469</v>
      </c>
      <c r="F18" s="164">
        <f>IFERROR(INDEX('3. Revenue Model'!$D:$AA,MATCH($B18,'3. Revenue Model'!$B:$B,0),MATCH(F$3,'3. Revenue Model'!$D$2:$AA$2,0)),"CHECK")</f>
        <v>576.28481576099432</v>
      </c>
      <c r="G18" s="164">
        <f>IFERROR(INDEX('3. Revenue Model'!$D:$AA,MATCH($B18,'3. Revenue Model'!$B:$B,0),MATCH(G$3,'3. Revenue Model'!$D$2:$AA$2,0)),"CHECK")</f>
        <v>603.30932210290678</v>
      </c>
      <c r="H18" s="164">
        <f>IFERROR(INDEX('3. Revenue Model'!$D:$AA,MATCH($B18,'3. Revenue Model'!$B:$B,0),MATCH(H$3,'3. Revenue Model'!$D$2:$AA$2,0)),"CHECK")</f>
        <v>631.80628983455199</v>
      </c>
      <c r="I18" s="164">
        <f>IFERROR(INDEX('3. Revenue Model'!$D:$AA,MATCH($B18,'3. Revenue Model'!$B:$B,0),MATCH(I$3,'3. Revenue Model'!$D$2:$AA$2,0)),"CHECK")</f>
        <v>663.33919813093905</v>
      </c>
      <c r="J18" s="164">
        <f>IFERROR(INDEX('3. Revenue Model'!$D:$AA,MATCH($B18,'3. Revenue Model'!$B:$B,0),MATCH(J$3,'3. Revenue Model'!$D$2:$AA$2,0)),"CHECK")</f>
        <v>697.47700076684498</v>
      </c>
      <c r="K18" s="164">
        <f>IFERROR(INDEX('3. Revenue Model'!$D:$AA,MATCH($B18,'3. Revenue Model'!$B:$B,0),MATCH(K$3,'3. Revenue Model'!$D$2:$AA$2,0)),"CHECK")</f>
        <v>734.7037431358591</v>
      </c>
      <c r="L18" s="164">
        <f>IFERROR(INDEX('3. Revenue Model'!$D:$AA,MATCH($B18,'3. Revenue Model'!$B:$B,0),MATCH(L$3,'3. Revenue Model'!$D$2:$AA$2,0)),"CHECK")</f>
        <v>775.48642415486745</v>
      </c>
      <c r="M18" s="164">
        <f>IFERROR(INDEX('3. Revenue Model'!$D:$AA,MATCH($B18,'3. Revenue Model'!$B:$B,0),MATCH(M$3,'3. Revenue Model'!$D$2:$AA$2,0)),"CHECK")</f>
        <v>820.28759124899625</v>
      </c>
      <c r="N18" s="164">
        <f>IFERROR(INDEX('3. Revenue Model'!$D:$AA,MATCH($B18,'3. Revenue Model'!$B:$B,0),MATCH(N$3,'3. Revenue Model'!$D$2:$AA$2,0)),"CHECK")</f>
        <v>869.57598943687765</v>
      </c>
      <c r="O18" s="164">
        <f>IFERROR(INDEX('3. Revenue Model'!$D:$AA,MATCH($B18,'3. Revenue Model'!$B:$B,0),MATCH(O$3,'3. Revenue Model'!$D$2:$AA$2,0)),"CHECK")</f>
        <v>923.83577383415661</v>
      </c>
      <c r="P18" s="164">
        <f>IFERROR(INDEX('3. Revenue Model'!$D:$AA,MATCH($B18,'3. Revenue Model'!$B:$B,0),MATCH(P$3,'3. Revenue Model'!$D$2:$AA$2,0)),"CHECK")</f>
        <v>983.57469070987759</v>
      </c>
      <c r="Q18" s="164">
        <f>IFERROR(INDEX('3. Revenue Model'!$D:$AA,MATCH($B18,'3. Revenue Model'!$B:$B,0),MATCH(Q$3,'3. Revenue Model'!$D$2:$AA$2,0)),"CHECK")</f>
        <v>1049.3315517459782</v>
      </c>
      <c r="R18" s="164">
        <f>IFERROR(INDEX('3. Revenue Model'!$D:$AA,MATCH($B18,'3. Revenue Model'!$B:$B,0),MATCH(R$3,'3. Revenue Model'!$D$2:$AA$2,0)),"CHECK")</f>
        <v>1121.683264227516</v>
      </c>
      <c r="S18" s="164">
        <f>IFERROR(INDEX('3. Revenue Model'!$D:$AA,MATCH($B18,'3. Revenue Model'!$B:$B,0),MATCH(S$3,'3. Revenue Model'!$D$2:$AA$2,0)),"CHECK")</f>
        <v>1201.2516325312058</v>
      </c>
      <c r="T18" s="164">
        <f>IFERROR(INDEX('3. Revenue Model'!$D:$AA,MATCH($B18,'3. Revenue Model'!$B:$B,0),MATCH(T$3,'3. Revenue Model'!$D$2:$AA$2,0)),"CHECK")</f>
        <v>1288.710110371291</v>
      </c>
      <c r="U18" s="164">
        <f>IFERROR(INDEX('3. Revenue Model'!$D:$AA,MATCH($B18,'3. Revenue Model'!$B:$B,0),MATCH(U$3,'3. Revenue Model'!$D$2:$AA$2,0)),"CHECK")</f>
        <v>1384.79065638732</v>
      </c>
      <c r="V18" s="164">
        <f>IFERROR(INDEX('3. Revenue Model'!$D:$AA,MATCH($B18,'3. Revenue Model'!$B:$B,0),MATCH(V$3,'3. Revenue Model'!$D$2:$AA$2,0)),"CHECK")</f>
        <v>1490.2908259425913</v>
      </c>
      <c r="W18" s="164">
        <f>IFERROR(INDEX('3. Revenue Model'!$D:$AA,MATCH($B18,'3. Revenue Model'!$B:$B,0),MATCH(W$3,'3. Revenue Model'!$D$2:$AA$2,0)),"CHECK")</f>
        <v>1606.0812179931745</v>
      </c>
      <c r="X18" s="164">
        <f>IFERROR(INDEX('3. Revenue Model'!$D:$AA,MATCH($B18,'3. Revenue Model'!$B:$B,0),MATCH(X$3,'3. Revenue Model'!$D$2:$AA$2,0)),"CHECK")</f>
        <v>1733.1133864654221</v>
      </c>
      <c r="Y18" s="164">
        <f>IFERROR(INDEX('3. Revenue Model'!$D:$AA,MATCH($B18,'3. Revenue Model'!$B:$B,0),MATCH(Y$3,'3. Revenue Model'!$D$2:$AA$2,0)),"CHECK")</f>
        <v>1872.4283198845144</v>
      </c>
      <c r="Z18" s="164">
        <f>IFERROR(INDEX('3. Revenue Model'!$D:$AA,MATCH($B18,'3. Revenue Model'!$B:$B,0),MATCH(Z$3,'3. Revenue Model'!$D$2:$AA$2,0)),"CHECK")</f>
        <v>2025.1655903717387</v>
      </c>
      <c r="AA18" s="164">
        <f>IFERROR(INDEX('3. Revenue Model'!$D:$AA,MATCH($B18,'3. Revenue Model'!$B:$B,0),MATCH(AA$3,'3. Revenue Model'!$D$2:$AA$2,0)),"CHECK")</f>
        <v>2192.5732730782888</v>
      </c>
      <c r="AB18" s="141" t="s">
        <v>884</v>
      </c>
      <c r="AC18" s="141" t="s">
        <v>882</v>
      </c>
    </row>
    <row r="19" spans="1:29" s="3" customFormat="1" ht="13.2">
      <c r="A19" s="141" t="s">
        <v>882</v>
      </c>
      <c r="B19" s="141" t="s">
        <v>712</v>
      </c>
      <c r="C19" s="141" t="s">
        <v>79</v>
      </c>
      <c r="D19" s="164">
        <f>IFERROR(INDEX('3. Revenue Model'!$D:$AA,MATCH($B19,'3. Revenue Model'!$B:$B,0),MATCH(D$3,'3. Revenue Model'!$D$2:$AA$2,0)),"CHECK")</f>
        <v>0</v>
      </c>
      <c r="E19" s="164">
        <f>IFERROR(INDEX('3. Revenue Model'!$D:$AA,MATCH($B19,'3. Revenue Model'!$B:$B,0),MATCH(E$3,'3. Revenue Model'!$D$2:$AA$2,0)),"CHECK")</f>
        <v>0</v>
      </c>
      <c r="F19" s="164">
        <f>IFERROR(INDEX('3. Revenue Model'!$D:$AA,MATCH($B19,'3. Revenue Model'!$B:$B,0),MATCH(F$3,'3. Revenue Model'!$D$2:$AA$2,0)),"CHECK")</f>
        <v>0</v>
      </c>
      <c r="G19" s="164">
        <f>IFERROR(INDEX('3. Revenue Model'!$D:$AA,MATCH($B19,'3. Revenue Model'!$B:$B,0),MATCH(G$3,'3. Revenue Model'!$D$2:$AA$2,0)),"CHECK")</f>
        <v>0</v>
      </c>
      <c r="H19" s="164">
        <f>IFERROR(INDEX('3. Revenue Model'!$D:$AA,MATCH($B19,'3. Revenue Model'!$B:$B,0),MATCH(H$3,'3. Revenue Model'!$D$2:$AA$2,0)),"CHECK")</f>
        <v>0</v>
      </c>
      <c r="I19" s="164">
        <f>IFERROR(INDEX('3. Revenue Model'!$D:$AA,MATCH($B19,'3. Revenue Model'!$B:$B,0),MATCH(I$3,'3. Revenue Model'!$D$2:$AA$2,0)),"CHECK")</f>
        <v>1</v>
      </c>
      <c r="J19" s="164">
        <f>IFERROR(INDEX('3. Revenue Model'!$D:$AA,MATCH($B19,'3. Revenue Model'!$B:$B,0),MATCH(J$3,'3. Revenue Model'!$D$2:$AA$2,0)),"CHECK")</f>
        <v>1.07</v>
      </c>
      <c r="K19" s="164">
        <f>IFERROR(INDEX('3. Revenue Model'!$D:$AA,MATCH($B19,'3. Revenue Model'!$B:$B,0),MATCH(K$3,'3. Revenue Model'!$D$2:$AA$2,0)),"CHECK")</f>
        <v>1.1449</v>
      </c>
      <c r="L19" s="164">
        <f>IFERROR(INDEX('3. Revenue Model'!$D:$AA,MATCH($B19,'3. Revenue Model'!$B:$B,0),MATCH(L$3,'3. Revenue Model'!$D$2:$AA$2,0)),"CHECK")</f>
        <v>1.2250430000000001</v>
      </c>
      <c r="M19" s="164">
        <f>IFERROR(INDEX('3. Revenue Model'!$D:$AA,MATCH($B19,'3. Revenue Model'!$B:$B,0),MATCH(M$3,'3. Revenue Model'!$D$2:$AA$2,0)),"CHECK")</f>
        <v>1.31079601</v>
      </c>
      <c r="N19" s="164">
        <f>IFERROR(INDEX('3. Revenue Model'!$D:$AA,MATCH($B19,'3. Revenue Model'!$B:$B,0),MATCH(N$3,'3. Revenue Model'!$D$2:$AA$2,0)),"CHECK")</f>
        <v>1.4025517307000002</v>
      </c>
      <c r="O19" s="164">
        <f>IFERROR(INDEX('3. Revenue Model'!$D:$AA,MATCH($B19,'3. Revenue Model'!$B:$B,0),MATCH(O$3,'3. Revenue Model'!$D$2:$AA$2,0)),"CHECK")</f>
        <v>1.5007303518490001</v>
      </c>
      <c r="P19" s="164">
        <f>IFERROR(INDEX('3. Revenue Model'!$D:$AA,MATCH($B19,'3. Revenue Model'!$B:$B,0),MATCH(P$3,'3. Revenue Model'!$D$2:$AA$2,0)),"CHECK")</f>
        <v>1.6057814764784302</v>
      </c>
      <c r="Q19" s="164">
        <f>IFERROR(INDEX('3. Revenue Model'!$D:$AA,MATCH($B19,'3. Revenue Model'!$B:$B,0),MATCH(Q$3,'3. Revenue Model'!$D$2:$AA$2,0)),"CHECK")</f>
        <v>1.7181861798319202</v>
      </c>
      <c r="R19" s="164">
        <f>IFERROR(INDEX('3. Revenue Model'!$D:$AA,MATCH($B19,'3. Revenue Model'!$B:$B,0),MATCH(R$3,'3. Revenue Model'!$D$2:$AA$2,0)),"CHECK")</f>
        <v>1.8384592124201549</v>
      </c>
      <c r="S19" s="164">
        <f>IFERROR(INDEX('3. Revenue Model'!$D:$AA,MATCH($B19,'3. Revenue Model'!$B:$B,0),MATCH(S$3,'3. Revenue Model'!$D$2:$AA$2,0)),"CHECK")</f>
        <v>1.9671513572895656</v>
      </c>
      <c r="T19" s="164">
        <f>IFERROR(INDEX('3. Revenue Model'!$D:$AA,MATCH($B19,'3. Revenue Model'!$B:$B,0),MATCH(T$3,'3. Revenue Model'!$D$2:$AA$2,0)),"CHECK")</f>
        <v>2.1048519522998355</v>
      </c>
      <c r="U19" s="164">
        <f>IFERROR(INDEX('3. Revenue Model'!$D:$AA,MATCH($B19,'3. Revenue Model'!$B:$B,0),MATCH(U$3,'3. Revenue Model'!$D$2:$AA$2,0)),"CHECK")</f>
        <v>2.2521915889608235</v>
      </c>
      <c r="V19" s="164">
        <f>IFERROR(INDEX('3. Revenue Model'!$D:$AA,MATCH($B19,'3. Revenue Model'!$B:$B,0),MATCH(V$3,'3. Revenue Model'!$D$2:$AA$2,0)),"CHECK")</f>
        <v>2.4098450001880813</v>
      </c>
      <c r="W19" s="164">
        <f>IFERROR(INDEX('3. Revenue Model'!$D:$AA,MATCH($B19,'3. Revenue Model'!$B:$B,0),MATCH(W$3,'3. Revenue Model'!$D$2:$AA$2,0)),"CHECK")</f>
        <v>2.5785341502012469</v>
      </c>
      <c r="X19" s="164">
        <f>IFERROR(INDEX('3. Revenue Model'!$D:$AA,MATCH($B19,'3. Revenue Model'!$B:$B,0),MATCH(X$3,'3. Revenue Model'!$D$2:$AA$2,0)),"CHECK")</f>
        <v>2.7590315407153345</v>
      </c>
      <c r="Y19" s="164">
        <f>IFERROR(INDEX('3. Revenue Model'!$D:$AA,MATCH($B19,'3. Revenue Model'!$B:$B,0),MATCH(Y$3,'3. Revenue Model'!$D$2:$AA$2,0)),"CHECK")</f>
        <v>2.9521637485654075</v>
      </c>
      <c r="Z19" s="164">
        <f>IFERROR(INDEX('3. Revenue Model'!$D:$AA,MATCH($B19,'3. Revenue Model'!$B:$B,0),MATCH(Z$3,'3. Revenue Model'!$D$2:$AA$2,0)),"CHECK")</f>
        <v>3.1588152109649861</v>
      </c>
      <c r="AA19" s="164">
        <f>IFERROR(INDEX('3. Revenue Model'!$D:$AA,MATCH($B19,'3. Revenue Model'!$B:$B,0),MATCH(AA$3,'3. Revenue Model'!$D$2:$AA$2,0)),"CHECK")</f>
        <v>3.3799322757325352</v>
      </c>
      <c r="AB19" s="141" t="s">
        <v>884</v>
      </c>
      <c r="AC19" s="141" t="s">
        <v>882</v>
      </c>
    </row>
    <row r="20" spans="1:29" s="3" customFormat="1" ht="13.2">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row>
    <row r="21" spans="1:29" s="3" customFormat="1" ht="13.2">
      <c r="A21" s="105" t="s">
        <v>885</v>
      </c>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row>
    <row r="22" spans="1:29" s="3" customFormat="1" ht="26.4">
      <c r="A22" s="141" t="s">
        <v>886</v>
      </c>
      <c r="B22" s="141" t="s">
        <v>887</v>
      </c>
      <c r="C22" s="141" t="s">
        <v>173</v>
      </c>
      <c r="D22" s="165">
        <f>INDEX('1. Assumptions'!$G:$G,MATCH("AI API Cost % of AI Revenue ; M1",'1. Assumptions'!$B:$B,0))+(INDEX('1. Assumptions'!$G:$G,MATCH("AI API Cost % of AI Revenue ; M24",'1. Assumptions'!$B:$B,0))-INDEX('1. Assumptions'!$G:$G,MATCH("AI API Cost % of AI Revenue ; M1",'1. Assumptions'!$B:$B,0)))*(D$6-1)/23</f>
        <v>0.35</v>
      </c>
      <c r="E22" s="165">
        <f>INDEX('1. Assumptions'!$G:$G,MATCH("AI API Cost % of AI Revenue ; M1",'1. Assumptions'!$B:$B,0))+(INDEX('1. Assumptions'!$G:$G,MATCH("AI API Cost % of AI Revenue ; M24",'1. Assumptions'!$B:$B,0))-INDEX('1. Assumptions'!$G:$G,MATCH("AI API Cost % of AI Revenue ; M1",'1. Assumptions'!$B:$B,0)))*(E$6-1)/23</f>
        <v>0.34565217391304348</v>
      </c>
      <c r="F22" s="165">
        <f>INDEX('1. Assumptions'!$G:$G,MATCH("AI API Cost % of AI Revenue ; M1",'1. Assumptions'!$B:$B,0))+(INDEX('1. Assumptions'!$G:$G,MATCH("AI API Cost % of AI Revenue ; M24",'1. Assumptions'!$B:$B,0))-INDEX('1. Assumptions'!$G:$G,MATCH("AI API Cost % of AI Revenue ; M1",'1. Assumptions'!$B:$B,0)))*(F$6-1)/23</f>
        <v>0.34130434782608693</v>
      </c>
      <c r="G22" s="165">
        <f>INDEX('1. Assumptions'!$G:$G,MATCH("AI API Cost % of AI Revenue ; M1",'1. Assumptions'!$B:$B,0))+(INDEX('1. Assumptions'!$G:$G,MATCH("AI API Cost % of AI Revenue ; M24",'1. Assumptions'!$B:$B,0))-INDEX('1. Assumptions'!$G:$G,MATCH("AI API Cost % of AI Revenue ; M1",'1. Assumptions'!$B:$B,0)))*(G$6-1)/23</f>
        <v>0.33695652173913043</v>
      </c>
      <c r="H22" s="165">
        <f>INDEX('1. Assumptions'!$G:$G,MATCH("AI API Cost % of AI Revenue ; M1",'1. Assumptions'!$B:$B,0))+(INDEX('1. Assumptions'!$G:$G,MATCH("AI API Cost % of AI Revenue ; M24",'1. Assumptions'!$B:$B,0))-INDEX('1. Assumptions'!$G:$G,MATCH("AI API Cost % of AI Revenue ; M1",'1. Assumptions'!$B:$B,0)))*(H$6-1)/23</f>
        <v>0.33260869565217388</v>
      </c>
      <c r="I22" s="165">
        <f>INDEX('1. Assumptions'!$G:$G,MATCH("AI API Cost % of AI Revenue ; M1",'1. Assumptions'!$B:$B,0))+(INDEX('1. Assumptions'!$G:$G,MATCH("AI API Cost % of AI Revenue ; M24",'1. Assumptions'!$B:$B,0))-INDEX('1. Assumptions'!$G:$G,MATCH("AI API Cost % of AI Revenue ; M1",'1. Assumptions'!$B:$B,0)))*(I$6-1)/23</f>
        <v>0.32826086956521738</v>
      </c>
      <c r="J22" s="165">
        <f>INDEX('1. Assumptions'!$G:$G,MATCH("AI API Cost % of AI Revenue ; M1",'1. Assumptions'!$B:$B,0))+(INDEX('1. Assumptions'!$G:$G,MATCH("AI API Cost % of AI Revenue ; M24",'1. Assumptions'!$B:$B,0))-INDEX('1. Assumptions'!$G:$G,MATCH("AI API Cost % of AI Revenue ; M1",'1. Assumptions'!$B:$B,0)))*(J$6-1)/23</f>
        <v>0.32391304347826083</v>
      </c>
      <c r="K22" s="165">
        <f>INDEX('1. Assumptions'!$G:$G,MATCH("AI API Cost % of AI Revenue ; M1",'1. Assumptions'!$B:$B,0))+(INDEX('1. Assumptions'!$G:$G,MATCH("AI API Cost % of AI Revenue ; M24",'1. Assumptions'!$B:$B,0))-INDEX('1. Assumptions'!$G:$G,MATCH("AI API Cost % of AI Revenue ; M1",'1. Assumptions'!$B:$B,0)))*(K$6-1)/23</f>
        <v>0.31956521739130433</v>
      </c>
      <c r="L22" s="165">
        <f>INDEX('1. Assumptions'!$G:$G,MATCH("AI API Cost % of AI Revenue ; M1",'1. Assumptions'!$B:$B,0))+(INDEX('1. Assumptions'!$G:$G,MATCH("AI API Cost % of AI Revenue ; M24",'1. Assumptions'!$B:$B,0))-INDEX('1. Assumptions'!$G:$G,MATCH("AI API Cost % of AI Revenue ; M1",'1. Assumptions'!$B:$B,0)))*(L$6-1)/23</f>
        <v>0.31521739130434778</v>
      </c>
      <c r="M22" s="165">
        <f>INDEX('1. Assumptions'!$G:$G,MATCH("AI API Cost % of AI Revenue ; M1",'1. Assumptions'!$B:$B,0))+(INDEX('1. Assumptions'!$G:$G,MATCH("AI API Cost % of AI Revenue ; M24",'1. Assumptions'!$B:$B,0))-INDEX('1. Assumptions'!$G:$G,MATCH("AI API Cost % of AI Revenue ; M1",'1. Assumptions'!$B:$B,0)))*(M$6-1)/23</f>
        <v>0.31086956521739129</v>
      </c>
      <c r="N22" s="165">
        <f>INDEX('1. Assumptions'!$G:$G,MATCH("AI API Cost % of AI Revenue ; M1",'1. Assumptions'!$B:$B,0))+(INDEX('1. Assumptions'!$G:$G,MATCH("AI API Cost % of AI Revenue ; M24",'1. Assumptions'!$B:$B,0))-INDEX('1. Assumptions'!$G:$G,MATCH("AI API Cost % of AI Revenue ; M1",'1. Assumptions'!$B:$B,0)))*(N$6-1)/23</f>
        <v>0.30652173913043479</v>
      </c>
      <c r="O22" s="165">
        <f>INDEX('1. Assumptions'!$G:$G,MATCH("AI API Cost % of AI Revenue ; M1",'1. Assumptions'!$B:$B,0))+(INDEX('1. Assumptions'!$G:$G,MATCH("AI API Cost % of AI Revenue ; M24",'1. Assumptions'!$B:$B,0))-INDEX('1. Assumptions'!$G:$G,MATCH("AI API Cost % of AI Revenue ; M1",'1. Assumptions'!$B:$B,0)))*(O$6-1)/23</f>
        <v>0.30217391304347824</v>
      </c>
      <c r="P22" s="165">
        <f>INDEX('1. Assumptions'!$G:$G,MATCH("AI API Cost % of AI Revenue ; M1",'1. Assumptions'!$B:$B,0))+(INDEX('1. Assumptions'!$G:$G,MATCH("AI API Cost % of AI Revenue ; M24",'1. Assumptions'!$B:$B,0))-INDEX('1. Assumptions'!$G:$G,MATCH("AI API Cost % of AI Revenue ; M1",'1. Assumptions'!$B:$B,0)))*(P$6-1)/23</f>
        <v>0.29782608695652174</v>
      </c>
      <c r="Q22" s="165">
        <f>INDEX('1. Assumptions'!$G:$G,MATCH("AI API Cost % of AI Revenue ; M1",'1. Assumptions'!$B:$B,0))+(INDEX('1. Assumptions'!$G:$G,MATCH("AI API Cost % of AI Revenue ; M24",'1. Assumptions'!$B:$B,0))-INDEX('1. Assumptions'!$G:$G,MATCH("AI API Cost % of AI Revenue ; M1",'1. Assumptions'!$B:$B,0)))*(Q$6-1)/23</f>
        <v>0.29347826086956519</v>
      </c>
      <c r="R22" s="165">
        <f>INDEX('1. Assumptions'!$G:$G,MATCH("AI API Cost % of AI Revenue ; M1",'1. Assumptions'!$B:$B,0))+(INDEX('1. Assumptions'!$G:$G,MATCH("AI API Cost % of AI Revenue ; M24",'1. Assumptions'!$B:$B,0))-INDEX('1. Assumptions'!$G:$G,MATCH("AI API Cost % of AI Revenue ; M1",'1. Assumptions'!$B:$B,0)))*(R$6-1)/23</f>
        <v>0.28913043478260869</v>
      </c>
      <c r="S22" s="165">
        <f>INDEX('1. Assumptions'!$G:$G,MATCH("AI API Cost % of AI Revenue ; M1",'1. Assumptions'!$B:$B,0))+(INDEX('1. Assumptions'!$G:$G,MATCH("AI API Cost % of AI Revenue ; M24",'1. Assumptions'!$B:$B,0))-INDEX('1. Assumptions'!$G:$G,MATCH("AI API Cost % of AI Revenue ; M1",'1. Assumptions'!$B:$B,0)))*(S$6-1)/23</f>
        <v>0.2847826086956522</v>
      </c>
      <c r="T22" s="165">
        <f>INDEX('1. Assumptions'!$G:$G,MATCH("AI API Cost % of AI Revenue ; M1",'1. Assumptions'!$B:$B,0))+(INDEX('1. Assumptions'!$G:$G,MATCH("AI API Cost % of AI Revenue ; M24",'1. Assumptions'!$B:$B,0))-INDEX('1. Assumptions'!$G:$G,MATCH("AI API Cost % of AI Revenue ; M1",'1. Assumptions'!$B:$B,0)))*(T$6-1)/23</f>
        <v>0.28043478260869564</v>
      </c>
      <c r="U22" s="165">
        <f>INDEX('1. Assumptions'!$G:$G,MATCH("AI API Cost % of AI Revenue ; M1",'1. Assumptions'!$B:$B,0))+(INDEX('1. Assumptions'!$G:$G,MATCH("AI API Cost % of AI Revenue ; M24",'1. Assumptions'!$B:$B,0))-INDEX('1. Assumptions'!$G:$G,MATCH("AI API Cost % of AI Revenue ; M1",'1. Assumptions'!$B:$B,0)))*(U$6-1)/23</f>
        <v>0.27608695652173909</v>
      </c>
      <c r="V22" s="165">
        <f>INDEX('1. Assumptions'!$G:$G,MATCH("AI API Cost % of AI Revenue ; M1",'1. Assumptions'!$B:$B,0))+(INDEX('1. Assumptions'!$G:$G,MATCH("AI API Cost % of AI Revenue ; M24",'1. Assumptions'!$B:$B,0))-INDEX('1. Assumptions'!$G:$G,MATCH("AI API Cost % of AI Revenue ; M1",'1. Assumptions'!$B:$B,0)))*(V$6-1)/23</f>
        <v>0.27173913043478259</v>
      </c>
      <c r="W22" s="165">
        <f>INDEX('1. Assumptions'!$G:$G,MATCH("AI API Cost % of AI Revenue ; M1",'1. Assumptions'!$B:$B,0))+(INDEX('1. Assumptions'!$G:$G,MATCH("AI API Cost % of AI Revenue ; M24",'1. Assumptions'!$B:$B,0))-INDEX('1. Assumptions'!$G:$G,MATCH("AI API Cost % of AI Revenue ; M1",'1. Assumptions'!$B:$B,0)))*(W$6-1)/23</f>
        <v>0.2673913043478261</v>
      </c>
      <c r="X22" s="165">
        <f>INDEX('1. Assumptions'!$G:$G,MATCH("AI API Cost % of AI Revenue ; M1",'1. Assumptions'!$B:$B,0))+(INDEX('1. Assumptions'!$G:$G,MATCH("AI API Cost % of AI Revenue ; M24",'1. Assumptions'!$B:$B,0))-INDEX('1. Assumptions'!$G:$G,MATCH("AI API Cost % of AI Revenue ; M1",'1. Assumptions'!$B:$B,0)))*(X$6-1)/23</f>
        <v>0.26304347826086955</v>
      </c>
      <c r="Y22" s="165">
        <f>INDEX('1. Assumptions'!$G:$G,MATCH("AI API Cost % of AI Revenue ; M1",'1. Assumptions'!$B:$B,0))+(INDEX('1. Assumptions'!$G:$G,MATCH("AI API Cost % of AI Revenue ; M24",'1. Assumptions'!$B:$B,0))-INDEX('1. Assumptions'!$G:$G,MATCH("AI API Cost % of AI Revenue ; M1",'1. Assumptions'!$B:$B,0)))*(Y$6-1)/23</f>
        <v>0.25869565217391305</v>
      </c>
      <c r="Z22" s="165">
        <f>INDEX('1. Assumptions'!$G:$G,MATCH("AI API Cost % of AI Revenue ; M1",'1. Assumptions'!$B:$B,0))+(INDEX('1. Assumptions'!$G:$G,MATCH("AI API Cost % of AI Revenue ; M24",'1. Assumptions'!$B:$B,0))-INDEX('1. Assumptions'!$G:$G,MATCH("AI API Cost % of AI Revenue ; M1",'1. Assumptions'!$B:$B,0)))*(Z$6-1)/23</f>
        <v>0.2543478260869565</v>
      </c>
      <c r="AA22" s="165">
        <f>INDEX('1. Assumptions'!$G:$G,MATCH("AI API Cost % of AI Revenue ; M1",'1. Assumptions'!$B:$B,0))+(INDEX('1. Assumptions'!$G:$G,MATCH("AI API Cost % of AI Revenue ; M24",'1. Assumptions'!$B:$B,0))-INDEX('1. Assumptions'!$G:$G,MATCH("AI API Cost % of AI Revenue ; M1",'1. Assumptions'!$B:$B,0)))*(AA$6-1)/23</f>
        <v>0.25</v>
      </c>
      <c r="AB22" s="141" t="s">
        <v>888</v>
      </c>
      <c r="AC22" s="141" t="s">
        <v>880</v>
      </c>
    </row>
    <row r="23" spans="1:29" s="3" customFormat="1" ht="13.2">
      <c r="A23" s="141" t="s">
        <v>886</v>
      </c>
      <c r="B23" s="141" t="s">
        <v>144</v>
      </c>
      <c r="C23" s="141" t="s">
        <v>64</v>
      </c>
      <c r="D23" s="165">
        <f>D14</f>
        <v>0</v>
      </c>
      <c r="E23" s="165">
        <f t="shared" ref="E23:AA23" si="0">E14</f>
        <v>0</v>
      </c>
      <c r="F23" s="165">
        <f t="shared" si="0"/>
        <v>0</v>
      </c>
      <c r="G23" s="165">
        <f t="shared" si="0"/>
        <v>0</v>
      </c>
      <c r="H23" s="165">
        <f t="shared" si="0"/>
        <v>0</v>
      </c>
      <c r="I23" s="165">
        <f t="shared" si="0"/>
        <v>0</v>
      </c>
      <c r="J23" s="165">
        <f t="shared" si="0"/>
        <v>0</v>
      </c>
      <c r="K23" s="165">
        <f t="shared" si="0"/>
        <v>0</v>
      </c>
      <c r="L23" s="165">
        <f t="shared" si="0"/>
        <v>0</v>
      </c>
      <c r="M23" s="166">
        <f t="shared" si="0"/>
        <v>273.42919708299877</v>
      </c>
      <c r="N23" s="166">
        <f t="shared" si="0"/>
        <v>579.71732629125188</v>
      </c>
      <c r="O23" s="166">
        <f t="shared" si="0"/>
        <v>923.83577383415695</v>
      </c>
      <c r="P23" s="166">
        <f t="shared" si="0"/>
        <v>1311.4329209465036</v>
      </c>
      <c r="Q23" s="166">
        <f t="shared" si="0"/>
        <v>1748.8859195766302</v>
      </c>
      <c r="R23" s="166">
        <f t="shared" si="0"/>
        <v>2243.3665284550329</v>
      </c>
      <c r="S23" s="166">
        <f t="shared" si="0"/>
        <v>2802.9204759061472</v>
      </c>
      <c r="T23" s="166">
        <f t="shared" si="0"/>
        <v>3436.560294323443</v>
      </c>
      <c r="U23" s="166">
        <f t="shared" si="0"/>
        <v>4154.3719691619608</v>
      </c>
      <c r="V23" s="166">
        <f t="shared" si="0"/>
        <v>4967.6360864753042</v>
      </c>
      <c r="W23" s="166">
        <f t="shared" si="0"/>
        <v>5888.9644659749738</v>
      </c>
      <c r="X23" s="166">
        <f t="shared" si="0"/>
        <v>6932.4535458616901</v>
      </c>
      <c r="Y23" s="166">
        <f t="shared" si="0"/>
        <v>8113.8560528328962</v>
      </c>
      <c r="Z23" s="166">
        <f t="shared" si="0"/>
        <v>9450.7727550681138</v>
      </c>
      <c r="AA23" s="166">
        <f t="shared" si="0"/>
        <v>10962.866365391445</v>
      </c>
      <c r="AB23" s="141"/>
      <c r="AC23" s="141"/>
    </row>
    <row r="24" spans="1:29" s="3" customFormat="1" ht="26.4">
      <c r="A24" s="141" t="s">
        <v>886</v>
      </c>
      <c r="B24" s="141" t="s">
        <v>889</v>
      </c>
      <c r="C24" s="141" t="s">
        <v>64</v>
      </c>
      <c r="D24" s="167">
        <f>D22*D23</f>
        <v>0</v>
      </c>
      <c r="E24" s="167">
        <f t="shared" ref="E24:AA24" si="1">E22*E23</f>
        <v>0</v>
      </c>
      <c r="F24" s="167">
        <f t="shared" si="1"/>
        <v>0</v>
      </c>
      <c r="G24" s="167">
        <f t="shared" si="1"/>
        <v>0</v>
      </c>
      <c r="H24" s="167">
        <f t="shared" si="1"/>
        <v>0</v>
      </c>
      <c r="I24" s="167">
        <f t="shared" si="1"/>
        <v>0</v>
      </c>
      <c r="J24" s="167">
        <f t="shared" si="1"/>
        <v>0</v>
      </c>
      <c r="K24" s="167">
        <f t="shared" si="1"/>
        <v>0</v>
      </c>
      <c r="L24" s="167">
        <f t="shared" si="1"/>
        <v>0</v>
      </c>
      <c r="M24" s="167">
        <f t="shared" si="1"/>
        <v>85.000815614932222</v>
      </c>
      <c r="N24" s="167">
        <f t="shared" si="1"/>
        <v>177.69596305884025</v>
      </c>
      <c r="O24" s="167">
        <f t="shared" si="1"/>
        <v>279.15907078901699</v>
      </c>
      <c r="P24" s="167">
        <f t="shared" si="1"/>
        <v>390.57893515145867</v>
      </c>
      <c r="Q24" s="167">
        <f t="shared" si="1"/>
        <v>513.25999813661963</v>
      </c>
      <c r="R24" s="167">
        <f t="shared" si="1"/>
        <v>648.62553974895513</v>
      </c>
      <c r="S24" s="167">
        <f t="shared" si="1"/>
        <v>798.22300509501156</v>
      </c>
      <c r="T24" s="167">
        <f t="shared" si="1"/>
        <v>963.73103906026984</v>
      </c>
      <c r="U24" s="167">
        <f t="shared" si="1"/>
        <v>1146.9679132251499</v>
      </c>
      <c r="V24" s="167">
        <f t="shared" si="1"/>
        <v>1349.9011104552455</v>
      </c>
      <c r="W24" s="167">
        <f t="shared" si="1"/>
        <v>1574.6578898150474</v>
      </c>
      <c r="X24" s="167">
        <f t="shared" si="1"/>
        <v>1823.5366935853574</v>
      </c>
      <c r="Y24" s="167">
        <f t="shared" si="1"/>
        <v>2099.019283232858</v>
      </c>
      <c r="Z24" s="167">
        <f t="shared" si="1"/>
        <v>2403.7835050934113</v>
      </c>
      <c r="AA24" s="167">
        <f t="shared" si="1"/>
        <v>2740.7165913478611</v>
      </c>
      <c r="AB24" s="141" t="s">
        <v>890</v>
      </c>
      <c r="AC24" s="141" t="s">
        <v>877</v>
      </c>
    </row>
    <row r="25" spans="1:29" s="3" customFormat="1" ht="13.2">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row>
    <row r="26" spans="1:29" s="3" customFormat="1" ht="13.2">
      <c r="A26" s="105" t="s">
        <v>891</v>
      </c>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row>
    <row r="27" spans="1:29" s="3" customFormat="1" ht="26.4">
      <c r="A27" s="141" t="s">
        <v>892</v>
      </c>
      <c r="B27" s="141" t="s">
        <v>893</v>
      </c>
      <c r="C27" s="141" t="s">
        <v>64</v>
      </c>
      <c r="D27" s="168">
        <f>INDEX('1. Assumptions'!$G:$G,MATCH("Cloud Hosting ; Fixed Platform Cost/mo",'1. Assumptions'!$B:$B,0))</f>
        <v>2000</v>
      </c>
      <c r="E27" s="168">
        <f>INDEX('1. Assumptions'!$G:$G,MATCH("Cloud Hosting ; Fixed Platform Cost/mo",'1. Assumptions'!$B:$B,0))</f>
        <v>2000</v>
      </c>
      <c r="F27" s="168">
        <f>INDEX('1. Assumptions'!$G:$G,MATCH("Cloud Hosting ; Fixed Platform Cost/mo",'1. Assumptions'!$B:$B,0))</f>
        <v>2000</v>
      </c>
      <c r="G27" s="168">
        <f>INDEX('1. Assumptions'!$G:$G,MATCH("Cloud Hosting ; Fixed Platform Cost/mo",'1. Assumptions'!$B:$B,0))</f>
        <v>2000</v>
      </c>
      <c r="H27" s="168">
        <f>INDEX('1. Assumptions'!$G:$G,MATCH("Cloud Hosting ; Fixed Platform Cost/mo",'1. Assumptions'!$B:$B,0))</f>
        <v>2000</v>
      </c>
      <c r="I27" s="168">
        <f>INDEX('1. Assumptions'!$G:$G,MATCH("Cloud Hosting ; Fixed Platform Cost/mo",'1. Assumptions'!$B:$B,0))</f>
        <v>2000</v>
      </c>
      <c r="J27" s="168">
        <f>INDEX('1. Assumptions'!$G:$G,MATCH("Cloud Hosting ; Fixed Platform Cost/mo",'1. Assumptions'!$B:$B,0))</f>
        <v>2000</v>
      </c>
      <c r="K27" s="168">
        <f>INDEX('1. Assumptions'!$G:$G,MATCH("Cloud Hosting ; Fixed Platform Cost/mo",'1. Assumptions'!$B:$B,0))</f>
        <v>2000</v>
      </c>
      <c r="L27" s="168">
        <f>INDEX('1. Assumptions'!$G:$G,MATCH("Cloud Hosting ; Fixed Platform Cost/mo",'1. Assumptions'!$B:$B,0))</f>
        <v>2000</v>
      </c>
      <c r="M27" s="168">
        <f>INDEX('1. Assumptions'!$G:$G,MATCH("Cloud Hosting ; Fixed Platform Cost/mo",'1. Assumptions'!$B:$B,0))</f>
        <v>2000</v>
      </c>
      <c r="N27" s="168">
        <f>INDEX('1. Assumptions'!$G:$G,MATCH("Cloud Hosting ; Fixed Platform Cost/mo",'1. Assumptions'!$B:$B,0))</f>
        <v>2000</v>
      </c>
      <c r="O27" s="168">
        <f>INDEX('1. Assumptions'!$G:$G,MATCH("Cloud Hosting ; Fixed Platform Cost/mo",'1. Assumptions'!$B:$B,0))</f>
        <v>2000</v>
      </c>
      <c r="P27" s="168">
        <f>INDEX('1. Assumptions'!$G:$G,MATCH("Cloud Hosting ; Fixed Platform Cost/mo",'1. Assumptions'!$B:$B,0))</f>
        <v>2000</v>
      </c>
      <c r="Q27" s="168">
        <f>INDEX('1. Assumptions'!$G:$G,MATCH("Cloud Hosting ; Fixed Platform Cost/mo",'1. Assumptions'!$B:$B,0))</f>
        <v>2000</v>
      </c>
      <c r="R27" s="168">
        <f>INDEX('1. Assumptions'!$G:$G,MATCH("Cloud Hosting ; Fixed Platform Cost/mo",'1. Assumptions'!$B:$B,0))</f>
        <v>2000</v>
      </c>
      <c r="S27" s="168">
        <f>INDEX('1. Assumptions'!$G:$G,MATCH("Cloud Hosting ; Fixed Platform Cost/mo",'1. Assumptions'!$B:$B,0))</f>
        <v>2000</v>
      </c>
      <c r="T27" s="168">
        <f>INDEX('1. Assumptions'!$G:$G,MATCH("Cloud Hosting ; Fixed Platform Cost/mo",'1. Assumptions'!$B:$B,0))</f>
        <v>2000</v>
      </c>
      <c r="U27" s="168">
        <f>INDEX('1. Assumptions'!$G:$G,MATCH("Cloud Hosting ; Fixed Platform Cost/mo",'1. Assumptions'!$B:$B,0))</f>
        <v>2000</v>
      </c>
      <c r="V27" s="168">
        <f>INDEX('1. Assumptions'!$G:$G,MATCH("Cloud Hosting ; Fixed Platform Cost/mo",'1. Assumptions'!$B:$B,0))</f>
        <v>2000</v>
      </c>
      <c r="W27" s="168">
        <f>INDEX('1. Assumptions'!$G:$G,MATCH("Cloud Hosting ; Fixed Platform Cost/mo",'1. Assumptions'!$B:$B,0))</f>
        <v>2000</v>
      </c>
      <c r="X27" s="168">
        <f>INDEX('1. Assumptions'!$G:$G,MATCH("Cloud Hosting ; Fixed Platform Cost/mo",'1. Assumptions'!$B:$B,0))</f>
        <v>2000</v>
      </c>
      <c r="Y27" s="168">
        <f>INDEX('1. Assumptions'!$G:$G,MATCH("Cloud Hosting ; Fixed Platform Cost/mo",'1. Assumptions'!$B:$B,0))</f>
        <v>2000</v>
      </c>
      <c r="Z27" s="168">
        <f>INDEX('1. Assumptions'!$G:$G,MATCH("Cloud Hosting ; Fixed Platform Cost/mo",'1. Assumptions'!$B:$B,0))</f>
        <v>2000</v>
      </c>
      <c r="AA27" s="168">
        <f>INDEX('1. Assumptions'!$G:$G,MATCH("Cloud Hosting ; Fixed Platform Cost/mo",'1. Assumptions'!$B:$B,0))</f>
        <v>2000</v>
      </c>
      <c r="AB27" s="141" t="s">
        <v>894</v>
      </c>
      <c r="AC27" s="141" t="s">
        <v>880</v>
      </c>
    </row>
    <row r="28" spans="1:29" s="3" customFormat="1" ht="26.4">
      <c r="A28" s="141" t="s">
        <v>892</v>
      </c>
      <c r="B28" s="141" t="s">
        <v>895</v>
      </c>
      <c r="C28" s="141" t="s">
        <v>264</v>
      </c>
      <c r="D28" s="168">
        <f>INDEX('1. Assumptions'!$G:$G,MATCH("Cloud Hosting ; Per Customer/mo",'1. Assumptions'!$B:$B,0))</f>
        <v>6</v>
      </c>
      <c r="E28" s="168">
        <f>INDEX('1. Assumptions'!$G:$G,MATCH("Cloud Hosting ; Per Customer/mo",'1. Assumptions'!$B:$B,0))</f>
        <v>6</v>
      </c>
      <c r="F28" s="168">
        <f>INDEX('1. Assumptions'!$G:$G,MATCH("Cloud Hosting ; Per Customer/mo",'1. Assumptions'!$B:$B,0))</f>
        <v>6</v>
      </c>
      <c r="G28" s="168">
        <f>INDEX('1. Assumptions'!$G:$G,MATCH("Cloud Hosting ; Per Customer/mo",'1. Assumptions'!$B:$B,0))</f>
        <v>6</v>
      </c>
      <c r="H28" s="168">
        <f>INDEX('1. Assumptions'!$G:$G,MATCH("Cloud Hosting ; Per Customer/mo",'1. Assumptions'!$B:$B,0))</f>
        <v>6</v>
      </c>
      <c r="I28" s="168">
        <f>INDEX('1. Assumptions'!$G:$G,MATCH("Cloud Hosting ; Per Customer/mo",'1. Assumptions'!$B:$B,0))</f>
        <v>6</v>
      </c>
      <c r="J28" s="168">
        <f>INDEX('1. Assumptions'!$G:$G,MATCH("Cloud Hosting ; Per Customer/mo",'1. Assumptions'!$B:$B,0))</f>
        <v>6</v>
      </c>
      <c r="K28" s="168">
        <f>INDEX('1. Assumptions'!$G:$G,MATCH("Cloud Hosting ; Per Customer/mo",'1. Assumptions'!$B:$B,0))</f>
        <v>6</v>
      </c>
      <c r="L28" s="168">
        <f>INDEX('1. Assumptions'!$G:$G,MATCH("Cloud Hosting ; Per Customer/mo",'1. Assumptions'!$B:$B,0))</f>
        <v>6</v>
      </c>
      <c r="M28" s="168">
        <f>INDEX('1. Assumptions'!$G:$G,MATCH("Cloud Hosting ; Per Customer/mo",'1. Assumptions'!$B:$B,0))</f>
        <v>6</v>
      </c>
      <c r="N28" s="168">
        <f>INDEX('1. Assumptions'!$G:$G,MATCH("Cloud Hosting ; Per Customer/mo",'1. Assumptions'!$B:$B,0))</f>
        <v>6</v>
      </c>
      <c r="O28" s="168">
        <f>INDEX('1. Assumptions'!$G:$G,MATCH("Cloud Hosting ; Per Customer/mo",'1. Assumptions'!$B:$B,0))</f>
        <v>6</v>
      </c>
      <c r="P28" s="168">
        <f>INDEX('1. Assumptions'!$G:$G,MATCH("Cloud Hosting ; Per Customer/mo",'1. Assumptions'!$B:$B,0))</f>
        <v>6</v>
      </c>
      <c r="Q28" s="168">
        <f>INDEX('1. Assumptions'!$G:$G,MATCH("Cloud Hosting ; Per Customer/mo",'1. Assumptions'!$B:$B,0))</f>
        <v>6</v>
      </c>
      <c r="R28" s="168">
        <f>INDEX('1. Assumptions'!$G:$G,MATCH("Cloud Hosting ; Per Customer/mo",'1. Assumptions'!$B:$B,0))</f>
        <v>6</v>
      </c>
      <c r="S28" s="168">
        <f>INDEX('1. Assumptions'!$G:$G,MATCH("Cloud Hosting ; Per Customer/mo",'1. Assumptions'!$B:$B,0))</f>
        <v>6</v>
      </c>
      <c r="T28" s="168">
        <f>INDEX('1. Assumptions'!$G:$G,MATCH("Cloud Hosting ; Per Customer/mo",'1. Assumptions'!$B:$B,0))</f>
        <v>6</v>
      </c>
      <c r="U28" s="168">
        <f>INDEX('1. Assumptions'!$G:$G,MATCH("Cloud Hosting ; Per Customer/mo",'1. Assumptions'!$B:$B,0))</f>
        <v>6</v>
      </c>
      <c r="V28" s="168">
        <f>INDEX('1. Assumptions'!$G:$G,MATCH("Cloud Hosting ; Per Customer/mo",'1. Assumptions'!$B:$B,0))</f>
        <v>6</v>
      </c>
      <c r="W28" s="168">
        <f>INDEX('1. Assumptions'!$G:$G,MATCH("Cloud Hosting ; Per Customer/mo",'1. Assumptions'!$B:$B,0))</f>
        <v>6</v>
      </c>
      <c r="X28" s="168">
        <f>INDEX('1. Assumptions'!$G:$G,MATCH("Cloud Hosting ; Per Customer/mo",'1. Assumptions'!$B:$B,0))</f>
        <v>6</v>
      </c>
      <c r="Y28" s="168">
        <f>INDEX('1. Assumptions'!$G:$G,MATCH("Cloud Hosting ; Per Customer/mo",'1. Assumptions'!$B:$B,0))</f>
        <v>6</v>
      </c>
      <c r="Z28" s="168">
        <f>INDEX('1. Assumptions'!$G:$G,MATCH("Cloud Hosting ; Per Customer/mo",'1. Assumptions'!$B:$B,0))</f>
        <v>6</v>
      </c>
      <c r="AA28" s="168">
        <f>INDEX('1. Assumptions'!$G:$G,MATCH("Cloud Hosting ; Per Customer/mo",'1. Assumptions'!$B:$B,0))</f>
        <v>6</v>
      </c>
      <c r="AB28" s="141" t="s">
        <v>896</v>
      </c>
      <c r="AC28" s="141" t="s">
        <v>880</v>
      </c>
    </row>
    <row r="29" spans="1:29" s="3" customFormat="1" ht="13.2">
      <c r="A29" s="141" t="s">
        <v>892</v>
      </c>
      <c r="B29" s="3" t="s">
        <v>799</v>
      </c>
      <c r="C29" s="141" t="s">
        <v>79</v>
      </c>
      <c r="D29" s="169">
        <f>D18</f>
        <v>524</v>
      </c>
      <c r="E29" s="169">
        <f t="shared" ref="E29:AA29" si="2">E18</f>
        <v>550.09519662384469</v>
      </c>
      <c r="F29" s="169">
        <f t="shared" si="2"/>
        <v>576.28481576099432</v>
      </c>
      <c r="G29" s="169">
        <f t="shared" si="2"/>
        <v>603.30932210290678</v>
      </c>
      <c r="H29" s="169">
        <f t="shared" si="2"/>
        <v>631.80628983455199</v>
      </c>
      <c r="I29" s="169">
        <f t="shared" si="2"/>
        <v>663.33919813093905</v>
      </c>
      <c r="J29" s="169">
        <f t="shared" si="2"/>
        <v>697.47700076684498</v>
      </c>
      <c r="K29" s="169">
        <f t="shared" si="2"/>
        <v>734.7037431358591</v>
      </c>
      <c r="L29" s="169">
        <f t="shared" si="2"/>
        <v>775.48642415486745</v>
      </c>
      <c r="M29" s="169">
        <f t="shared" si="2"/>
        <v>820.28759124899625</v>
      </c>
      <c r="N29" s="169">
        <f t="shared" si="2"/>
        <v>869.57598943687765</v>
      </c>
      <c r="O29" s="169">
        <f t="shared" si="2"/>
        <v>923.83577383415661</v>
      </c>
      <c r="P29" s="169">
        <f t="shared" si="2"/>
        <v>983.57469070987759</v>
      </c>
      <c r="Q29" s="169">
        <f t="shared" si="2"/>
        <v>1049.3315517459782</v>
      </c>
      <c r="R29" s="169">
        <f t="shared" si="2"/>
        <v>1121.683264227516</v>
      </c>
      <c r="S29" s="169">
        <f t="shared" si="2"/>
        <v>1201.2516325312058</v>
      </c>
      <c r="T29" s="169">
        <f t="shared" si="2"/>
        <v>1288.710110371291</v>
      </c>
      <c r="U29" s="169">
        <f t="shared" si="2"/>
        <v>1384.79065638732</v>
      </c>
      <c r="V29" s="169">
        <f t="shared" si="2"/>
        <v>1490.2908259425913</v>
      </c>
      <c r="W29" s="169">
        <f t="shared" si="2"/>
        <v>1606.0812179931745</v>
      </c>
      <c r="X29" s="169">
        <f t="shared" si="2"/>
        <v>1733.1133864654221</v>
      </c>
      <c r="Y29" s="169">
        <f t="shared" si="2"/>
        <v>1872.4283198845144</v>
      </c>
      <c r="Z29" s="169">
        <f t="shared" si="2"/>
        <v>2025.1655903717387</v>
      </c>
      <c r="AA29" s="169">
        <f t="shared" si="2"/>
        <v>2192.5732730782888</v>
      </c>
      <c r="AB29" s="141"/>
      <c r="AC29" s="141"/>
    </row>
    <row r="30" spans="1:29" s="3" customFormat="1" ht="26.4">
      <c r="A30" s="141" t="s">
        <v>892</v>
      </c>
      <c r="B30" s="141" t="s">
        <v>897</v>
      </c>
      <c r="C30" s="141" t="s">
        <v>64</v>
      </c>
      <c r="D30" s="168">
        <f>D28*D29</f>
        <v>3144</v>
      </c>
      <c r="E30" s="168">
        <f t="shared" ref="E30:AA30" si="3">E28*E29</f>
        <v>3300.5711797430681</v>
      </c>
      <c r="F30" s="168">
        <f t="shared" si="3"/>
        <v>3457.7088945659661</v>
      </c>
      <c r="G30" s="168">
        <f t="shared" si="3"/>
        <v>3619.8559326174409</v>
      </c>
      <c r="H30" s="168">
        <f t="shared" si="3"/>
        <v>3790.8377390073119</v>
      </c>
      <c r="I30" s="168">
        <f t="shared" si="3"/>
        <v>3980.0351887856341</v>
      </c>
      <c r="J30" s="168">
        <f t="shared" si="3"/>
        <v>4184.8620046010701</v>
      </c>
      <c r="K30" s="168">
        <f t="shared" si="3"/>
        <v>4408.2224588151548</v>
      </c>
      <c r="L30" s="168">
        <f t="shared" si="3"/>
        <v>4652.9185449292045</v>
      </c>
      <c r="M30" s="168">
        <f t="shared" si="3"/>
        <v>4921.7255474939775</v>
      </c>
      <c r="N30" s="168">
        <f t="shared" si="3"/>
        <v>5217.4559366212661</v>
      </c>
      <c r="O30" s="168">
        <f t="shared" si="3"/>
        <v>5543.0146430049399</v>
      </c>
      <c r="P30" s="168">
        <f t="shared" si="3"/>
        <v>5901.448144259266</v>
      </c>
      <c r="Q30" s="168">
        <f t="shared" si="3"/>
        <v>6295.9893104758694</v>
      </c>
      <c r="R30" s="168">
        <f t="shared" si="3"/>
        <v>6730.0995853650966</v>
      </c>
      <c r="S30" s="168">
        <f t="shared" si="3"/>
        <v>7207.5097951872349</v>
      </c>
      <c r="T30" s="168">
        <f t="shared" si="3"/>
        <v>7732.2606622277453</v>
      </c>
      <c r="U30" s="168">
        <f t="shared" si="3"/>
        <v>8308.7439383239198</v>
      </c>
      <c r="V30" s="168">
        <f t="shared" si="3"/>
        <v>8941.7449556555475</v>
      </c>
      <c r="W30" s="168">
        <f t="shared" si="3"/>
        <v>9636.487307959047</v>
      </c>
      <c r="X30" s="168">
        <f t="shared" si="3"/>
        <v>10398.680318792532</v>
      </c>
      <c r="Y30" s="168">
        <f t="shared" si="3"/>
        <v>11234.569919307087</v>
      </c>
      <c r="Z30" s="168">
        <f t="shared" si="3"/>
        <v>12150.993542230433</v>
      </c>
      <c r="AA30" s="168">
        <f t="shared" si="3"/>
        <v>13155.439638469732</v>
      </c>
      <c r="AB30" s="141" t="s">
        <v>898</v>
      </c>
      <c r="AC30" s="141" t="s">
        <v>877</v>
      </c>
    </row>
    <row r="31" spans="1:29" s="3" customFormat="1" ht="26.4">
      <c r="A31" s="141" t="s">
        <v>892</v>
      </c>
      <c r="B31" s="141" t="s">
        <v>899</v>
      </c>
      <c r="C31" s="141" t="s">
        <v>64</v>
      </c>
      <c r="D31" s="170">
        <f>D27+D30</f>
        <v>5144</v>
      </c>
      <c r="E31" s="170">
        <f t="shared" ref="E31:AA31" si="4">E27+E30</f>
        <v>5300.5711797430686</v>
      </c>
      <c r="F31" s="170">
        <f t="shared" si="4"/>
        <v>5457.7088945659661</v>
      </c>
      <c r="G31" s="170">
        <f t="shared" si="4"/>
        <v>5619.8559326174409</v>
      </c>
      <c r="H31" s="170">
        <f t="shared" si="4"/>
        <v>5790.8377390073119</v>
      </c>
      <c r="I31" s="170">
        <f t="shared" si="4"/>
        <v>5980.0351887856341</v>
      </c>
      <c r="J31" s="170">
        <f t="shared" si="4"/>
        <v>6184.8620046010701</v>
      </c>
      <c r="K31" s="170">
        <f t="shared" si="4"/>
        <v>6408.2224588151548</v>
      </c>
      <c r="L31" s="170">
        <f t="shared" si="4"/>
        <v>6652.9185449292045</v>
      </c>
      <c r="M31" s="170">
        <f t="shared" si="4"/>
        <v>6921.7255474939775</v>
      </c>
      <c r="N31" s="170">
        <f t="shared" si="4"/>
        <v>7217.4559366212661</v>
      </c>
      <c r="O31" s="170">
        <f t="shared" si="4"/>
        <v>7543.0146430049399</v>
      </c>
      <c r="P31" s="170">
        <f t="shared" si="4"/>
        <v>7901.448144259266</v>
      </c>
      <c r="Q31" s="170">
        <f t="shared" si="4"/>
        <v>8295.9893104758703</v>
      </c>
      <c r="R31" s="170">
        <f t="shared" si="4"/>
        <v>8730.0995853650966</v>
      </c>
      <c r="S31" s="170">
        <f t="shared" si="4"/>
        <v>9207.509795187234</v>
      </c>
      <c r="T31" s="170">
        <f t="shared" si="4"/>
        <v>9732.2606622277453</v>
      </c>
      <c r="U31" s="170">
        <f t="shared" si="4"/>
        <v>10308.74393832392</v>
      </c>
      <c r="V31" s="170">
        <f t="shared" si="4"/>
        <v>10941.744955655548</v>
      </c>
      <c r="W31" s="170">
        <f t="shared" si="4"/>
        <v>11636.487307959047</v>
      </c>
      <c r="X31" s="170">
        <f t="shared" si="4"/>
        <v>12398.680318792532</v>
      </c>
      <c r="Y31" s="170">
        <f t="shared" si="4"/>
        <v>13234.569919307087</v>
      </c>
      <c r="Z31" s="170">
        <f t="shared" si="4"/>
        <v>14150.993542230433</v>
      </c>
      <c r="AA31" s="170">
        <f t="shared" si="4"/>
        <v>15155.439638469732</v>
      </c>
      <c r="AB31" s="141" t="s">
        <v>900</v>
      </c>
      <c r="AC31" s="141" t="s">
        <v>877</v>
      </c>
    </row>
    <row r="32" spans="1:29" s="3" customFormat="1" ht="1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row>
    <row r="33" spans="1:29" s="3" customFormat="1" ht="13.2">
      <c r="A33" s="105" t="s">
        <v>901</v>
      </c>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row>
    <row r="34" spans="1:29" s="3" customFormat="1" ht="13.2">
      <c r="A34" s="141" t="s">
        <v>902</v>
      </c>
      <c r="B34" s="141" t="s">
        <v>751</v>
      </c>
      <c r="C34" s="141" t="s">
        <v>64</v>
      </c>
      <c r="D34" s="171">
        <f>D10</f>
        <v>16366</v>
      </c>
      <c r="E34" s="171">
        <f t="shared" ref="E34:AA34" si="5">E10</f>
        <v>17340.12</v>
      </c>
      <c r="F34" s="171">
        <f t="shared" si="5"/>
        <v>18292.052800000001</v>
      </c>
      <c r="G34" s="171">
        <f t="shared" si="5"/>
        <v>19258.163064</v>
      </c>
      <c r="H34" s="171">
        <f t="shared" si="5"/>
        <v>20268.971845359996</v>
      </c>
      <c r="I34" s="171">
        <f t="shared" si="5"/>
        <v>21350.699465911199</v>
      </c>
      <c r="J34" s="171">
        <f t="shared" si="5"/>
        <v>22526.490941095286</v>
      </c>
      <c r="K34" s="171">
        <f t="shared" si="5"/>
        <v>23817.396126276002</v>
      </c>
      <c r="L34" s="171">
        <f t="shared" si="5"/>
        <v>25243.16109998972</v>
      </c>
      <c r="M34" s="171">
        <f t="shared" si="5"/>
        <v>26822.875107936055</v>
      </c>
      <c r="N34" s="171">
        <f t="shared" si="5"/>
        <v>28575.507906303072</v>
      </c>
      <c r="O34" s="171">
        <f t="shared" si="5"/>
        <v>30520.364971486611</v>
      </c>
      <c r="P34" s="171">
        <f t="shared" si="5"/>
        <v>32677.482323029097</v>
      </c>
      <c r="Q34" s="171">
        <f t="shared" si="5"/>
        <v>35067.978277288836</v>
      </c>
      <c r="R34" s="171">
        <f t="shared" si="5"/>
        <v>37714.37603014693</v>
      </c>
      <c r="S34" s="171">
        <f t="shared" si="5"/>
        <v>40640.908339256464</v>
      </c>
      <c r="T34" s="171">
        <f t="shared" si="5"/>
        <v>43873.813569694663</v>
      </c>
      <c r="U34" s="171">
        <f t="shared" si="5"/>
        <v>47441.630848990513</v>
      </c>
      <c r="V34" s="171">
        <f t="shared" si="5"/>
        <v>51375.500945519852</v>
      </c>
      <c r="W34" s="171">
        <f t="shared" si="5"/>
        <v>55709.478658430737</v>
      </c>
      <c r="X34" s="171">
        <f t="shared" si="5"/>
        <v>60480.86192589064</v>
      </c>
      <c r="Y34" s="171">
        <f t="shared" si="5"/>
        <v>65730.542473974434</v>
      </c>
      <c r="Z34" s="171">
        <f t="shared" si="5"/>
        <v>71503.382604466475</v>
      </c>
      <c r="AA34" s="171">
        <f t="shared" si="5"/>
        <v>77848.622628463883</v>
      </c>
      <c r="AB34" s="172"/>
      <c r="AC34" s="172"/>
    </row>
    <row r="35" spans="1:29" s="3" customFormat="1" ht="13.2">
      <c r="A35" s="141" t="s">
        <v>902</v>
      </c>
      <c r="B35" s="141" t="s">
        <v>752</v>
      </c>
      <c r="C35" s="141" t="s">
        <v>64</v>
      </c>
      <c r="D35" s="171">
        <f>D11</f>
        <v>28242.95</v>
      </c>
      <c r="E35" s="171">
        <f t="shared" ref="E35:AA35" si="6">E11</f>
        <v>29099.308875000002</v>
      </c>
      <c r="F35" s="171">
        <f t="shared" si="6"/>
        <v>30036.000680937501</v>
      </c>
      <c r="G35" s="171">
        <f t="shared" si="6"/>
        <v>31052.591746211721</v>
      </c>
      <c r="H35" s="171">
        <f t="shared" si="6"/>
        <v>32151.090628430899</v>
      </c>
      <c r="I35" s="171">
        <f t="shared" si="6"/>
        <v>33335.540877833446</v>
      </c>
      <c r="J35" s="171">
        <f t="shared" si="6"/>
        <v>34611.719903770856</v>
      </c>
      <c r="K35" s="171">
        <f t="shared" si="6"/>
        <v>35986.921795060829</v>
      </c>
      <c r="L35" s="171">
        <f t="shared" si="6"/>
        <v>37469.806948801022</v>
      </c>
      <c r="M35" s="171">
        <f t="shared" si="6"/>
        <v>39070.305276433239</v>
      </c>
      <c r="N35" s="171">
        <f t="shared" si="6"/>
        <v>40799.562821329979</v>
      </c>
      <c r="O35" s="171">
        <f t="shared" si="6"/>
        <v>42669.92402692193</v>
      </c>
      <c r="P35" s="171">
        <f t="shared" si="6"/>
        <v>44694.943785141622</v>
      </c>
      <c r="Q35" s="171">
        <f t="shared" si="6"/>
        <v>46889.424886317975</v>
      </c>
      <c r="R35" s="171">
        <f t="shared" si="6"/>
        <v>49269.477673144196</v>
      </c>
      <c r="S35" s="171">
        <f t="shared" si="6"/>
        <v>51852.599642946785</v>
      </c>
      <c r="T35" s="171">
        <f t="shared" si="6"/>
        <v>54657.773498971634</v>
      </c>
      <c r="U35" s="171">
        <f t="shared" si="6"/>
        <v>57705.582765682811</v>
      </c>
      <c r="V35" s="171">
        <f t="shared" si="6"/>
        <v>61018.344588820095</v>
      </c>
      <c r="W35" s="171">
        <f t="shared" si="6"/>
        <v>64620.259764684219</v>
      </c>
      <c r="X35" s="171">
        <f t="shared" si="6"/>
        <v>68537.580405738467</v>
      </c>
      <c r="Y35" s="171">
        <f t="shared" si="6"/>
        <v>72798.79596773519</v>
      </c>
      <c r="Z35" s="171">
        <f t="shared" si="6"/>
        <v>77434.838650449834</v>
      </c>
      <c r="AA35" s="171">
        <f t="shared" si="6"/>
        <v>82479.309450413566</v>
      </c>
      <c r="AB35" s="172"/>
      <c r="AC35" s="172"/>
    </row>
    <row r="36" spans="1:29" s="3" customFormat="1" ht="39.6">
      <c r="A36" s="141" t="s">
        <v>902</v>
      </c>
      <c r="B36" s="141" t="s">
        <v>903</v>
      </c>
      <c r="C36" s="141" t="s">
        <v>64</v>
      </c>
      <c r="D36" s="173">
        <f>D34+D35</f>
        <v>44608.95</v>
      </c>
      <c r="E36" s="173">
        <f t="shared" ref="E36:AA36" si="7">E34+E35</f>
        <v>46439.428874999998</v>
      </c>
      <c r="F36" s="173">
        <f t="shared" si="7"/>
        <v>48328.053480937502</v>
      </c>
      <c r="G36" s="173">
        <f t="shared" si="7"/>
        <v>50310.754810211722</v>
      </c>
      <c r="H36" s="173">
        <f t="shared" si="7"/>
        <v>52420.062473790895</v>
      </c>
      <c r="I36" s="173">
        <f t="shared" si="7"/>
        <v>54686.240343744648</v>
      </c>
      <c r="J36" s="173">
        <f t="shared" si="7"/>
        <v>57138.210844866146</v>
      </c>
      <c r="K36" s="173">
        <f t="shared" si="7"/>
        <v>59804.317921336828</v>
      </c>
      <c r="L36" s="173">
        <f t="shared" si="7"/>
        <v>62712.968048790746</v>
      </c>
      <c r="M36" s="173">
        <f t="shared" si="7"/>
        <v>65893.180384369291</v>
      </c>
      <c r="N36" s="173">
        <f t="shared" si="7"/>
        <v>69375.07072763305</v>
      </c>
      <c r="O36" s="173">
        <f t="shared" si="7"/>
        <v>73190.288998408534</v>
      </c>
      <c r="P36" s="173">
        <f t="shared" si="7"/>
        <v>77372.426108170723</v>
      </c>
      <c r="Q36" s="173">
        <f t="shared" si="7"/>
        <v>81957.40316360681</v>
      </c>
      <c r="R36" s="173">
        <f t="shared" si="7"/>
        <v>86983.853703291126</v>
      </c>
      <c r="S36" s="173">
        <f t="shared" si="7"/>
        <v>92493.507982203242</v>
      </c>
      <c r="T36" s="173">
        <f t="shared" si="7"/>
        <v>98531.587068666297</v>
      </c>
      <c r="U36" s="173">
        <f t="shared" si="7"/>
        <v>105147.21361467332</v>
      </c>
      <c r="V36" s="173">
        <f t="shared" si="7"/>
        <v>112393.84553433995</v>
      </c>
      <c r="W36" s="173">
        <f t="shared" si="7"/>
        <v>120329.73842311496</v>
      </c>
      <c r="X36" s="173">
        <f t="shared" si="7"/>
        <v>129018.44233162911</v>
      </c>
      <c r="Y36" s="173">
        <f t="shared" si="7"/>
        <v>138529.33844170964</v>
      </c>
      <c r="Z36" s="173">
        <f t="shared" si="7"/>
        <v>148938.22125491631</v>
      </c>
      <c r="AA36" s="173">
        <f t="shared" si="7"/>
        <v>160327.93207887746</v>
      </c>
      <c r="AB36" s="141" t="s">
        <v>904</v>
      </c>
      <c r="AC36" s="141" t="s">
        <v>877</v>
      </c>
    </row>
    <row r="37" spans="1:29" s="3" customFormat="1" ht="26.4">
      <c r="A37" s="141" t="s">
        <v>902</v>
      </c>
      <c r="B37" s="141" t="s">
        <v>267</v>
      </c>
      <c r="C37" s="141" t="s">
        <v>173</v>
      </c>
      <c r="D37" s="174">
        <f>INDEX('1. Assumptions'!$G:$G,MATCH($B37,'1. Assumptions'!$B:$B,0))</f>
        <v>2.9000000000000001E-2</v>
      </c>
      <c r="E37" s="174">
        <f>INDEX('1. Assumptions'!$G:$G,MATCH($B37,'1. Assumptions'!$B:$B,0))</f>
        <v>2.9000000000000001E-2</v>
      </c>
      <c r="F37" s="174">
        <f>INDEX('1. Assumptions'!$G:$G,MATCH($B37,'1. Assumptions'!$B:$B,0))</f>
        <v>2.9000000000000001E-2</v>
      </c>
      <c r="G37" s="174">
        <f>INDEX('1. Assumptions'!$G:$G,MATCH($B37,'1. Assumptions'!$B:$B,0))</f>
        <v>2.9000000000000001E-2</v>
      </c>
      <c r="H37" s="174">
        <f>INDEX('1. Assumptions'!$G:$G,MATCH($B37,'1. Assumptions'!$B:$B,0))</f>
        <v>2.9000000000000001E-2</v>
      </c>
      <c r="I37" s="174">
        <f>INDEX('1. Assumptions'!$G:$G,MATCH($B37,'1. Assumptions'!$B:$B,0))</f>
        <v>2.9000000000000001E-2</v>
      </c>
      <c r="J37" s="174">
        <f>INDEX('1. Assumptions'!$G:$G,MATCH($B37,'1. Assumptions'!$B:$B,0))</f>
        <v>2.9000000000000001E-2</v>
      </c>
      <c r="K37" s="174">
        <f>INDEX('1. Assumptions'!$G:$G,MATCH($B37,'1. Assumptions'!$B:$B,0))</f>
        <v>2.9000000000000001E-2</v>
      </c>
      <c r="L37" s="174">
        <f>INDEX('1. Assumptions'!$G:$G,MATCH($B37,'1. Assumptions'!$B:$B,0))</f>
        <v>2.9000000000000001E-2</v>
      </c>
      <c r="M37" s="174">
        <f>INDEX('1. Assumptions'!$G:$G,MATCH($B37,'1. Assumptions'!$B:$B,0))</f>
        <v>2.9000000000000001E-2</v>
      </c>
      <c r="N37" s="174">
        <f>INDEX('1. Assumptions'!$G:$G,MATCH($B37,'1. Assumptions'!$B:$B,0))</f>
        <v>2.9000000000000001E-2</v>
      </c>
      <c r="O37" s="174">
        <f>INDEX('1. Assumptions'!$G:$G,MATCH($B37,'1. Assumptions'!$B:$B,0))</f>
        <v>2.9000000000000001E-2</v>
      </c>
      <c r="P37" s="174">
        <f>INDEX('1. Assumptions'!$G:$G,MATCH($B37,'1. Assumptions'!$B:$B,0))</f>
        <v>2.9000000000000001E-2</v>
      </c>
      <c r="Q37" s="174">
        <f>INDEX('1. Assumptions'!$G:$G,MATCH($B37,'1. Assumptions'!$B:$B,0))</f>
        <v>2.9000000000000001E-2</v>
      </c>
      <c r="R37" s="174">
        <f>INDEX('1. Assumptions'!$G:$G,MATCH($B37,'1. Assumptions'!$B:$B,0))</f>
        <v>2.9000000000000001E-2</v>
      </c>
      <c r="S37" s="174">
        <f>INDEX('1. Assumptions'!$G:$G,MATCH($B37,'1. Assumptions'!$B:$B,0))</f>
        <v>2.9000000000000001E-2</v>
      </c>
      <c r="T37" s="174">
        <f>INDEX('1. Assumptions'!$G:$G,MATCH($B37,'1. Assumptions'!$B:$B,0))</f>
        <v>2.9000000000000001E-2</v>
      </c>
      <c r="U37" s="174">
        <f>INDEX('1. Assumptions'!$G:$G,MATCH($B37,'1. Assumptions'!$B:$B,0))</f>
        <v>2.9000000000000001E-2</v>
      </c>
      <c r="V37" s="174">
        <f>INDEX('1. Assumptions'!$G:$G,MATCH($B37,'1. Assumptions'!$B:$B,0))</f>
        <v>2.9000000000000001E-2</v>
      </c>
      <c r="W37" s="174">
        <f>INDEX('1. Assumptions'!$G:$G,MATCH($B37,'1. Assumptions'!$B:$B,0))</f>
        <v>2.9000000000000001E-2</v>
      </c>
      <c r="X37" s="174">
        <f>INDEX('1. Assumptions'!$G:$G,MATCH($B37,'1. Assumptions'!$B:$B,0))</f>
        <v>2.9000000000000001E-2</v>
      </c>
      <c r="Y37" s="174">
        <f>INDEX('1. Assumptions'!$G:$G,MATCH($B37,'1. Assumptions'!$B:$B,0))</f>
        <v>2.9000000000000001E-2</v>
      </c>
      <c r="Z37" s="174">
        <f>INDEX('1. Assumptions'!$G:$G,MATCH($B37,'1. Assumptions'!$B:$B,0))</f>
        <v>2.9000000000000001E-2</v>
      </c>
      <c r="AA37" s="174">
        <f>INDEX('1. Assumptions'!$G:$G,MATCH($B37,'1. Assumptions'!$B:$B,0))</f>
        <v>2.9000000000000001E-2</v>
      </c>
      <c r="AB37" s="141" t="s">
        <v>905</v>
      </c>
      <c r="AC37" s="141" t="s">
        <v>880</v>
      </c>
    </row>
    <row r="38" spans="1:29" s="3" customFormat="1" ht="26.4">
      <c r="A38" s="141" t="s">
        <v>902</v>
      </c>
      <c r="B38" s="141" t="s">
        <v>906</v>
      </c>
      <c r="C38" s="141" t="s">
        <v>64</v>
      </c>
      <c r="D38" s="175">
        <f>D36*D37</f>
        <v>1293.6595500000001</v>
      </c>
      <c r="E38" s="175">
        <f t="shared" ref="E38:AA38" si="8">E36*E37</f>
        <v>1346.743437375</v>
      </c>
      <c r="F38" s="175">
        <f t="shared" si="8"/>
        <v>1401.5135509471877</v>
      </c>
      <c r="G38" s="175">
        <f t="shared" si="8"/>
        <v>1459.0118894961399</v>
      </c>
      <c r="H38" s="175">
        <f t="shared" si="8"/>
        <v>1520.1818117399359</v>
      </c>
      <c r="I38" s="175">
        <f t="shared" si="8"/>
        <v>1585.9009699685948</v>
      </c>
      <c r="J38" s="175">
        <f t="shared" si="8"/>
        <v>1657.0081145011184</v>
      </c>
      <c r="K38" s="175">
        <f t="shared" si="8"/>
        <v>1734.325219718768</v>
      </c>
      <c r="L38" s="175">
        <f t="shared" si="8"/>
        <v>1818.6760734149318</v>
      </c>
      <c r="M38" s="175">
        <f t="shared" si="8"/>
        <v>1910.9022311467095</v>
      </c>
      <c r="N38" s="175">
        <f t="shared" si="8"/>
        <v>2011.8770511013586</v>
      </c>
      <c r="O38" s="175">
        <f t="shared" si="8"/>
        <v>2122.5183809538476</v>
      </c>
      <c r="P38" s="175">
        <f t="shared" si="8"/>
        <v>2243.8003571369509</v>
      </c>
      <c r="Q38" s="175">
        <f t="shared" si="8"/>
        <v>2376.7646917445977</v>
      </c>
      <c r="R38" s="175">
        <f t="shared" si="8"/>
        <v>2522.5317573954426</v>
      </c>
      <c r="S38" s="175">
        <f t="shared" si="8"/>
        <v>2682.3117314838942</v>
      </c>
      <c r="T38" s="175">
        <f t="shared" si="8"/>
        <v>2857.416024991323</v>
      </c>
      <c r="U38" s="175">
        <f t="shared" si="8"/>
        <v>3049.2691948255265</v>
      </c>
      <c r="V38" s="175">
        <f t="shared" si="8"/>
        <v>3259.4215204958587</v>
      </c>
      <c r="W38" s="175">
        <f t="shared" si="8"/>
        <v>3489.5624142703341</v>
      </c>
      <c r="X38" s="175">
        <f t="shared" si="8"/>
        <v>3741.5348276172444</v>
      </c>
      <c r="Y38" s="175">
        <f t="shared" si="8"/>
        <v>4017.3508148095798</v>
      </c>
      <c r="Z38" s="175">
        <f t="shared" si="8"/>
        <v>4319.2084163925729</v>
      </c>
      <c r="AA38" s="175">
        <f t="shared" si="8"/>
        <v>4649.5100302874471</v>
      </c>
      <c r="AB38" s="141" t="s">
        <v>907</v>
      </c>
      <c r="AC38" s="141" t="s">
        <v>877</v>
      </c>
    </row>
    <row r="39" spans="1:29" s="3" customFormat="1" ht="13.2">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row>
    <row r="40" spans="1:29" s="3" customFormat="1" ht="13.2">
      <c r="A40" s="105" t="s">
        <v>908</v>
      </c>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row>
    <row r="41" spans="1:29" s="142" customFormat="1" ht="13.2">
      <c r="A41" s="141" t="s">
        <v>909</v>
      </c>
      <c r="B41" s="176" t="s">
        <v>799</v>
      </c>
      <c r="C41" s="176" t="s">
        <v>79</v>
      </c>
      <c r="D41" s="177">
        <f>D18</f>
        <v>524</v>
      </c>
      <c r="E41" s="177">
        <f t="shared" ref="E41:AA41" si="9">E18</f>
        <v>550.09519662384469</v>
      </c>
      <c r="F41" s="177">
        <f t="shared" si="9"/>
        <v>576.28481576099432</v>
      </c>
      <c r="G41" s="177">
        <f t="shared" si="9"/>
        <v>603.30932210290678</v>
      </c>
      <c r="H41" s="177">
        <f t="shared" si="9"/>
        <v>631.80628983455199</v>
      </c>
      <c r="I41" s="177">
        <f t="shared" si="9"/>
        <v>663.33919813093905</v>
      </c>
      <c r="J41" s="177">
        <f t="shared" si="9"/>
        <v>697.47700076684498</v>
      </c>
      <c r="K41" s="177">
        <f t="shared" si="9"/>
        <v>734.7037431358591</v>
      </c>
      <c r="L41" s="177">
        <f t="shared" si="9"/>
        <v>775.48642415486745</v>
      </c>
      <c r="M41" s="177">
        <f t="shared" si="9"/>
        <v>820.28759124899625</v>
      </c>
      <c r="N41" s="177">
        <f t="shared" si="9"/>
        <v>869.57598943687765</v>
      </c>
      <c r="O41" s="177">
        <f t="shared" si="9"/>
        <v>923.83577383415661</v>
      </c>
      <c r="P41" s="177">
        <f t="shared" si="9"/>
        <v>983.57469070987759</v>
      </c>
      <c r="Q41" s="177">
        <f t="shared" si="9"/>
        <v>1049.3315517459782</v>
      </c>
      <c r="R41" s="177">
        <f t="shared" si="9"/>
        <v>1121.683264227516</v>
      </c>
      <c r="S41" s="177">
        <f t="shared" si="9"/>
        <v>1201.2516325312058</v>
      </c>
      <c r="T41" s="177">
        <f t="shared" si="9"/>
        <v>1288.710110371291</v>
      </c>
      <c r="U41" s="177">
        <f t="shared" si="9"/>
        <v>1384.79065638732</v>
      </c>
      <c r="V41" s="177">
        <f t="shared" si="9"/>
        <v>1490.2908259425913</v>
      </c>
      <c r="W41" s="177">
        <f t="shared" si="9"/>
        <v>1606.0812179931745</v>
      </c>
      <c r="X41" s="177">
        <f t="shared" si="9"/>
        <v>1733.1133864654221</v>
      </c>
      <c r="Y41" s="177">
        <f t="shared" si="9"/>
        <v>1872.4283198845144</v>
      </c>
      <c r="Z41" s="177">
        <f t="shared" si="9"/>
        <v>2025.1655903717387</v>
      </c>
      <c r="AA41" s="177">
        <f t="shared" si="9"/>
        <v>2192.5732730782888</v>
      </c>
      <c r="AB41" s="176"/>
      <c r="AC41" s="176"/>
    </row>
    <row r="42" spans="1:29" s="3" customFormat="1" ht="26.4">
      <c r="A42" s="141" t="s">
        <v>909</v>
      </c>
      <c r="B42" s="141" t="s">
        <v>270</v>
      </c>
      <c r="C42" s="141" t="s">
        <v>264</v>
      </c>
      <c r="D42" s="168">
        <f>INDEX('1. Assumptions'!$G:$G,MATCH($B42,'1. Assumptions'!$B:$B,0))</f>
        <v>3</v>
      </c>
      <c r="E42" s="168">
        <f>INDEX('1. Assumptions'!$G:$G,MATCH($B42,'1. Assumptions'!$B:$B,0))</f>
        <v>3</v>
      </c>
      <c r="F42" s="168">
        <f>INDEX('1. Assumptions'!$G:$G,MATCH($B42,'1. Assumptions'!$B:$B,0))</f>
        <v>3</v>
      </c>
      <c r="G42" s="168">
        <f>INDEX('1. Assumptions'!$G:$G,MATCH($B42,'1. Assumptions'!$B:$B,0))</f>
        <v>3</v>
      </c>
      <c r="H42" s="168">
        <f>INDEX('1. Assumptions'!$G:$G,MATCH($B42,'1. Assumptions'!$B:$B,0))</f>
        <v>3</v>
      </c>
      <c r="I42" s="168">
        <f>INDEX('1. Assumptions'!$G:$G,MATCH($B42,'1. Assumptions'!$B:$B,0))</f>
        <v>3</v>
      </c>
      <c r="J42" s="168">
        <f>INDEX('1. Assumptions'!$G:$G,MATCH($B42,'1. Assumptions'!$B:$B,0))</f>
        <v>3</v>
      </c>
      <c r="K42" s="168">
        <f>INDEX('1. Assumptions'!$G:$G,MATCH($B42,'1. Assumptions'!$B:$B,0))</f>
        <v>3</v>
      </c>
      <c r="L42" s="168">
        <f>INDEX('1. Assumptions'!$G:$G,MATCH($B42,'1. Assumptions'!$B:$B,0))</f>
        <v>3</v>
      </c>
      <c r="M42" s="168">
        <f>INDEX('1. Assumptions'!$G:$G,MATCH($B42,'1. Assumptions'!$B:$B,0))</f>
        <v>3</v>
      </c>
      <c r="N42" s="168">
        <f>INDEX('1. Assumptions'!$G:$G,MATCH($B42,'1. Assumptions'!$B:$B,0))</f>
        <v>3</v>
      </c>
      <c r="O42" s="168">
        <f>INDEX('1. Assumptions'!$G:$G,MATCH($B42,'1. Assumptions'!$B:$B,0))</f>
        <v>3</v>
      </c>
      <c r="P42" s="168">
        <f>INDEX('1. Assumptions'!$G:$G,MATCH($B42,'1. Assumptions'!$B:$B,0))</f>
        <v>3</v>
      </c>
      <c r="Q42" s="168">
        <f>INDEX('1. Assumptions'!$G:$G,MATCH($B42,'1. Assumptions'!$B:$B,0))</f>
        <v>3</v>
      </c>
      <c r="R42" s="168">
        <f>INDEX('1. Assumptions'!$G:$G,MATCH($B42,'1. Assumptions'!$B:$B,0))</f>
        <v>3</v>
      </c>
      <c r="S42" s="168">
        <f>INDEX('1. Assumptions'!$G:$G,MATCH($B42,'1. Assumptions'!$B:$B,0))</f>
        <v>3</v>
      </c>
      <c r="T42" s="168">
        <f>INDEX('1. Assumptions'!$G:$G,MATCH($B42,'1. Assumptions'!$B:$B,0))</f>
        <v>3</v>
      </c>
      <c r="U42" s="168">
        <f>INDEX('1. Assumptions'!$G:$G,MATCH($B42,'1. Assumptions'!$B:$B,0))</f>
        <v>3</v>
      </c>
      <c r="V42" s="168">
        <f>INDEX('1. Assumptions'!$G:$G,MATCH($B42,'1. Assumptions'!$B:$B,0))</f>
        <v>3</v>
      </c>
      <c r="W42" s="168">
        <f>INDEX('1. Assumptions'!$G:$G,MATCH($B42,'1. Assumptions'!$B:$B,0))</f>
        <v>3</v>
      </c>
      <c r="X42" s="168">
        <f>INDEX('1. Assumptions'!$G:$G,MATCH($B42,'1. Assumptions'!$B:$B,0))</f>
        <v>3</v>
      </c>
      <c r="Y42" s="168">
        <f>INDEX('1. Assumptions'!$G:$G,MATCH($B42,'1. Assumptions'!$B:$B,0))</f>
        <v>3</v>
      </c>
      <c r="Z42" s="168">
        <f>INDEX('1. Assumptions'!$G:$G,MATCH($B42,'1. Assumptions'!$B:$B,0))</f>
        <v>3</v>
      </c>
      <c r="AA42" s="168">
        <f>INDEX('1. Assumptions'!$G:$G,MATCH($B42,'1. Assumptions'!$B:$B,0))</f>
        <v>3</v>
      </c>
      <c r="AB42" s="141" t="s">
        <v>910</v>
      </c>
      <c r="AC42" s="141" t="s">
        <v>880</v>
      </c>
    </row>
    <row r="43" spans="1:29" s="3" customFormat="1" ht="39.6">
      <c r="A43" s="141" t="s">
        <v>909</v>
      </c>
      <c r="B43" s="141" t="s">
        <v>911</v>
      </c>
      <c r="C43" s="141" t="s">
        <v>64</v>
      </c>
      <c r="D43" s="175">
        <f>D41*D42</f>
        <v>1572</v>
      </c>
      <c r="E43" s="175">
        <f t="shared" ref="E43:AA43" si="10">E41*E42</f>
        <v>1650.2855898715341</v>
      </c>
      <c r="F43" s="175">
        <f t="shared" si="10"/>
        <v>1728.8544472829831</v>
      </c>
      <c r="G43" s="175">
        <f t="shared" si="10"/>
        <v>1809.9279663087204</v>
      </c>
      <c r="H43" s="175">
        <f t="shared" si="10"/>
        <v>1895.418869503656</v>
      </c>
      <c r="I43" s="175">
        <f t="shared" si="10"/>
        <v>1990.017594392817</v>
      </c>
      <c r="J43" s="175">
        <f t="shared" si="10"/>
        <v>2092.4310023005351</v>
      </c>
      <c r="K43" s="175">
        <f t="shared" si="10"/>
        <v>2204.1112294075774</v>
      </c>
      <c r="L43" s="175">
        <f t="shared" si="10"/>
        <v>2326.4592724646022</v>
      </c>
      <c r="M43" s="175">
        <f t="shared" si="10"/>
        <v>2460.8627737469888</v>
      </c>
      <c r="N43" s="175">
        <f t="shared" si="10"/>
        <v>2608.7279683106331</v>
      </c>
      <c r="O43" s="175">
        <f t="shared" si="10"/>
        <v>2771.5073215024699</v>
      </c>
      <c r="P43" s="175">
        <f t="shared" si="10"/>
        <v>2950.724072129633</v>
      </c>
      <c r="Q43" s="175">
        <f t="shared" si="10"/>
        <v>3147.9946552379347</v>
      </c>
      <c r="R43" s="175">
        <f t="shared" si="10"/>
        <v>3365.0497926825483</v>
      </c>
      <c r="S43" s="175">
        <f t="shared" si="10"/>
        <v>3603.7548975936174</v>
      </c>
      <c r="T43" s="175">
        <f t="shared" si="10"/>
        <v>3866.1303311138727</v>
      </c>
      <c r="U43" s="175">
        <f t="shared" si="10"/>
        <v>4154.3719691619599</v>
      </c>
      <c r="V43" s="175">
        <f t="shared" si="10"/>
        <v>4470.8724778277738</v>
      </c>
      <c r="W43" s="175">
        <f t="shared" si="10"/>
        <v>4818.2436539795235</v>
      </c>
      <c r="X43" s="175">
        <f t="shared" si="10"/>
        <v>5199.3401593962662</v>
      </c>
      <c r="Y43" s="175">
        <f t="shared" si="10"/>
        <v>5617.2849596535434</v>
      </c>
      <c r="Z43" s="175">
        <f t="shared" si="10"/>
        <v>6075.4967711152167</v>
      </c>
      <c r="AA43" s="175">
        <f t="shared" si="10"/>
        <v>6577.719819234866</v>
      </c>
      <c r="AB43" s="141" t="s">
        <v>912</v>
      </c>
      <c r="AC43" s="141" t="s">
        <v>877</v>
      </c>
    </row>
    <row r="44" spans="1:29" s="3" customFormat="1" ht="13.2">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row>
    <row r="45" spans="1:29" s="3" customFormat="1" ht="13.2">
      <c r="A45" s="105" t="s">
        <v>913</v>
      </c>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row>
    <row r="46" spans="1:29" s="3" customFormat="1" ht="13.2">
      <c r="A46" s="141" t="s">
        <v>914</v>
      </c>
      <c r="B46" s="141" t="s">
        <v>947</v>
      </c>
      <c r="C46" s="141" t="s">
        <v>88</v>
      </c>
      <c r="D46" s="178">
        <f>'4. Headcount'!D73*(1+INDEX('1. Assumptions'!$G:$G,MATCH("Benefits Load (% of salary)",'1. Assumptions'!$B:$B,0)))+'4. Headcount'!D50*INDEX('1. Assumptions'!$G:$G,MATCH("Tools &amp; Equipment ($/employee/year)",'1. Assumptions'!$B:$B,0))/12</f>
        <v>0</v>
      </c>
      <c r="E46" s="178">
        <f>'4. Headcount'!E73*(1+INDEX('1. Assumptions'!$G:$G,MATCH("Benefits Load (% of salary)",'1. Assumptions'!$B:$B,0)))+'4. Headcount'!E50*INDEX('1. Assumptions'!$G:$G,MATCH("Tools &amp; Equipment ($/employee/year)",'1. Assumptions'!$B:$B,0))/12</f>
        <v>0</v>
      </c>
      <c r="F46" s="178">
        <f>'4. Headcount'!F73*(1+INDEX('1. Assumptions'!$G:$G,MATCH("Benefits Load (% of salary)",'1. Assumptions'!$B:$B,0)))+'4. Headcount'!F50*INDEX('1. Assumptions'!$G:$G,MATCH("Tools &amp; Equipment ($/employee/year)",'1. Assumptions'!$B:$B,0))/12</f>
        <v>0</v>
      </c>
      <c r="G46" s="178">
        <f>'4. Headcount'!G73*(1+INDEX('1. Assumptions'!$G:$G,MATCH("Benefits Load (% of salary)",'1. Assumptions'!$B:$B,0)))+'4. Headcount'!G50*INDEX('1. Assumptions'!$G:$G,MATCH("Tools &amp; Equipment ($/employee/year)",'1. Assumptions'!$B:$B,0))/12</f>
        <v>0</v>
      </c>
      <c r="H46" s="178">
        <f>'4. Headcount'!H73*(1+INDEX('1. Assumptions'!$G:$G,MATCH("Benefits Load (% of salary)",'1. Assumptions'!$B:$B,0)))+'4. Headcount'!H50*INDEX('1. Assumptions'!$G:$G,MATCH("Tools &amp; Equipment ($/employee/year)",'1. Assumptions'!$B:$B,0))/12</f>
        <v>0</v>
      </c>
      <c r="I46" s="178">
        <f>'4. Headcount'!I73*(1+INDEX('1. Assumptions'!$G:$G,MATCH("Benefits Load (% of salary)",'1. Assumptions'!$B:$B,0)))+'4. Headcount'!I50*INDEX('1. Assumptions'!$G:$G,MATCH("Tools &amp; Equipment ($/employee/year)",'1. Assumptions'!$B:$B,0))/12</f>
        <v>0</v>
      </c>
      <c r="J46" s="178">
        <f>'4. Headcount'!J73*(1+INDEX('1. Assumptions'!$G:$G,MATCH("Benefits Load (% of salary)",'1. Assumptions'!$B:$B,0)))+'4. Headcount'!J50*INDEX('1. Assumptions'!$G:$G,MATCH("Tools &amp; Equipment ($/employee/year)",'1. Assumptions'!$B:$B,0))/12</f>
        <v>0</v>
      </c>
      <c r="K46" s="163">
        <f>'4. Headcount'!K73*(1+INDEX('1. Assumptions'!$G:$G,MATCH("Benefits Load (% of salary)",'1. Assumptions'!$B:$B,0)))+'4. Headcount'!K50*INDEX('1. Assumptions'!$G:$G,MATCH("Tools &amp; Equipment ($/employee/year)",'1. Assumptions'!$B:$B,0))/12</f>
        <v>8666.6666666666661</v>
      </c>
      <c r="L46" s="163">
        <f>'4. Headcount'!L73*(1+INDEX('1. Assumptions'!$G:$G,MATCH("Benefits Load (% of salary)",'1. Assumptions'!$B:$B,0)))+'4. Headcount'!L50*INDEX('1. Assumptions'!$G:$G,MATCH("Tools &amp; Equipment ($/employee/year)",'1. Assumptions'!$B:$B,0))/12</f>
        <v>8666.6666666666661</v>
      </c>
      <c r="M46" s="163">
        <f>'4. Headcount'!M73*(1+INDEX('1. Assumptions'!$G:$G,MATCH("Benefits Load (% of salary)",'1. Assumptions'!$B:$B,0)))+'4. Headcount'!M50*INDEX('1. Assumptions'!$G:$G,MATCH("Tools &amp; Equipment ($/employee/year)",'1. Assumptions'!$B:$B,0))/12</f>
        <v>8666.6666666666661</v>
      </c>
      <c r="N46" s="163">
        <f>'4. Headcount'!N73*(1+INDEX('1. Assumptions'!$G:$G,MATCH("Benefits Load (% of salary)",'1. Assumptions'!$B:$B,0)))+'4. Headcount'!N50*INDEX('1. Assumptions'!$G:$G,MATCH("Tools &amp; Equipment ($/employee/year)",'1. Assumptions'!$B:$B,0))/12</f>
        <v>8666.6666666666661</v>
      </c>
      <c r="O46" s="163">
        <f>'4. Headcount'!O73*(1+INDEX('1. Assumptions'!$G:$G,MATCH("Benefits Load (% of salary)",'1. Assumptions'!$B:$B,0)))+'4. Headcount'!O50*INDEX('1. Assumptions'!$G:$G,MATCH("Tools &amp; Equipment ($/employee/year)",'1. Assumptions'!$B:$B,0))/12</f>
        <v>8666.6666666666661</v>
      </c>
      <c r="P46" s="163">
        <f>'4. Headcount'!P73*(1+INDEX('1. Assumptions'!$G:$G,MATCH("Benefits Load (% of salary)",'1. Assumptions'!$B:$B,0)))+'4. Headcount'!P50*INDEX('1. Assumptions'!$G:$G,MATCH("Tools &amp; Equipment ($/employee/year)",'1. Assumptions'!$B:$B,0))/12</f>
        <v>8666.6666666666661</v>
      </c>
      <c r="Q46" s="163">
        <f>'4. Headcount'!Q73*(1+INDEX('1. Assumptions'!$G:$G,MATCH("Benefits Load (% of salary)",'1. Assumptions'!$B:$B,0)))+'4. Headcount'!Q50*INDEX('1. Assumptions'!$G:$G,MATCH("Tools &amp; Equipment ($/employee/year)",'1. Assumptions'!$B:$B,0))/12</f>
        <v>8666.6666666666661</v>
      </c>
      <c r="R46" s="163">
        <f>'4. Headcount'!R73*(1+INDEX('1. Assumptions'!$G:$G,MATCH("Benefits Load (% of salary)",'1. Assumptions'!$B:$B,0)))+'4. Headcount'!R50*INDEX('1. Assumptions'!$G:$G,MATCH("Tools &amp; Equipment ($/employee/year)",'1. Assumptions'!$B:$B,0))/12</f>
        <v>8666.6666666666661</v>
      </c>
      <c r="S46" s="163">
        <f>'4. Headcount'!S73*(1+INDEX('1. Assumptions'!$G:$G,MATCH("Benefits Load (% of salary)",'1. Assumptions'!$B:$B,0)))+'4. Headcount'!S50*INDEX('1. Assumptions'!$G:$G,MATCH("Tools &amp; Equipment ($/employee/year)",'1. Assumptions'!$B:$B,0))/12</f>
        <v>8666.6666666666661</v>
      </c>
      <c r="T46" s="163">
        <f>'4. Headcount'!T73*(1+INDEX('1. Assumptions'!$G:$G,MATCH("Benefits Load (% of salary)",'1. Assumptions'!$B:$B,0)))+'4. Headcount'!T50*INDEX('1. Assumptions'!$G:$G,MATCH("Tools &amp; Equipment ($/employee/year)",'1. Assumptions'!$B:$B,0))/12</f>
        <v>8666.6666666666661</v>
      </c>
      <c r="U46" s="163">
        <f>'4. Headcount'!U73*(1+INDEX('1. Assumptions'!$G:$G,MATCH("Benefits Load (% of salary)",'1. Assumptions'!$B:$B,0)))+'4. Headcount'!U50*INDEX('1. Assumptions'!$G:$G,MATCH("Tools &amp; Equipment ($/employee/year)",'1. Assumptions'!$B:$B,0))/12</f>
        <v>8666.6666666666661</v>
      </c>
      <c r="V46" s="163">
        <f>'4. Headcount'!V73*(1+INDEX('1. Assumptions'!$G:$G,MATCH("Benefits Load (% of salary)",'1. Assumptions'!$B:$B,0)))+'4. Headcount'!V50*INDEX('1. Assumptions'!$G:$G,MATCH("Tools &amp; Equipment ($/employee/year)",'1. Assumptions'!$B:$B,0))/12</f>
        <v>8666.6666666666661</v>
      </c>
      <c r="W46" s="163">
        <f>'4. Headcount'!W73*(1+INDEX('1. Assumptions'!$G:$G,MATCH("Benefits Load (% of salary)",'1. Assumptions'!$B:$B,0)))+'4. Headcount'!W50*INDEX('1. Assumptions'!$G:$G,MATCH("Tools &amp; Equipment ($/employee/year)",'1. Assumptions'!$B:$B,0))/12</f>
        <v>8666.6666666666661</v>
      </c>
      <c r="X46" s="163">
        <f>'4. Headcount'!X73*(1+INDEX('1. Assumptions'!$G:$G,MATCH("Benefits Load (% of salary)",'1. Assumptions'!$B:$B,0)))+'4. Headcount'!X50*INDEX('1. Assumptions'!$G:$G,MATCH("Tools &amp; Equipment ($/employee/year)",'1. Assumptions'!$B:$B,0))/12</f>
        <v>8666.6666666666661</v>
      </c>
      <c r="Y46" s="163">
        <f>'4. Headcount'!Y73*(1+INDEX('1. Assumptions'!$G:$G,MATCH("Benefits Load (% of salary)",'1. Assumptions'!$B:$B,0)))+'4. Headcount'!Y50*INDEX('1. Assumptions'!$G:$G,MATCH("Tools &amp; Equipment ($/employee/year)",'1. Assumptions'!$B:$B,0))/12</f>
        <v>8666.6666666666661</v>
      </c>
      <c r="Z46" s="163">
        <f>'4. Headcount'!Z73*(1+INDEX('1. Assumptions'!$G:$G,MATCH("Benefits Load (% of salary)",'1. Assumptions'!$B:$B,0)))+'4. Headcount'!Z50*INDEX('1. Assumptions'!$G:$G,MATCH("Tools &amp; Equipment ($/employee/year)",'1. Assumptions'!$B:$B,0))/12</f>
        <v>8666.6666666666661</v>
      </c>
      <c r="AA46" s="163">
        <f>'4. Headcount'!AA73*(1+INDEX('1. Assumptions'!$G:$G,MATCH("Benefits Load (% of salary)",'1. Assumptions'!$B:$B,0)))+'4. Headcount'!AA50*INDEX('1. Assumptions'!$G:$G,MATCH("Tools &amp; Equipment ($/employee/year)",'1. Assumptions'!$B:$B,0))/12</f>
        <v>8666.6666666666661</v>
      </c>
      <c r="AB46" s="141" t="s">
        <v>915</v>
      </c>
      <c r="AC46" s="141" t="s">
        <v>916</v>
      </c>
    </row>
    <row r="47" spans="1:29" s="3" customFormat="1" ht="13.2">
      <c r="A47" s="141" t="s">
        <v>914</v>
      </c>
      <c r="B47" s="141" t="s">
        <v>948</v>
      </c>
      <c r="C47" s="141"/>
      <c r="D47" s="178">
        <f>'4. Headcount'!D77*(1+INDEX('1. Assumptions'!$G:$G,MATCH("Benefits Load (% of salary)",'1. Assumptions'!$B:$B,0)))+'4. Headcount'!D54*INDEX('1. Assumptions'!$G:$G,MATCH("Tools &amp; Equipment ($/employee/year)",'1. Assumptions'!$B:$B,0))/12</f>
        <v>0</v>
      </c>
      <c r="E47" s="178">
        <f>'4. Headcount'!E77*(1+INDEX('1. Assumptions'!$G:$G,MATCH("Benefits Load (% of salary)",'1. Assumptions'!$B:$B,0)))+'4. Headcount'!E54*INDEX('1. Assumptions'!$G:$G,MATCH("Tools &amp; Equipment ($/employee/year)",'1. Assumptions'!$B:$B,0))/12</f>
        <v>0</v>
      </c>
      <c r="F47" s="178">
        <f>'4. Headcount'!F77*(1+INDEX('1. Assumptions'!$G:$G,MATCH("Benefits Load (% of salary)",'1. Assumptions'!$B:$B,0)))+'4. Headcount'!F54*INDEX('1. Assumptions'!$G:$G,MATCH("Tools &amp; Equipment ($/employee/year)",'1. Assumptions'!$B:$B,0))/12</f>
        <v>0</v>
      </c>
      <c r="G47" s="178">
        <f>'4. Headcount'!G77*(1+INDEX('1. Assumptions'!$G:$G,MATCH("Benefits Load (% of salary)",'1. Assumptions'!$B:$B,0)))+'4. Headcount'!G54*INDEX('1. Assumptions'!$G:$G,MATCH("Tools &amp; Equipment ($/employee/year)",'1. Assumptions'!$B:$B,0))/12</f>
        <v>0</v>
      </c>
      <c r="H47" s="178">
        <f>'4. Headcount'!H77*(1+INDEX('1. Assumptions'!$G:$G,MATCH("Benefits Load (% of salary)",'1. Assumptions'!$B:$B,0)))+'4. Headcount'!H54*INDEX('1. Assumptions'!$G:$G,MATCH("Tools &amp; Equipment ($/employee/year)",'1. Assumptions'!$B:$B,0))/12</f>
        <v>0</v>
      </c>
      <c r="I47" s="178">
        <f>'4. Headcount'!I77*(1+INDEX('1. Assumptions'!$G:$G,MATCH("Benefits Load (% of salary)",'1. Assumptions'!$B:$B,0)))+'4. Headcount'!I54*INDEX('1. Assumptions'!$G:$G,MATCH("Tools &amp; Equipment ($/employee/year)",'1. Assumptions'!$B:$B,0))/12</f>
        <v>0</v>
      </c>
      <c r="J47" s="178">
        <f>'4. Headcount'!J77*(1+INDEX('1. Assumptions'!$G:$G,MATCH("Benefits Load (% of salary)",'1. Assumptions'!$B:$B,0)))+'4. Headcount'!J54*INDEX('1. Assumptions'!$G:$G,MATCH("Tools &amp; Equipment ($/employee/year)",'1. Assumptions'!$B:$B,0))/12</f>
        <v>0</v>
      </c>
      <c r="K47" s="163">
        <f>'4. Headcount'!K77*(1+INDEX('1. Assumptions'!$G:$G,MATCH("Benefits Load (% of salary)",'1. Assumptions'!$B:$B,0)))+'4. Headcount'!K54*INDEX('1. Assumptions'!$G:$G,MATCH("Tools &amp; Equipment ($/employee/year)",'1. Assumptions'!$B:$B,0))/12</f>
        <v>0</v>
      </c>
      <c r="L47" s="163">
        <f>'4. Headcount'!L77*(1+INDEX('1. Assumptions'!$G:$G,MATCH("Benefits Load (% of salary)",'1. Assumptions'!$B:$B,0)))+'4. Headcount'!L54*INDEX('1. Assumptions'!$G:$G,MATCH("Tools &amp; Equipment ($/employee/year)",'1. Assumptions'!$B:$B,0))/12</f>
        <v>0</v>
      </c>
      <c r="M47" s="163">
        <f>'4. Headcount'!M77*(1+INDEX('1. Assumptions'!$G:$G,MATCH("Benefits Load (% of salary)",'1. Assumptions'!$B:$B,0)))+'4. Headcount'!M54*INDEX('1. Assumptions'!$G:$G,MATCH("Tools &amp; Equipment ($/employee/year)",'1. Assumptions'!$B:$B,0))/12</f>
        <v>0</v>
      </c>
      <c r="N47" s="163">
        <f>'4. Headcount'!N77*(1+INDEX('1. Assumptions'!$G:$G,MATCH("Benefits Load (% of salary)",'1. Assumptions'!$B:$B,0)))+'4. Headcount'!N54*INDEX('1. Assumptions'!$G:$G,MATCH("Tools &amp; Equipment ($/employee/year)",'1. Assumptions'!$B:$B,0))/12</f>
        <v>0</v>
      </c>
      <c r="O47" s="163">
        <f>'4. Headcount'!O77*(1+INDEX('1. Assumptions'!$G:$G,MATCH("Benefits Load (% of salary)",'1. Assumptions'!$B:$B,0)))+'4. Headcount'!O54*INDEX('1. Assumptions'!$G:$G,MATCH("Tools &amp; Equipment ($/employee/year)",'1. Assumptions'!$B:$B,0))/12</f>
        <v>0</v>
      </c>
      <c r="P47" s="163">
        <f>'4. Headcount'!P77*(1+INDEX('1. Assumptions'!$G:$G,MATCH("Benefits Load (% of salary)",'1. Assumptions'!$B:$B,0)))+'4. Headcount'!P54*INDEX('1. Assumptions'!$G:$G,MATCH("Tools &amp; Equipment ($/employee/year)",'1. Assumptions'!$B:$B,0))/12</f>
        <v>0</v>
      </c>
      <c r="Q47" s="163">
        <f>'4. Headcount'!Q77*(1+INDEX('1. Assumptions'!$G:$G,MATCH("Benefits Load (% of salary)",'1. Assumptions'!$B:$B,0)))+'4. Headcount'!Q54*INDEX('1. Assumptions'!$G:$G,MATCH("Tools &amp; Equipment ($/employee/year)",'1. Assumptions'!$B:$B,0))/12</f>
        <v>0</v>
      </c>
      <c r="R47" s="163">
        <f>'4. Headcount'!R77*(1+INDEX('1. Assumptions'!$G:$G,MATCH("Benefits Load (% of salary)",'1. Assumptions'!$B:$B,0)))+'4. Headcount'!R54*INDEX('1. Assumptions'!$G:$G,MATCH("Tools &amp; Equipment ($/employee/year)",'1. Assumptions'!$B:$B,0))/12</f>
        <v>0</v>
      </c>
      <c r="S47" s="163">
        <f>'4. Headcount'!S77*(1+INDEX('1. Assumptions'!$G:$G,MATCH("Benefits Load (% of salary)",'1. Assumptions'!$B:$B,0)))+'4. Headcount'!S54*INDEX('1. Assumptions'!$G:$G,MATCH("Tools &amp; Equipment ($/employee/year)",'1. Assumptions'!$B:$B,0))/12</f>
        <v>8666.6666666666661</v>
      </c>
      <c r="T47" s="163">
        <f>'4. Headcount'!T77*(1+INDEX('1. Assumptions'!$G:$G,MATCH("Benefits Load (% of salary)",'1. Assumptions'!$B:$B,0)))+'4. Headcount'!T54*INDEX('1. Assumptions'!$G:$G,MATCH("Tools &amp; Equipment ($/employee/year)",'1. Assumptions'!$B:$B,0))/12</f>
        <v>8666.6666666666661</v>
      </c>
      <c r="U47" s="163">
        <f>'4. Headcount'!U77*(1+INDEX('1. Assumptions'!$G:$G,MATCH("Benefits Load (% of salary)",'1. Assumptions'!$B:$B,0)))+'4. Headcount'!U54*INDEX('1. Assumptions'!$G:$G,MATCH("Tools &amp; Equipment ($/employee/year)",'1. Assumptions'!$B:$B,0))/12</f>
        <v>8666.6666666666661</v>
      </c>
      <c r="V47" s="163">
        <f>'4. Headcount'!V77*(1+INDEX('1. Assumptions'!$G:$G,MATCH("Benefits Load (% of salary)",'1. Assumptions'!$B:$B,0)))+'4. Headcount'!V54*INDEX('1. Assumptions'!$G:$G,MATCH("Tools &amp; Equipment ($/employee/year)",'1. Assumptions'!$B:$B,0))/12</f>
        <v>8666.6666666666661</v>
      </c>
      <c r="W47" s="163">
        <f>'4. Headcount'!W77*(1+INDEX('1. Assumptions'!$G:$G,MATCH("Benefits Load (% of salary)",'1. Assumptions'!$B:$B,0)))+'4. Headcount'!W54*INDEX('1. Assumptions'!$G:$G,MATCH("Tools &amp; Equipment ($/employee/year)",'1. Assumptions'!$B:$B,0))/12</f>
        <v>8666.6666666666661</v>
      </c>
      <c r="X47" s="163">
        <f>'4. Headcount'!X77*(1+INDEX('1. Assumptions'!$G:$G,MATCH("Benefits Load (% of salary)",'1. Assumptions'!$B:$B,0)))+'4. Headcount'!X54*INDEX('1. Assumptions'!$G:$G,MATCH("Tools &amp; Equipment ($/employee/year)",'1. Assumptions'!$B:$B,0))/12</f>
        <v>8666.6666666666661</v>
      </c>
      <c r="Y47" s="163">
        <f>'4. Headcount'!Y77*(1+INDEX('1. Assumptions'!$G:$G,MATCH("Benefits Load (% of salary)",'1. Assumptions'!$B:$B,0)))+'4. Headcount'!Y54*INDEX('1. Assumptions'!$G:$G,MATCH("Tools &amp; Equipment ($/employee/year)",'1. Assumptions'!$B:$B,0))/12</f>
        <v>8666.6666666666661</v>
      </c>
      <c r="Z47" s="163">
        <f>'4. Headcount'!Z77*(1+INDEX('1. Assumptions'!$G:$G,MATCH("Benefits Load (% of salary)",'1. Assumptions'!$B:$B,0)))+'4. Headcount'!Z54*INDEX('1. Assumptions'!$G:$G,MATCH("Tools &amp; Equipment ($/employee/year)",'1. Assumptions'!$B:$B,0))/12</f>
        <v>8666.6666666666661</v>
      </c>
      <c r="AA47" s="163">
        <f>'4. Headcount'!AA77*(1+INDEX('1. Assumptions'!$G:$G,MATCH("Benefits Load (% of salary)",'1. Assumptions'!$B:$B,0)))+'4. Headcount'!AA54*INDEX('1. Assumptions'!$G:$G,MATCH("Tools &amp; Equipment ($/employee/year)",'1. Assumptions'!$B:$B,0))/12</f>
        <v>8666.6666666666661</v>
      </c>
      <c r="AB47" s="141"/>
      <c r="AC47" s="141"/>
    </row>
    <row r="48" spans="1:29" s="3" customFormat="1" ht="26.4">
      <c r="A48" s="141" t="s">
        <v>914</v>
      </c>
      <c r="B48" s="141" t="s">
        <v>862</v>
      </c>
      <c r="C48" s="141" t="s">
        <v>64</v>
      </c>
      <c r="D48" s="167">
        <f>SUM(D46:D47)</f>
        <v>0</v>
      </c>
      <c r="E48" s="167">
        <f t="shared" ref="E48:AA48" si="11">SUM(E46:E47)</f>
        <v>0</v>
      </c>
      <c r="F48" s="167">
        <f t="shared" si="11"/>
        <v>0</v>
      </c>
      <c r="G48" s="167">
        <f t="shared" si="11"/>
        <v>0</v>
      </c>
      <c r="H48" s="167">
        <f t="shared" si="11"/>
        <v>0</v>
      </c>
      <c r="I48" s="167">
        <f t="shared" si="11"/>
        <v>0</v>
      </c>
      <c r="J48" s="167">
        <f t="shared" si="11"/>
        <v>0</v>
      </c>
      <c r="K48" s="167">
        <f t="shared" si="11"/>
        <v>8666.6666666666661</v>
      </c>
      <c r="L48" s="167">
        <f t="shared" si="11"/>
        <v>8666.6666666666661</v>
      </c>
      <c r="M48" s="167">
        <f t="shared" si="11"/>
        <v>8666.6666666666661</v>
      </c>
      <c r="N48" s="167">
        <f t="shared" si="11"/>
        <v>8666.6666666666661</v>
      </c>
      <c r="O48" s="167">
        <f t="shared" si="11"/>
        <v>8666.6666666666661</v>
      </c>
      <c r="P48" s="167">
        <f t="shared" si="11"/>
        <v>8666.6666666666661</v>
      </c>
      <c r="Q48" s="167">
        <f t="shared" si="11"/>
        <v>8666.6666666666661</v>
      </c>
      <c r="R48" s="167">
        <f t="shared" si="11"/>
        <v>8666.6666666666661</v>
      </c>
      <c r="S48" s="167">
        <f t="shared" si="11"/>
        <v>17333.333333333332</v>
      </c>
      <c r="T48" s="167">
        <f t="shared" si="11"/>
        <v>17333.333333333332</v>
      </c>
      <c r="U48" s="167">
        <f t="shared" si="11"/>
        <v>17333.333333333332</v>
      </c>
      <c r="V48" s="167">
        <f t="shared" si="11"/>
        <v>17333.333333333332</v>
      </c>
      <c r="W48" s="167">
        <f t="shared" si="11"/>
        <v>17333.333333333332</v>
      </c>
      <c r="X48" s="167">
        <f t="shared" si="11"/>
        <v>17333.333333333332</v>
      </c>
      <c r="Y48" s="167">
        <f t="shared" si="11"/>
        <v>17333.333333333332</v>
      </c>
      <c r="Z48" s="167">
        <f t="shared" si="11"/>
        <v>17333.333333333332</v>
      </c>
      <c r="AA48" s="167">
        <f t="shared" si="11"/>
        <v>17333.333333333332</v>
      </c>
      <c r="AB48" s="141" t="s">
        <v>917</v>
      </c>
      <c r="AC48" s="141" t="s">
        <v>916</v>
      </c>
    </row>
    <row r="49" spans="1:29" s="3" customFormat="1" ht="13.2">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row>
    <row r="50" spans="1:29" s="3" customFormat="1" ht="13.2">
      <c r="A50" s="105" t="s">
        <v>918</v>
      </c>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row>
    <row r="51" spans="1:29" s="3" customFormat="1" ht="13.2">
      <c r="A51" s="141" t="s">
        <v>919</v>
      </c>
      <c r="B51" s="141" t="s">
        <v>712</v>
      </c>
      <c r="C51" s="3" t="s">
        <v>79</v>
      </c>
      <c r="D51" s="179">
        <f>D19</f>
        <v>0</v>
      </c>
      <c r="E51" s="179">
        <f t="shared" ref="E51:AA51" si="12">E19</f>
        <v>0</v>
      </c>
      <c r="F51" s="179">
        <f t="shared" si="12"/>
        <v>0</v>
      </c>
      <c r="G51" s="179">
        <f t="shared" si="12"/>
        <v>0</v>
      </c>
      <c r="H51" s="179">
        <f t="shared" si="12"/>
        <v>0</v>
      </c>
      <c r="I51" s="179">
        <f t="shared" si="12"/>
        <v>1</v>
      </c>
      <c r="J51" s="179">
        <f t="shared" si="12"/>
        <v>1.07</v>
      </c>
      <c r="K51" s="179">
        <f t="shared" si="12"/>
        <v>1.1449</v>
      </c>
      <c r="L51" s="179">
        <f t="shared" si="12"/>
        <v>1.2250430000000001</v>
      </c>
      <c r="M51" s="179">
        <f t="shared" si="12"/>
        <v>1.31079601</v>
      </c>
      <c r="N51" s="179">
        <f t="shared" si="12"/>
        <v>1.4025517307000002</v>
      </c>
      <c r="O51" s="179">
        <f t="shared" si="12"/>
        <v>1.5007303518490001</v>
      </c>
      <c r="P51" s="179">
        <f t="shared" si="12"/>
        <v>1.6057814764784302</v>
      </c>
      <c r="Q51" s="179">
        <f t="shared" si="12"/>
        <v>1.7181861798319202</v>
      </c>
      <c r="R51" s="179">
        <f t="shared" si="12"/>
        <v>1.8384592124201549</v>
      </c>
      <c r="S51" s="179">
        <f t="shared" si="12"/>
        <v>1.9671513572895656</v>
      </c>
      <c r="T51" s="179">
        <f t="shared" si="12"/>
        <v>2.1048519522998355</v>
      </c>
      <c r="U51" s="179">
        <f t="shared" si="12"/>
        <v>2.2521915889608235</v>
      </c>
      <c r="V51" s="179">
        <f t="shared" si="12"/>
        <v>2.4098450001880813</v>
      </c>
      <c r="W51" s="179">
        <f t="shared" si="12"/>
        <v>2.5785341502012469</v>
      </c>
      <c r="X51" s="179">
        <f t="shared" si="12"/>
        <v>2.7590315407153345</v>
      </c>
      <c r="Y51" s="179">
        <f t="shared" si="12"/>
        <v>2.9521637485654075</v>
      </c>
      <c r="Z51" s="179">
        <f t="shared" si="12"/>
        <v>3.1588152109649861</v>
      </c>
      <c r="AA51" s="179">
        <f t="shared" si="12"/>
        <v>3.3799322757325352</v>
      </c>
    </row>
    <row r="52" spans="1:29" s="3" customFormat="1" ht="26.4">
      <c r="A52" s="141" t="s">
        <v>919</v>
      </c>
      <c r="B52" s="141" t="s">
        <v>920</v>
      </c>
      <c r="C52" s="141" t="s">
        <v>112</v>
      </c>
      <c r="D52" s="180">
        <f>INDEX('1. Assumptions'!$G:$G,MATCH($B52,'1. Assumptions'!$B:$B,0))</f>
        <v>1200</v>
      </c>
      <c r="E52" s="180">
        <f>INDEX('1. Assumptions'!$G:$G,MATCH($B52,'1. Assumptions'!$B:$B,0))</f>
        <v>1200</v>
      </c>
      <c r="F52" s="180">
        <f>INDEX('1. Assumptions'!$G:$G,MATCH($B52,'1. Assumptions'!$B:$B,0))</f>
        <v>1200</v>
      </c>
      <c r="G52" s="180">
        <f>INDEX('1. Assumptions'!$G:$G,MATCH($B52,'1. Assumptions'!$B:$B,0))</f>
        <v>1200</v>
      </c>
      <c r="H52" s="180">
        <f>INDEX('1. Assumptions'!$G:$G,MATCH($B52,'1. Assumptions'!$B:$B,0))</f>
        <v>1200</v>
      </c>
      <c r="I52" s="180">
        <f>INDEX('1. Assumptions'!$G:$G,MATCH($B52,'1. Assumptions'!$B:$B,0))</f>
        <v>1200</v>
      </c>
      <c r="J52" s="180">
        <f>INDEX('1. Assumptions'!$G:$G,MATCH($B52,'1. Assumptions'!$B:$B,0))</f>
        <v>1200</v>
      </c>
      <c r="K52" s="180">
        <f>INDEX('1. Assumptions'!$G:$G,MATCH($B52,'1. Assumptions'!$B:$B,0))</f>
        <v>1200</v>
      </c>
      <c r="L52" s="180">
        <f>INDEX('1. Assumptions'!$G:$G,MATCH($B52,'1. Assumptions'!$B:$B,0))</f>
        <v>1200</v>
      </c>
      <c r="M52" s="180">
        <f>INDEX('1. Assumptions'!$G:$G,MATCH($B52,'1. Assumptions'!$B:$B,0))</f>
        <v>1200</v>
      </c>
      <c r="N52" s="180">
        <f>INDEX('1. Assumptions'!$G:$G,MATCH($B52,'1. Assumptions'!$B:$B,0))</f>
        <v>1200</v>
      </c>
      <c r="O52" s="180">
        <f>INDEX('1. Assumptions'!$G:$G,MATCH($B52,'1. Assumptions'!$B:$B,0))</f>
        <v>1200</v>
      </c>
      <c r="P52" s="180">
        <f>INDEX('1. Assumptions'!$G:$G,MATCH($B52,'1. Assumptions'!$B:$B,0))</f>
        <v>1200</v>
      </c>
      <c r="Q52" s="180">
        <f>INDEX('1. Assumptions'!$G:$G,MATCH($B52,'1. Assumptions'!$B:$B,0))</f>
        <v>1200</v>
      </c>
      <c r="R52" s="180">
        <f>INDEX('1. Assumptions'!$G:$G,MATCH($B52,'1. Assumptions'!$B:$B,0))</f>
        <v>1200</v>
      </c>
      <c r="S52" s="180">
        <f>INDEX('1. Assumptions'!$G:$G,MATCH($B52,'1. Assumptions'!$B:$B,0))</f>
        <v>1200</v>
      </c>
      <c r="T52" s="180">
        <f>INDEX('1. Assumptions'!$G:$G,MATCH($B52,'1. Assumptions'!$B:$B,0))</f>
        <v>1200</v>
      </c>
      <c r="U52" s="180">
        <f>INDEX('1. Assumptions'!$G:$G,MATCH($B52,'1. Assumptions'!$B:$B,0))</f>
        <v>1200</v>
      </c>
      <c r="V52" s="180">
        <f>INDEX('1. Assumptions'!$G:$G,MATCH($B52,'1. Assumptions'!$B:$B,0))</f>
        <v>1200</v>
      </c>
      <c r="W52" s="180">
        <f>INDEX('1. Assumptions'!$G:$G,MATCH($B52,'1. Assumptions'!$B:$B,0))</f>
        <v>1200</v>
      </c>
      <c r="X52" s="180">
        <f>INDEX('1. Assumptions'!$G:$G,MATCH($B52,'1. Assumptions'!$B:$B,0))</f>
        <v>1200</v>
      </c>
      <c r="Y52" s="180">
        <f>INDEX('1. Assumptions'!$G:$G,MATCH($B52,'1. Assumptions'!$B:$B,0))</f>
        <v>1200</v>
      </c>
      <c r="Z52" s="180">
        <f>INDEX('1. Assumptions'!$G:$G,MATCH($B52,'1. Assumptions'!$B:$B,0))</f>
        <v>1200</v>
      </c>
      <c r="AA52" s="180">
        <f>INDEX('1. Assumptions'!$G:$G,MATCH($B52,'1. Assumptions'!$B:$B,0))</f>
        <v>1200</v>
      </c>
      <c r="AB52" s="141" t="s">
        <v>921</v>
      </c>
      <c r="AC52" s="141" t="s">
        <v>880</v>
      </c>
    </row>
    <row r="53" spans="1:29" s="3" customFormat="1" ht="26.4">
      <c r="A53" s="141" t="s">
        <v>919</v>
      </c>
      <c r="B53" s="141" t="s">
        <v>922</v>
      </c>
      <c r="C53" s="141" t="s">
        <v>64</v>
      </c>
      <c r="D53" s="180">
        <f>D51*D52</f>
        <v>0</v>
      </c>
      <c r="E53" s="180">
        <f t="shared" ref="E53:AA53" si="13">E51*E52</f>
        <v>0</v>
      </c>
      <c r="F53" s="180">
        <f t="shared" si="13"/>
        <v>0</v>
      </c>
      <c r="G53" s="180">
        <f t="shared" si="13"/>
        <v>0</v>
      </c>
      <c r="H53" s="180">
        <f t="shared" si="13"/>
        <v>0</v>
      </c>
      <c r="I53" s="180">
        <f t="shared" si="13"/>
        <v>1200</v>
      </c>
      <c r="J53" s="180">
        <f t="shared" si="13"/>
        <v>1284</v>
      </c>
      <c r="K53" s="180">
        <f t="shared" si="13"/>
        <v>1373.88</v>
      </c>
      <c r="L53" s="180">
        <f t="shared" si="13"/>
        <v>1470.0516000000002</v>
      </c>
      <c r="M53" s="180">
        <f t="shared" si="13"/>
        <v>1572.9552120000001</v>
      </c>
      <c r="N53" s="180">
        <f t="shared" si="13"/>
        <v>1683.0620768400001</v>
      </c>
      <c r="O53" s="180">
        <f t="shared" si="13"/>
        <v>1800.8764222188001</v>
      </c>
      <c r="P53" s="180">
        <f t="shared" si="13"/>
        <v>1926.9377717741163</v>
      </c>
      <c r="Q53" s="180">
        <f t="shared" si="13"/>
        <v>2061.8234157983043</v>
      </c>
      <c r="R53" s="180">
        <f t="shared" si="13"/>
        <v>2206.1510549041859</v>
      </c>
      <c r="S53" s="180">
        <f t="shared" si="13"/>
        <v>2360.5816287474786</v>
      </c>
      <c r="T53" s="180">
        <f t="shared" si="13"/>
        <v>2525.8223427598027</v>
      </c>
      <c r="U53" s="180">
        <f t="shared" si="13"/>
        <v>2702.6299067529881</v>
      </c>
      <c r="V53" s="180">
        <f t="shared" si="13"/>
        <v>2891.8140002256978</v>
      </c>
      <c r="W53" s="180">
        <f t="shared" si="13"/>
        <v>3094.2409802414963</v>
      </c>
      <c r="X53" s="180">
        <f t="shared" si="13"/>
        <v>3310.8378488584012</v>
      </c>
      <c r="Y53" s="180">
        <f t="shared" si="13"/>
        <v>3542.596498278489</v>
      </c>
      <c r="Z53" s="180">
        <f t="shared" si="13"/>
        <v>3790.5782531579835</v>
      </c>
      <c r="AA53" s="180">
        <f t="shared" si="13"/>
        <v>4055.9187308790424</v>
      </c>
      <c r="AB53" s="141" t="s">
        <v>923</v>
      </c>
      <c r="AC53" s="141" t="s">
        <v>877</v>
      </c>
    </row>
    <row r="54" spans="1:29" s="3" customFormat="1" ht="39.6">
      <c r="A54" s="141" t="s">
        <v>919</v>
      </c>
      <c r="B54" s="141" t="s">
        <v>924</v>
      </c>
      <c r="C54" s="141" t="s">
        <v>64</v>
      </c>
      <c r="D54" s="181">
        <f>SUM(INDEX($D53:D53,1,MAX(1,COLUMNS($D53:D53)-INDEX('1. Assumptions'!$G:$G,MATCH("Implementation Fee Recognition Period",'1. Assumptions'!$B:$B,0))+1)):D53)/INDEX('1. Assumptions'!$G:$G,MATCH("Implementation Fee Recognition Period",'1. Assumptions'!$B:$B,0))</f>
        <v>0</v>
      </c>
      <c r="E54" s="181">
        <f>SUM(INDEX($D53:E53,1,MAX(1,COLUMNS($D53:E53)-INDEX('1. Assumptions'!$G:$G,MATCH("Implementation Fee Recognition Period",'1. Assumptions'!$B:$B,0))+1)):E53)/INDEX('1. Assumptions'!$G:$G,MATCH("Implementation Fee Recognition Period",'1. Assumptions'!$B:$B,0))</f>
        <v>0</v>
      </c>
      <c r="F54" s="181">
        <f>SUM(INDEX($D53:F53,1,MAX(1,COLUMNS($D53:F53)-INDEX('1. Assumptions'!$G:$G,MATCH("Implementation Fee Recognition Period",'1. Assumptions'!$B:$B,0))+1)):F53)/INDEX('1. Assumptions'!$G:$G,MATCH("Implementation Fee Recognition Period",'1. Assumptions'!$B:$B,0))</f>
        <v>0</v>
      </c>
      <c r="G54" s="181">
        <f>SUM(INDEX($D53:G53,1,MAX(1,COLUMNS($D53:G53)-INDEX('1. Assumptions'!$G:$G,MATCH("Implementation Fee Recognition Period",'1. Assumptions'!$B:$B,0))+1)):G53)/INDEX('1. Assumptions'!$G:$G,MATCH("Implementation Fee Recognition Period",'1. Assumptions'!$B:$B,0))</f>
        <v>0</v>
      </c>
      <c r="H54" s="181">
        <f>SUM(INDEX($D53:H53,1,MAX(1,COLUMNS($D53:H53)-INDEX('1. Assumptions'!$G:$G,MATCH("Implementation Fee Recognition Period",'1. Assumptions'!$B:$B,0))+1)):H53)/INDEX('1. Assumptions'!$G:$G,MATCH("Implementation Fee Recognition Period",'1. Assumptions'!$B:$B,0))</f>
        <v>0</v>
      </c>
      <c r="I54" s="181">
        <f>SUM(INDEX($D53:I53,1,MAX(1,COLUMNS($D53:I53)-INDEX('1. Assumptions'!$G:$G,MATCH("Implementation Fee Recognition Period",'1. Assumptions'!$B:$B,0))+1)):I53)/INDEX('1. Assumptions'!$G:$G,MATCH("Implementation Fee Recognition Period",'1. Assumptions'!$B:$B,0))</f>
        <v>400</v>
      </c>
      <c r="J54" s="181">
        <f>SUM(INDEX($D53:J53,1,MAX(1,COLUMNS($D53:J53)-INDEX('1. Assumptions'!$G:$G,MATCH("Implementation Fee Recognition Period",'1. Assumptions'!$B:$B,0))+1)):J53)/INDEX('1. Assumptions'!$G:$G,MATCH("Implementation Fee Recognition Period",'1. Assumptions'!$B:$B,0))</f>
        <v>828</v>
      </c>
      <c r="K54" s="181">
        <f>SUM(INDEX($D53:K53,1,MAX(1,COLUMNS($D53:K53)-INDEX('1. Assumptions'!$G:$G,MATCH("Implementation Fee Recognition Period",'1. Assumptions'!$B:$B,0))+1)):K53)/INDEX('1. Assumptions'!$G:$G,MATCH("Implementation Fee Recognition Period",'1. Assumptions'!$B:$B,0))</f>
        <v>1285.96</v>
      </c>
      <c r="L54" s="181">
        <f>SUM(INDEX($D53:L53,1,MAX(1,COLUMNS($D53:L53)-INDEX('1. Assumptions'!$G:$G,MATCH("Implementation Fee Recognition Period",'1. Assumptions'!$B:$B,0))+1)):L53)/INDEX('1. Assumptions'!$G:$G,MATCH("Implementation Fee Recognition Period",'1. Assumptions'!$B:$B,0))</f>
        <v>1375.9772</v>
      </c>
      <c r="M54" s="181">
        <f>SUM(INDEX($D53:M53,1,MAX(1,COLUMNS($D53:M53)-INDEX('1. Assumptions'!$G:$G,MATCH("Implementation Fee Recognition Period",'1. Assumptions'!$B:$B,0))+1)):M53)/INDEX('1. Assumptions'!$G:$G,MATCH("Implementation Fee Recognition Period",'1. Assumptions'!$B:$B,0))</f>
        <v>1472.2956040000001</v>
      </c>
      <c r="N54" s="181">
        <f>SUM(INDEX($D53:N53,1,MAX(1,COLUMNS($D53:N53)-INDEX('1. Assumptions'!$G:$G,MATCH("Implementation Fee Recognition Period",'1. Assumptions'!$B:$B,0))+1)):N53)/INDEX('1. Assumptions'!$G:$G,MATCH("Implementation Fee Recognition Period",'1. Assumptions'!$B:$B,0))</f>
        <v>1575.3562962800004</v>
      </c>
      <c r="O54" s="181">
        <f>SUM(INDEX($D53:O53,1,MAX(1,COLUMNS($D53:O53)-INDEX('1. Assumptions'!$G:$G,MATCH("Implementation Fee Recognition Period",'1. Assumptions'!$B:$B,0))+1)):O53)/INDEX('1. Assumptions'!$G:$G,MATCH("Implementation Fee Recognition Period",'1. Assumptions'!$B:$B,0))</f>
        <v>1685.6312370196001</v>
      </c>
      <c r="P54" s="181">
        <f>SUM(INDEX($D53:P53,1,MAX(1,COLUMNS($D53:P53)-INDEX('1. Assumptions'!$G:$G,MATCH("Implementation Fee Recognition Period",'1. Assumptions'!$B:$B,0))+1)):P53)/INDEX('1. Assumptions'!$G:$G,MATCH("Implementation Fee Recognition Period",'1. Assumptions'!$B:$B,0))</f>
        <v>1803.6254236109723</v>
      </c>
      <c r="Q54" s="181">
        <f>SUM(INDEX($D53:Q53,1,MAX(1,COLUMNS($D53:Q53)-INDEX('1. Assumptions'!$G:$G,MATCH("Implementation Fee Recognition Period",'1. Assumptions'!$B:$B,0))+1)):Q53)/INDEX('1. Assumptions'!$G:$G,MATCH("Implementation Fee Recognition Period",'1. Assumptions'!$B:$B,0))</f>
        <v>1929.8792032637402</v>
      </c>
      <c r="R54" s="181">
        <f>SUM(INDEX($D53:R53,1,MAX(1,COLUMNS($D53:R53)-INDEX('1. Assumptions'!$G:$G,MATCH("Implementation Fee Recognition Period",'1. Assumptions'!$B:$B,0))+1)):R53)/INDEX('1. Assumptions'!$G:$G,MATCH("Implementation Fee Recognition Period",'1. Assumptions'!$B:$B,0))</f>
        <v>2064.970747492202</v>
      </c>
      <c r="S54" s="181">
        <f>SUM(INDEX($D53:S53,1,MAX(1,COLUMNS($D53:S53)-INDEX('1. Assumptions'!$G:$G,MATCH("Implementation Fee Recognition Period",'1. Assumptions'!$B:$B,0))+1)):S53)/INDEX('1. Assumptions'!$G:$G,MATCH("Implementation Fee Recognition Period",'1. Assumptions'!$B:$B,0))</f>
        <v>2209.518699816656</v>
      </c>
      <c r="T54" s="181">
        <f>SUM(INDEX($D53:T53,1,MAX(1,COLUMNS($D53:T53)-INDEX('1. Assumptions'!$G:$G,MATCH("Implementation Fee Recognition Period",'1. Assumptions'!$B:$B,0))+1)):T53)/INDEX('1. Assumptions'!$G:$G,MATCH("Implementation Fee Recognition Period",'1. Assumptions'!$B:$B,0))</f>
        <v>2364.1850088038223</v>
      </c>
      <c r="U54" s="181">
        <f>SUM(INDEX($D53:U53,1,MAX(1,COLUMNS($D53:U53)-INDEX('1. Assumptions'!$G:$G,MATCH("Implementation Fee Recognition Period",'1. Assumptions'!$B:$B,0))+1)):U53)/INDEX('1. Assumptions'!$G:$G,MATCH("Implementation Fee Recognition Period",'1. Assumptions'!$B:$B,0))</f>
        <v>2529.6779594200898</v>
      </c>
      <c r="V54" s="181">
        <f>SUM(INDEX($D53:V53,1,MAX(1,COLUMNS($D53:V53)-INDEX('1. Assumptions'!$G:$G,MATCH("Implementation Fee Recognition Period",'1. Assumptions'!$B:$B,0))+1)):V53)/INDEX('1. Assumptions'!$G:$G,MATCH("Implementation Fee Recognition Period",'1. Assumptions'!$B:$B,0))</f>
        <v>2706.7554165794963</v>
      </c>
      <c r="W54" s="181">
        <f>SUM(INDEX($D53:W53,1,MAX(1,COLUMNS($D53:W53)-INDEX('1. Assumptions'!$G:$G,MATCH("Implementation Fee Recognition Period",'1. Assumptions'!$B:$B,0))+1)):W53)/INDEX('1. Assumptions'!$G:$G,MATCH("Implementation Fee Recognition Period",'1. Assumptions'!$B:$B,0))</f>
        <v>2896.2282957400607</v>
      </c>
      <c r="X54" s="181">
        <f>SUM(INDEX($D53:X53,1,MAX(1,COLUMNS($D53:X53)-INDEX('1. Assumptions'!$G:$G,MATCH("Implementation Fee Recognition Period",'1. Assumptions'!$B:$B,0))+1)):X53)/INDEX('1. Assumptions'!$G:$G,MATCH("Implementation Fee Recognition Period",'1. Assumptions'!$B:$B,0))</f>
        <v>3098.9642764418654</v>
      </c>
      <c r="Y54" s="181">
        <f>SUM(INDEX($D53:Y53,1,MAX(1,COLUMNS($D53:Y53)-INDEX('1. Assumptions'!$G:$G,MATCH("Implementation Fee Recognition Period",'1. Assumptions'!$B:$B,0))+1)):Y53)/INDEX('1. Assumptions'!$G:$G,MATCH("Implementation Fee Recognition Period",'1. Assumptions'!$B:$B,0))</f>
        <v>3315.8917757927957</v>
      </c>
      <c r="Z54" s="181">
        <f>SUM(INDEX($D53:Z53,1,MAX(1,COLUMNS($D53:Z53)-INDEX('1. Assumptions'!$G:$G,MATCH("Implementation Fee Recognition Period",'1. Assumptions'!$B:$B,0))+1)):Z53)/INDEX('1. Assumptions'!$G:$G,MATCH("Implementation Fee Recognition Period",'1. Assumptions'!$B:$B,0))</f>
        <v>3548.0042000982917</v>
      </c>
      <c r="AA54" s="181">
        <f>SUM(INDEX($D53:AA53,1,MAX(1,COLUMNS($D53:AA53)-INDEX('1. Assumptions'!$G:$G,MATCH("Implementation Fee Recognition Period",'1. Assumptions'!$B:$B,0))+1)):AA53)/INDEX('1. Assumptions'!$G:$G,MATCH("Implementation Fee Recognition Period",'1. Assumptions'!$B:$B,0))</f>
        <v>3796.3644941051716</v>
      </c>
      <c r="AB54" s="141" t="s">
        <v>925</v>
      </c>
      <c r="AC54" s="141" t="s">
        <v>877</v>
      </c>
    </row>
    <row r="55" spans="1:29" s="3" customFormat="1" ht="39.6">
      <c r="A55" s="141" t="s">
        <v>919</v>
      </c>
      <c r="B55" s="141" t="s">
        <v>926</v>
      </c>
      <c r="C55" s="141" t="s">
        <v>173</v>
      </c>
      <c r="D55" s="182" t="str">
        <f>IF(D16=0,"-",1-D54/D16)</f>
        <v>-</v>
      </c>
      <c r="E55" s="182" t="str">
        <f t="shared" ref="E55:AA55" si="14">IF(E16=0,"-",1-E54/E16)</f>
        <v>-</v>
      </c>
      <c r="F55" s="182" t="str">
        <f t="shared" si="14"/>
        <v>-</v>
      </c>
      <c r="G55" s="182" t="str">
        <f t="shared" si="14"/>
        <v>-</v>
      </c>
      <c r="H55" s="182" t="str">
        <f t="shared" si="14"/>
        <v>-</v>
      </c>
      <c r="I55" s="182">
        <f t="shared" si="14"/>
        <v>0.6</v>
      </c>
      <c r="J55" s="182">
        <f t="shared" si="14"/>
        <v>0.6</v>
      </c>
      <c r="K55" s="182">
        <f t="shared" si="14"/>
        <v>0.6</v>
      </c>
      <c r="L55" s="182">
        <f t="shared" si="14"/>
        <v>0.60000000000000009</v>
      </c>
      <c r="M55" s="182">
        <f t="shared" si="14"/>
        <v>0.60000000000000009</v>
      </c>
      <c r="N55" s="182">
        <f t="shared" si="14"/>
        <v>0.6</v>
      </c>
      <c r="O55" s="182">
        <f t="shared" si="14"/>
        <v>0.60000000000000009</v>
      </c>
      <c r="P55" s="182">
        <f t="shared" si="14"/>
        <v>0.6</v>
      </c>
      <c r="Q55" s="182">
        <f t="shared" si="14"/>
        <v>0.60000000000000009</v>
      </c>
      <c r="R55" s="182">
        <f t="shared" si="14"/>
        <v>0.60000000000000009</v>
      </c>
      <c r="S55" s="182">
        <f t="shared" si="14"/>
        <v>0.60000000000000009</v>
      </c>
      <c r="T55" s="182">
        <f t="shared" si="14"/>
        <v>0.6</v>
      </c>
      <c r="U55" s="182">
        <f t="shared" si="14"/>
        <v>0.6</v>
      </c>
      <c r="V55" s="182">
        <f t="shared" si="14"/>
        <v>0.6</v>
      </c>
      <c r="W55" s="182">
        <f t="shared" si="14"/>
        <v>0.6</v>
      </c>
      <c r="X55" s="182">
        <f t="shared" si="14"/>
        <v>0.59999999999999987</v>
      </c>
      <c r="Y55" s="182">
        <f t="shared" si="14"/>
        <v>0.6</v>
      </c>
      <c r="Z55" s="182">
        <f t="shared" si="14"/>
        <v>0.59999999999999987</v>
      </c>
      <c r="AA55" s="182">
        <f t="shared" si="14"/>
        <v>0.6</v>
      </c>
      <c r="AB55" s="141" t="s">
        <v>927</v>
      </c>
      <c r="AC55" s="141" t="s">
        <v>877</v>
      </c>
    </row>
    <row r="56" spans="1:29" s="3" customFormat="1" ht="13.2">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row>
    <row r="57" spans="1:29" s="3" customFormat="1" ht="13.2">
      <c r="A57" s="105" t="s">
        <v>928</v>
      </c>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row>
    <row r="58" spans="1:29" s="3" customFormat="1" ht="13.2">
      <c r="A58" s="141" t="s">
        <v>929</v>
      </c>
      <c r="B58" s="141" t="s">
        <v>952</v>
      </c>
      <c r="C58" s="141" t="s">
        <v>64</v>
      </c>
      <c r="D58" s="183">
        <f>D54</f>
        <v>0</v>
      </c>
      <c r="E58" s="183">
        <f t="shared" ref="E58:AA58" si="15">E54</f>
        <v>0</v>
      </c>
      <c r="F58" s="183">
        <f t="shared" si="15"/>
        <v>0</v>
      </c>
      <c r="G58" s="183">
        <f t="shared" si="15"/>
        <v>0</v>
      </c>
      <c r="H58" s="183">
        <f t="shared" si="15"/>
        <v>0</v>
      </c>
      <c r="I58" s="168">
        <f t="shared" si="15"/>
        <v>400</v>
      </c>
      <c r="J58" s="168">
        <f t="shared" si="15"/>
        <v>828</v>
      </c>
      <c r="K58" s="168">
        <f t="shared" si="15"/>
        <v>1285.96</v>
      </c>
      <c r="L58" s="168">
        <f t="shared" si="15"/>
        <v>1375.9772</v>
      </c>
      <c r="M58" s="168">
        <f t="shared" si="15"/>
        <v>1472.2956040000001</v>
      </c>
      <c r="N58" s="168">
        <f t="shared" si="15"/>
        <v>1575.3562962800004</v>
      </c>
      <c r="O58" s="168">
        <f t="shared" si="15"/>
        <v>1685.6312370196001</v>
      </c>
      <c r="P58" s="168">
        <f t="shared" si="15"/>
        <v>1803.6254236109723</v>
      </c>
      <c r="Q58" s="168">
        <f t="shared" si="15"/>
        <v>1929.8792032637402</v>
      </c>
      <c r="R58" s="168">
        <f t="shared" si="15"/>
        <v>2064.970747492202</v>
      </c>
      <c r="S58" s="168">
        <f t="shared" si="15"/>
        <v>2209.518699816656</v>
      </c>
      <c r="T58" s="168">
        <f t="shared" si="15"/>
        <v>2364.1850088038223</v>
      </c>
      <c r="U58" s="168">
        <f t="shared" si="15"/>
        <v>2529.6779594200898</v>
      </c>
      <c r="V58" s="168">
        <f t="shared" si="15"/>
        <v>2706.7554165794963</v>
      </c>
      <c r="W58" s="168">
        <f t="shared" si="15"/>
        <v>2896.2282957400607</v>
      </c>
      <c r="X58" s="168">
        <f t="shared" si="15"/>
        <v>3098.9642764418654</v>
      </c>
      <c r="Y58" s="168">
        <f t="shared" si="15"/>
        <v>3315.8917757927957</v>
      </c>
      <c r="Z58" s="168">
        <f t="shared" si="15"/>
        <v>3548.0042000982917</v>
      </c>
      <c r="AA58" s="168">
        <f t="shared" si="15"/>
        <v>3796.3644941051716</v>
      </c>
    </row>
    <row r="59" spans="1:29" s="3" customFormat="1" ht="26.4">
      <c r="A59" s="141" t="s">
        <v>929</v>
      </c>
      <c r="B59" s="141" t="s">
        <v>949</v>
      </c>
      <c r="C59" s="141" t="s">
        <v>64</v>
      </c>
      <c r="D59" s="168">
        <f>D24</f>
        <v>0</v>
      </c>
      <c r="E59" s="168">
        <f t="shared" ref="E59:AA59" si="16">E24</f>
        <v>0</v>
      </c>
      <c r="F59" s="168">
        <f t="shared" si="16"/>
        <v>0</v>
      </c>
      <c r="G59" s="168">
        <f t="shared" si="16"/>
        <v>0</v>
      </c>
      <c r="H59" s="168">
        <f t="shared" si="16"/>
        <v>0</v>
      </c>
      <c r="I59" s="168">
        <f t="shared" si="16"/>
        <v>0</v>
      </c>
      <c r="J59" s="168">
        <f t="shared" si="16"/>
        <v>0</v>
      </c>
      <c r="K59" s="168">
        <f t="shared" si="16"/>
        <v>0</v>
      </c>
      <c r="L59" s="168">
        <f t="shared" si="16"/>
        <v>0</v>
      </c>
      <c r="M59" s="168">
        <f t="shared" si="16"/>
        <v>85.000815614932222</v>
      </c>
      <c r="N59" s="168">
        <f t="shared" si="16"/>
        <v>177.69596305884025</v>
      </c>
      <c r="O59" s="168">
        <f t="shared" si="16"/>
        <v>279.15907078901699</v>
      </c>
      <c r="P59" s="168">
        <f t="shared" si="16"/>
        <v>390.57893515145867</v>
      </c>
      <c r="Q59" s="168">
        <f t="shared" si="16"/>
        <v>513.25999813661963</v>
      </c>
      <c r="R59" s="168">
        <f t="shared" si="16"/>
        <v>648.62553974895513</v>
      </c>
      <c r="S59" s="168">
        <f t="shared" si="16"/>
        <v>798.22300509501156</v>
      </c>
      <c r="T59" s="168">
        <f t="shared" si="16"/>
        <v>963.73103906026984</v>
      </c>
      <c r="U59" s="168">
        <f t="shared" si="16"/>
        <v>1146.9679132251499</v>
      </c>
      <c r="V59" s="168">
        <f t="shared" si="16"/>
        <v>1349.9011104552455</v>
      </c>
      <c r="W59" s="168">
        <f t="shared" si="16"/>
        <v>1574.6578898150474</v>
      </c>
      <c r="X59" s="168">
        <f t="shared" si="16"/>
        <v>1823.5366935853574</v>
      </c>
      <c r="Y59" s="168">
        <f t="shared" si="16"/>
        <v>2099.019283232858</v>
      </c>
      <c r="Z59" s="168">
        <f t="shared" si="16"/>
        <v>2403.7835050934113</v>
      </c>
      <c r="AA59" s="168">
        <f t="shared" si="16"/>
        <v>2740.7165913478611</v>
      </c>
      <c r="AB59" s="141" t="s">
        <v>933</v>
      </c>
      <c r="AC59" s="141" t="s">
        <v>877</v>
      </c>
    </row>
    <row r="60" spans="1:29" s="3" customFormat="1" ht="13.2">
      <c r="A60" s="141" t="s">
        <v>929</v>
      </c>
      <c r="B60" s="141" t="s">
        <v>950</v>
      </c>
      <c r="C60" s="141" t="s">
        <v>64</v>
      </c>
      <c r="D60" s="168">
        <f>D31</f>
        <v>5144</v>
      </c>
      <c r="E60" s="168">
        <f t="shared" ref="E60:AA60" si="17">E31</f>
        <v>5300.5711797430686</v>
      </c>
      <c r="F60" s="168">
        <f t="shared" si="17"/>
        <v>5457.7088945659661</v>
      </c>
      <c r="G60" s="168">
        <f t="shared" si="17"/>
        <v>5619.8559326174409</v>
      </c>
      <c r="H60" s="168">
        <f t="shared" si="17"/>
        <v>5790.8377390073119</v>
      </c>
      <c r="I60" s="168">
        <f t="shared" si="17"/>
        <v>5980.0351887856341</v>
      </c>
      <c r="J60" s="168">
        <f t="shared" si="17"/>
        <v>6184.8620046010701</v>
      </c>
      <c r="K60" s="168">
        <f t="shared" si="17"/>
        <v>6408.2224588151548</v>
      </c>
      <c r="L60" s="168">
        <f t="shared" si="17"/>
        <v>6652.9185449292045</v>
      </c>
      <c r="M60" s="168">
        <f t="shared" si="17"/>
        <v>6921.7255474939775</v>
      </c>
      <c r="N60" s="168">
        <f t="shared" si="17"/>
        <v>7217.4559366212661</v>
      </c>
      <c r="O60" s="168">
        <f t="shared" si="17"/>
        <v>7543.0146430049399</v>
      </c>
      <c r="P60" s="168">
        <f t="shared" si="17"/>
        <v>7901.448144259266</v>
      </c>
      <c r="Q60" s="168">
        <f t="shared" si="17"/>
        <v>8295.9893104758703</v>
      </c>
      <c r="R60" s="168">
        <f t="shared" si="17"/>
        <v>8730.0995853650966</v>
      </c>
      <c r="S60" s="168">
        <f t="shared" si="17"/>
        <v>9207.509795187234</v>
      </c>
      <c r="T60" s="168">
        <f t="shared" si="17"/>
        <v>9732.2606622277453</v>
      </c>
      <c r="U60" s="168">
        <f t="shared" si="17"/>
        <v>10308.74393832392</v>
      </c>
      <c r="V60" s="168">
        <f t="shared" si="17"/>
        <v>10941.744955655548</v>
      </c>
      <c r="W60" s="168">
        <f t="shared" si="17"/>
        <v>11636.487307959047</v>
      </c>
      <c r="X60" s="168">
        <f t="shared" si="17"/>
        <v>12398.680318792532</v>
      </c>
      <c r="Y60" s="168">
        <f t="shared" si="17"/>
        <v>13234.569919307087</v>
      </c>
      <c r="Z60" s="168">
        <f t="shared" si="17"/>
        <v>14150.993542230433</v>
      </c>
      <c r="AA60" s="168">
        <f t="shared" si="17"/>
        <v>15155.439638469732</v>
      </c>
      <c r="AB60" s="141"/>
      <c r="AC60" s="141"/>
    </row>
    <row r="61" spans="1:29" s="3" customFormat="1" ht="13.2">
      <c r="A61" s="141" t="s">
        <v>929</v>
      </c>
      <c r="B61" s="141" t="s">
        <v>906</v>
      </c>
      <c r="C61" s="141" t="s">
        <v>64</v>
      </c>
      <c r="D61" s="168">
        <f>D38</f>
        <v>1293.6595500000001</v>
      </c>
      <c r="E61" s="168">
        <f t="shared" ref="E61:AA61" si="18">E38</f>
        <v>1346.743437375</v>
      </c>
      <c r="F61" s="168">
        <f t="shared" si="18"/>
        <v>1401.5135509471877</v>
      </c>
      <c r="G61" s="168">
        <f t="shared" si="18"/>
        <v>1459.0118894961399</v>
      </c>
      <c r="H61" s="168">
        <f t="shared" si="18"/>
        <v>1520.1818117399359</v>
      </c>
      <c r="I61" s="168">
        <f t="shared" si="18"/>
        <v>1585.9009699685948</v>
      </c>
      <c r="J61" s="168">
        <f t="shared" si="18"/>
        <v>1657.0081145011184</v>
      </c>
      <c r="K61" s="168">
        <f t="shared" si="18"/>
        <v>1734.325219718768</v>
      </c>
      <c r="L61" s="168">
        <f t="shared" si="18"/>
        <v>1818.6760734149318</v>
      </c>
      <c r="M61" s="168">
        <f t="shared" si="18"/>
        <v>1910.9022311467095</v>
      </c>
      <c r="N61" s="168">
        <f t="shared" si="18"/>
        <v>2011.8770511013586</v>
      </c>
      <c r="O61" s="168">
        <f t="shared" si="18"/>
        <v>2122.5183809538476</v>
      </c>
      <c r="P61" s="168">
        <f t="shared" si="18"/>
        <v>2243.8003571369509</v>
      </c>
      <c r="Q61" s="168">
        <f t="shared" si="18"/>
        <v>2376.7646917445977</v>
      </c>
      <c r="R61" s="168">
        <f t="shared" si="18"/>
        <v>2522.5317573954426</v>
      </c>
      <c r="S61" s="168">
        <f t="shared" si="18"/>
        <v>2682.3117314838942</v>
      </c>
      <c r="T61" s="168">
        <f t="shared" si="18"/>
        <v>2857.416024991323</v>
      </c>
      <c r="U61" s="168">
        <f t="shared" si="18"/>
        <v>3049.2691948255265</v>
      </c>
      <c r="V61" s="168">
        <f t="shared" si="18"/>
        <v>3259.4215204958587</v>
      </c>
      <c r="W61" s="168">
        <f t="shared" si="18"/>
        <v>3489.5624142703341</v>
      </c>
      <c r="X61" s="168">
        <f t="shared" si="18"/>
        <v>3741.5348276172444</v>
      </c>
      <c r="Y61" s="168">
        <f t="shared" si="18"/>
        <v>4017.3508148095798</v>
      </c>
      <c r="Z61" s="168">
        <f t="shared" si="18"/>
        <v>4319.2084163925729</v>
      </c>
      <c r="AA61" s="168">
        <f t="shared" si="18"/>
        <v>4649.5100302874471</v>
      </c>
      <c r="AB61" s="141"/>
      <c r="AC61" s="141"/>
    </row>
    <row r="62" spans="1:29" s="3" customFormat="1" ht="13.2">
      <c r="A62" s="141" t="s">
        <v>929</v>
      </c>
      <c r="B62" s="141" t="s">
        <v>911</v>
      </c>
      <c r="C62" s="141" t="s">
        <v>64</v>
      </c>
      <c r="D62" s="168">
        <f>D43</f>
        <v>1572</v>
      </c>
      <c r="E62" s="168">
        <f t="shared" ref="E62:AA62" si="19">E43</f>
        <v>1650.2855898715341</v>
      </c>
      <c r="F62" s="168">
        <f t="shared" si="19"/>
        <v>1728.8544472829831</v>
      </c>
      <c r="G62" s="168">
        <f t="shared" si="19"/>
        <v>1809.9279663087204</v>
      </c>
      <c r="H62" s="168">
        <f t="shared" si="19"/>
        <v>1895.418869503656</v>
      </c>
      <c r="I62" s="168">
        <f t="shared" si="19"/>
        <v>1990.017594392817</v>
      </c>
      <c r="J62" s="168">
        <f t="shared" si="19"/>
        <v>2092.4310023005351</v>
      </c>
      <c r="K62" s="168">
        <f t="shared" si="19"/>
        <v>2204.1112294075774</v>
      </c>
      <c r="L62" s="168">
        <f t="shared" si="19"/>
        <v>2326.4592724646022</v>
      </c>
      <c r="M62" s="168">
        <f t="shared" si="19"/>
        <v>2460.8627737469888</v>
      </c>
      <c r="N62" s="168">
        <f t="shared" si="19"/>
        <v>2608.7279683106331</v>
      </c>
      <c r="O62" s="168">
        <f t="shared" si="19"/>
        <v>2771.5073215024699</v>
      </c>
      <c r="P62" s="168">
        <f t="shared" si="19"/>
        <v>2950.724072129633</v>
      </c>
      <c r="Q62" s="168">
        <f t="shared" si="19"/>
        <v>3147.9946552379347</v>
      </c>
      <c r="R62" s="168">
        <f t="shared" si="19"/>
        <v>3365.0497926825483</v>
      </c>
      <c r="S62" s="168">
        <f t="shared" si="19"/>
        <v>3603.7548975936174</v>
      </c>
      <c r="T62" s="168">
        <f t="shared" si="19"/>
        <v>3866.1303311138727</v>
      </c>
      <c r="U62" s="168">
        <f t="shared" si="19"/>
        <v>4154.3719691619599</v>
      </c>
      <c r="V62" s="168">
        <f t="shared" si="19"/>
        <v>4470.8724778277738</v>
      </c>
      <c r="W62" s="168">
        <f t="shared" si="19"/>
        <v>4818.2436539795235</v>
      </c>
      <c r="X62" s="168">
        <f t="shared" si="19"/>
        <v>5199.3401593962662</v>
      </c>
      <c r="Y62" s="168">
        <f t="shared" si="19"/>
        <v>5617.2849596535434</v>
      </c>
      <c r="Z62" s="168">
        <f t="shared" si="19"/>
        <v>6075.4967711152167</v>
      </c>
      <c r="AA62" s="168">
        <f t="shared" si="19"/>
        <v>6577.719819234866</v>
      </c>
      <c r="AB62" s="141"/>
      <c r="AC62" s="141"/>
    </row>
    <row r="63" spans="1:29" s="3" customFormat="1" ht="13.2">
      <c r="A63" s="141" t="s">
        <v>929</v>
      </c>
      <c r="B63" s="141" t="s">
        <v>951</v>
      </c>
      <c r="C63" s="141" t="s">
        <v>64</v>
      </c>
      <c r="D63" s="168">
        <f>D48</f>
        <v>0</v>
      </c>
      <c r="E63" s="168">
        <f t="shared" ref="E63:AA63" si="20">E48</f>
        <v>0</v>
      </c>
      <c r="F63" s="168">
        <f t="shared" si="20"/>
        <v>0</v>
      </c>
      <c r="G63" s="168">
        <f t="shared" si="20"/>
        <v>0</v>
      </c>
      <c r="H63" s="168">
        <f t="shared" si="20"/>
        <v>0</v>
      </c>
      <c r="I63" s="168">
        <f t="shared" si="20"/>
        <v>0</v>
      </c>
      <c r="J63" s="168">
        <f t="shared" si="20"/>
        <v>0</v>
      </c>
      <c r="K63" s="168">
        <f t="shared" si="20"/>
        <v>8666.6666666666661</v>
      </c>
      <c r="L63" s="168">
        <f t="shared" si="20"/>
        <v>8666.6666666666661</v>
      </c>
      <c r="M63" s="168">
        <f t="shared" si="20"/>
        <v>8666.6666666666661</v>
      </c>
      <c r="N63" s="168">
        <f t="shared" si="20"/>
        <v>8666.6666666666661</v>
      </c>
      <c r="O63" s="168">
        <f t="shared" si="20"/>
        <v>8666.6666666666661</v>
      </c>
      <c r="P63" s="168">
        <f t="shared" si="20"/>
        <v>8666.6666666666661</v>
      </c>
      <c r="Q63" s="168">
        <f t="shared" si="20"/>
        <v>8666.6666666666661</v>
      </c>
      <c r="R63" s="168">
        <f t="shared" si="20"/>
        <v>8666.6666666666661</v>
      </c>
      <c r="S63" s="168">
        <f t="shared" si="20"/>
        <v>17333.333333333332</v>
      </c>
      <c r="T63" s="168">
        <f t="shared" si="20"/>
        <v>17333.333333333332</v>
      </c>
      <c r="U63" s="168">
        <f t="shared" si="20"/>
        <v>17333.333333333332</v>
      </c>
      <c r="V63" s="168">
        <f t="shared" si="20"/>
        <v>17333.333333333332</v>
      </c>
      <c r="W63" s="168">
        <f t="shared" si="20"/>
        <v>17333.333333333332</v>
      </c>
      <c r="X63" s="168">
        <f t="shared" si="20"/>
        <v>17333.333333333332</v>
      </c>
      <c r="Y63" s="168">
        <f t="shared" si="20"/>
        <v>17333.333333333332</v>
      </c>
      <c r="Z63" s="168">
        <f t="shared" si="20"/>
        <v>17333.333333333332</v>
      </c>
      <c r="AA63" s="168">
        <f t="shared" si="20"/>
        <v>17333.333333333332</v>
      </c>
      <c r="AB63" s="141"/>
      <c r="AC63" s="141"/>
    </row>
    <row r="64" spans="1:29" s="3" customFormat="1" ht="39.6">
      <c r="A64" s="141" t="s">
        <v>929</v>
      </c>
      <c r="B64" s="141" t="s">
        <v>930</v>
      </c>
      <c r="C64" s="141" t="s">
        <v>64</v>
      </c>
      <c r="D64" s="175">
        <f>SUM(D58:D63)</f>
        <v>8009.6595500000003</v>
      </c>
      <c r="E64" s="175">
        <f t="shared" ref="E64:AA64" si="21">SUM(E58:E63)</f>
        <v>8297.6002069896022</v>
      </c>
      <c r="F64" s="175">
        <f t="shared" si="21"/>
        <v>8588.0768927961362</v>
      </c>
      <c r="G64" s="175">
        <f t="shared" si="21"/>
        <v>8888.7957884223015</v>
      </c>
      <c r="H64" s="175">
        <f t="shared" si="21"/>
        <v>9206.4384202509045</v>
      </c>
      <c r="I64" s="175">
        <f t="shared" si="21"/>
        <v>9955.9537531470451</v>
      </c>
      <c r="J64" s="175">
        <f t="shared" si="21"/>
        <v>10762.301121402723</v>
      </c>
      <c r="K64" s="175">
        <f t="shared" si="21"/>
        <v>20299.285574608166</v>
      </c>
      <c r="L64" s="175">
        <f t="shared" si="21"/>
        <v>20840.697757475406</v>
      </c>
      <c r="M64" s="175">
        <f t="shared" si="21"/>
        <v>21517.453638669274</v>
      </c>
      <c r="N64" s="175">
        <f t="shared" si="21"/>
        <v>22257.779882038765</v>
      </c>
      <c r="O64" s="175">
        <f t="shared" si="21"/>
        <v>23068.497319936541</v>
      </c>
      <c r="P64" s="175">
        <f t="shared" si="21"/>
        <v>23956.843598954947</v>
      </c>
      <c r="Q64" s="175">
        <f t="shared" si="21"/>
        <v>24930.554525525429</v>
      </c>
      <c r="R64" s="175">
        <f t="shared" si="21"/>
        <v>25997.944089350909</v>
      </c>
      <c r="S64" s="175">
        <f t="shared" si="21"/>
        <v>35834.651462509748</v>
      </c>
      <c r="T64" s="175">
        <f t="shared" si="21"/>
        <v>37117.056399530367</v>
      </c>
      <c r="U64" s="175">
        <f t="shared" si="21"/>
        <v>38522.36430828998</v>
      </c>
      <c r="V64" s="175">
        <f t="shared" si="21"/>
        <v>40062.028814347257</v>
      </c>
      <c r="W64" s="175">
        <f t="shared" si="21"/>
        <v>41748.512895097345</v>
      </c>
      <c r="X64" s="175">
        <f t="shared" si="21"/>
        <v>43595.389609166596</v>
      </c>
      <c r="Y64" s="175">
        <f t="shared" si="21"/>
        <v>45617.450086129189</v>
      </c>
      <c r="Z64" s="175">
        <f t="shared" si="21"/>
        <v>47830.81976826326</v>
      </c>
      <c r="AA64" s="175">
        <f t="shared" si="21"/>
        <v>50253.083906778411</v>
      </c>
      <c r="AB64" s="141" t="s">
        <v>931</v>
      </c>
      <c r="AC64" s="141" t="s">
        <v>877</v>
      </c>
    </row>
    <row r="65" spans="1:29" s="3" customFormat="1" ht="13.2">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row>
    <row r="66" spans="1:29" s="3" customFormat="1" ht="13.2">
      <c r="A66" s="105" t="s">
        <v>934</v>
      </c>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row>
    <row r="67" spans="1:29" s="3" customFormat="1" ht="13.2">
      <c r="A67" s="141" t="s">
        <v>935</v>
      </c>
      <c r="B67" s="141" t="s">
        <v>790</v>
      </c>
      <c r="C67" s="141" t="s">
        <v>64</v>
      </c>
      <c r="D67" s="167">
        <f>D17</f>
        <v>44463.3</v>
      </c>
      <c r="E67" s="167">
        <f t="shared" ref="E67:AA67" si="22">E17</f>
        <v>46129.371027682952</v>
      </c>
      <c r="F67" s="167">
        <f t="shared" si="22"/>
        <v>47841.764196183787</v>
      </c>
      <c r="G67" s="167">
        <f t="shared" si="22"/>
        <v>49636.689580722785</v>
      </c>
      <c r="H67" s="167">
        <f t="shared" si="22"/>
        <v>51546.579430354774</v>
      </c>
      <c r="I67" s="167">
        <f t="shared" si="22"/>
        <v>55200.286326940695</v>
      </c>
      <c r="J67" s="167">
        <f t="shared" si="22"/>
        <v>59124.935869718305</v>
      </c>
      <c r="K67" s="167">
        <f t="shared" si="22"/>
        <v>63355.058808947862</v>
      </c>
      <c r="L67" s="167">
        <f t="shared" si="22"/>
        <v>66925.529543134457</v>
      </c>
      <c r="M67" s="167">
        <f t="shared" si="22"/>
        <v>71075.594430066791</v>
      </c>
      <c r="N67" s="167">
        <f t="shared" si="22"/>
        <v>75597.071680328838</v>
      </c>
      <c r="O67" s="167">
        <f t="shared" si="22"/>
        <v>80528.928518802015</v>
      </c>
      <c r="P67" s="167">
        <f t="shared" si="22"/>
        <v>85912.839008882307</v>
      </c>
      <c r="Q67" s="167">
        <f t="shared" si="22"/>
        <v>91793.63785943274</v>
      </c>
      <c r="R67" s="167">
        <f t="shared" si="22"/>
        <v>98219.779106721602</v>
      </c>
      <c r="S67" s="167">
        <f t="shared" si="22"/>
        <v>105243.80857418811</v>
      </c>
      <c r="T67" s="167">
        <f t="shared" si="22"/>
        <v>112922.85812897378</v>
      </c>
      <c r="U67" s="167">
        <f t="shared" si="22"/>
        <v>121319.16915828783</v>
      </c>
      <c r="V67" s="167">
        <f t="shared" si="22"/>
        <v>130500.65233034824</v>
      </c>
      <c r="W67" s="167">
        <f t="shared" si="22"/>
        <v>140541.49054506194</v>
      </c>
      <c r="X67" s="167">
        <f t="shared" si="22"/>
        <v>151522.79198932773</v>
      </c>
      <c r="Y67" s="167">
        <f t="shared" si="22"/>
        <v>163533.30036891787</v>
      </c>
      <c r="Z67" s="167">
        <f t="shared" si="22"/>
        <v>176670.16967741554</v>
      </c>
      <c r="AA67" s="167">
        <f t="shared" si="22"/>
        <v>191039.81127168183</v>
      </c>
    </row>
    <row r="68" spans="1:29" s="3" customFormat="1" ht="13.2">
      <c r="A68" s="141" t="s">
        <v>935</v>
      </c>
      <c r="B68" s="141" t="s">
        <v>930</v>
      </c>
      <c r="C68" s="141" t="s">
        <v>64</v>
      </c>
      <c r="D68" s="167">
        <f>D64</f>
        <v>8009.6595500000003</v>
      </c>
      <c r="E68" s="167">
        <f t="shared" ref="E68:AA68" si="23">E64</f>
        <v>8297.6002069896022</v>
      </c>
      <c r="F68" s="167">
        <f t="shared" si="23"/>
        <v>8588.0768927961362</v>
      </c>
      <c r="G68" s="167">
        <f t="shared" si="23"/>
        <v>8888.7957884223015</v>
      </c>
      <c r="H68" s="167">
        <f t="shared" si="23"/>
        <v>9206.4384202509045</v>
      </c>
      <c r="I68" s="167">
        <f t="shared" si="23"/>
        <v>9955.9537531470451</v>
      </c>
      <c r="J68" s="167">
        <f t="shared" si="23"/>
        <v>10762.301121402723</v>
      </c>
      <c r="K68" s="167">
        <f t="shared" si="23"/>
        <v>20299.285574608166</v>
      </c>
      <c r="L68" s="167">
        <f t="shared" si="23"/>
        <v>20840.697757475406</v>
      </c>
      <c r="M68" s="167">
        <f t="shared" si="23"/>
        <v>21517.453638669274</v>
      </c>
      <c r="N68" s="167">
        <f t="shared" si="23"/>
        <v>22257.779882038765</v>
      </c>
      <c r="O68" s="167">
        <f t="shared" si="23"/>
        <v>23068.497319936541</v>
      </c>
      <c r="P68" s="167">
        <f t="shared" si="23"/>
        <v>23956.843598954947</v>
      </c>
      <c r="Q68" s="167">
        <f t="shared" si="23"/>
        <v>24930.554525525429</v>
      </c>
      <c r="R68" s="167">
        <f t="shared" si="23"/>
        <v>25997.944089350909</v>
      </c>
      <c r="S68" s="167">
        <f t="shared" si="23"/>
        <v>35834.651462509748</v>
      </c>
      <c r="T68" s="167">
        <f t="shared" si="23"/>
        <v>37117.056399530367</v>
      </c>
      <c r="U68" s="167">
        <f t="shared" si="23"/>
        <v>38522.36430828998</v>
      </c>
      <c r="V68" s="167">
        <f t="shared" si="23"/>
        <v>40062.028814347257</v>
      </c>
      <c r="W68" s="167">
        <f t="shared" si="23"/>
        <v>41748.512895097345</v>
      </c>
      <c r="X68" s="167">
        <f t="shared" si="23"/>
        <v>43595.389609166596</v>
      </c>
      <c r="Y68" s="167">
        <f t="shared" si="23"/>
        <v>45617.450086129189</v>
      </c>
      <c r="Z68" s="167">
        <f t="shared" si="23"/>
        <v>47830.81976826326</v>
      </c>
      <c r="AA68" s="167">
        <f t="shared" si="23"/>
        <v>50253.083906778411</v>
      </c>
      <c r="AB68" s="141"/>
      <c r="AC68" s="141"/>
    </row>
    <row r="69" spans="1:29" s="3" customFormat="1" ht="13.2">
      <c r="A69" s="141" t="s">
        <v>935</v>
      </c>
      <c r="B69" s="141" t="s">
        <v>935</v>
      </c>
      <c r="C69" s="141" t="s">
        <v>64</v>
      </c>
      <c r="D69" s="167">
        <f>D67-D68</f>
        <v>36453.640450000006</v>
      </c>
      <c r="E69" s="167">
        <f t="shared" ref="E69:AA69" si="24">E67-E68</f>
        <v>37831.770820693346</v>
      </c>
      <c r="F69" s="167">
        <f t="shared" si="24"/>
        <v>39253.687303387647</v>
      </c>
      <c r="G69" s="167">
        <f t="shared" si="24"/>
        <v>40747.893792300485</v>
      </c>
      <c r="H69" s="167">
        <f t="shared" si="24"/>
        <v>42340.141010103871</v>
      </c>
      <c r="I69" s="167">
        <f t="shared" si="24"/>
        <v>45244.332573793654</v>
      </c>
      <c r="J69" s="167">
        <f t="shared" si="24"/>
        <v>48362.634748315584</v>
      </c>
      <c r="K69" s="167">
        <f t="shared" si="24"/>
        <v>43055.773234339693</v>
      </c>
      <c r="L69" s="167">
        <f t="shared" si="24"/>
        <v>46084.831785659051</v>
      </c>
      <c r="M69" s="167">
        <f t="shared" si="24"/>
        <v>49558.140791397513</v>
      </c>
      <c r="N69" s="167">
        <f t="shared" si="24"/>
        <v>53339.291798290069</v>
      </c>
      <c r="O69" s="167">
        <f t="shared" si="24"/>
        <v>57460.431198865474</v>
      </c>
      <c r="P69" s="167">
        <f t="shared" si="24"/>
        <v>61955.99540992736</v>
      </c>
      <c r="Q69" s="167">
        <f t="shared" si="24"/>
        <v>66863.083333907314</v>
      </c>
      <c r="R69" s="167">
        <f t="shared" si="24"/>
        <v>72221.8350173707</v>
      </c>
      <c r="S69" s="167">
        <f t="shared" si="24"/>
        <v>69409.15711167836</v>
      </c>
      <c r="T69" s="167">
        <f t="shared" si="24"/>
        <v>75805.80172944341</v>
      </c>
      <c r="U69" s="167">
        <f t="shared" si="24"/>
        <v>82796.804849997847</v>
      </c>
      <c r="V69" s="167">
        <f t="shared" si="24"/>
        <v>90438.623516000982</v>
      </c>
      <c r="W69" s="167">
        <f t="shared" si="24"/>
        <v>98792.977649964596</v>
      </c>
      <c r="X69" s="167">
        <f t="shared" si="24"/>
        <v>107927.40238016113</v>
      </c>
      <c r="Y69" s="167">
        <f t="shared" si="24"/>
        <v>117915.85028278868</v>
      </c>
      <c r="Z69" s="167">
        <f t="shared" si="24"/>
        <v>128839.34990915228</v>
      </c>
      <c r="AA69" s="167">
        <f t="shared" si="24"/>
        <v>140786.72736490343</v>
      </c>
      <c r="AB69" s="141"/>
      <c r="AC69" s="141"/>
    </row>
    <row r="70" spans="1:29" s="3" customFormat="1" ht="26.4">
      <c r="A70" s="141" t="s">
        <v>935</v>
      </c>
      <c r="B70" s="141" t="s">
        <v>936</v>
      </c>
      <c r="C70" s="141" t="s">
        <v>173</v>
      </c>
      <c r="D70" s="184">
        <f>IF(D67=0,"-",D69/D67)</f>
        <v>0.81985908490822779</v>
      </c>
      <c r="E70" s="185">
        <f t="shared" ref="E70:AA70" si="25">IF(E67=0,"-",E69/E67)</f>
        <v>0.82012327456166512</v>
      </c>
      <c r="F70" s="185">
        <f t="shared" si="25"/>
        <v>0.82048996233543603</v>
      </c>
      <c r="G70" s="185">
        <f t="shared" si="25"/>
        <v>0.82092287250609863</v>
      </c>
      <c r="H70" s="186">
        <f t="shared" si="25"/>
        <v>0.82139574493609535</v>
      </c>
      <c r="I70" s="186">
        <f t="shared" si="25"/>
        <v>0.81963945450971321</v>
      </c>
      <c r="J70" s="186">
        <f t="shared" si="25"/>
        <v>0.8179735679524891</v>
      </c>
      <c r="K70" s="186">
        <f t="shared" si="25"/>
        <v>0.67959487440738942</v>
      </c>
      <c r="L70" s="186">
        <f t="shared" si="25"/>
        <v>0.68859868723125639</v>
      </c>
      <c r="M70" s="186">
        <f t="shared" si="25"/>
        <v>0.69725960350791172</v>
      </c>
      <c r="N70" s="186">
        <f t="shared" si="25"/>
        <v>0.70557351776589405</v>
      </c>
      <c r="O70" s="186">
        <f t="shared" si="25"/>
        <v>0.71353775911037398</v>
      </c>
      <c r="P70" s="186">
        <f t="shared" si="25"/>
        <v>0.72114943615728833</v>
      </c>
      <c r="Q70" s="186">
        <f t="shared" si="25"/>
        <v>0.72840650935195994</v>
      </c>
      <c r="R70" s="186">
        <f t="shared" si="25"/>
        <v>0.73530846509945214</v>
      </c>
      <c r="S70" s="186">
        <f t="shared" si="25"/>
        <v>0.65950822240294249</v>
      </c>
      <c r="T70" s="186">
        <f t="shared" si="25"/>
        <v>0.67130608439668193</v>
      </c>
      <c r="U70" s="186">
        <f t="shared" si="25"/>
        <v>0.6824709188534831</v>
      </c>
      <c r="V70" s="186">
        <f t="shared" si="25"/>
        <v>0.6930128079901503</v>
      </c>
      <c r="W70" s="186">
        <f t="shared" si="25"/>
        <v>0.70294528161623926</v>
      </c>
      <c r="X70" s="186">
        <f t="shared" si="25"/>
        <v>0.71228493722424824</v>
      </c>
      <c r="Y70" s="186">
        <f t="shared" si="25"/>
        <v>0.72105100317048632</v>
      </c>
      <c r="Z70" s="186">
        <f t="shared" si="25"/>
        <v>0.72926487897986281</v>
      </c>
      <c r="AA70" s="186">
        <f t="shared" si="25"/>
        <v>0.73694967780662013</v>
      </c>
      <c r="AB70" s="141" t="s">
        <v>937</v>
      </c>
      <c r="AC70" s="141" t="s">
        <v>877</v>
      </c>
    </row>
    <row r="71" spans="1:29" s="3" customFormat="1" ht="13.2">
      <c r="A71" s="141" t="s">
        <v>935</v>
      </c>
      <c r="B71" s="141" t="s">
        <v>953</v>
      </c>
      <c r="C71" s="141"/>
      <c r="D71" s="167">
        <f>D15</f>
        <v>44463.3</v>
      </c>
      <c r="E71" s="167">
        <f t="shared" ref="E71:AA71" si="26">E15</f>
        <v>46129.371027682952</v>
      </c>
      <c r="F71" s="167">
        <f t="shared" si="26"/>
        <v>47841.764196183787</v>
      </c>
      <c r="G71" s="167">
        <f t="shared" si="26"/>
        <v>49636.689580722785</v>
      </c>
      <c r="H71" s="167">
        <f t="shared" si="26"/>
        <v>51546.579430354774</v>
      </c>
      <c r="I71" s="167">
        <f t="shared" si="26"/>
        <v>54200.286326940695</v>
      </c>
      <c r="J71" s="167">
        <f t="shared" si="26"/>
        <v>57054.935869718305</v>
      </c>
      <c r="K71" s="167">
        <f t="shared" si="26"/>
        <v>60140.158808947861</v>
      </c>
      <c r="L71" s="167">
        <f t="shared" si="26"/>
        <v>63485.58654313445</v>
      </c>
      <c r="M71" s="167">
        <f t="shared" si="26"/>
        <v>67394.855420066786</v>
      </c>
      <c r="N71" s="167">
        <f t="shared" si="26"/>
        <v>71658.68093962883</v>
      </c>
      <c r="O71" s="167">
        <f t="shared" si="26"/>
        <v>76314.850426253019</v>
      </c>
      <c r="P71" s="167">
        <f t="shared" si="26"/>
        <v>81403.775449854875</v>
      </c>
      <c r="Q71" s="167">
        <f t="shared" si="26"/>
        <v>86968.93985127339</v>
      </c>
      <c r="R71" s="167">
        <f t="shared" si="26"/>
        <v>93057.352237991101</v>
      </c>
      <c r="S71" s="167">
        <f t="shared" si="26"/>
        <v>99720.01182464647</v>
      </c>
      <c r="T71" s="167">
        <f t="shared" si="26"/>
        <v>107012.39560696423</v>
      </c>
      <c r="U71" s="167">
        <f t="shared" si="26"/>
        <v>114994.9742597376</v>
      </c>
      <c r="V71" s="167">
        <f t="shared" si="26"/>
        <v>123733.76378889949</v>
      </c>
      <c r="W71" s="167">
        <f t="shared" si="26"/>
        <v>133300.91980571178</v>
      </c>
      <c r="X71" s="167">
        <f t="shared" si="26"/>
        <v>143775.38129822307</v>
      </c>
      <c r="Y71" s="167">
        <f t="shared" si="26"/>
        <v>155243.5709294359</v>
      </c>
      <c r="Z71" s="167">
        <f t="shared" si="26"/>
        <v>167800.15917716981</v>
      </c>
      <c r="AA71" s="167">
        <f t="shared" si="26"/>
        <v>181548.9000364189</v>
      </c>
      <c r="AB71" s="141"/>
      <c r="AC71" s="141"/>
    </row>
    <row r="72" spans="1:29" s="3" customFormat="1" ht="13.2">
      <c r="A72" s="141" t="s">
        <v>935</v>
      </c>
      <c r="B72" s="141" t="s">
        <v>932</v>
      </c>
      <c r="C72" s="141"/>
      <c r="D72" s="167">
        <f>SUM(D59:D63)</f>
        <v>8009.6595500000003</v>
      </c>
      <c r="E72" s="167">
        <f t="shared" ref="E72:AA72" si="27">SUM(E59:E63)</f>
        <v>8297.6002069896022</v>
      </c>
      <c r="F72" s="167">
        <f t="shared" si="27"/>
        <v>8588.0768927961362</v>
      </c>
      <c r="G72" s="167">
        <f t="shared" si="27"/>
        <v>8888.7957884223015</v>
      </c>
      <c r="H72" s="167">
        <f t="shared" si="27"/>
        <v>9206.4384202509045</v>
      </c>
      <c r="I72" s="167">
        <f t="shared" si="27"/>
        <v>9555.9537531470451</v>
      </c>
      <c r="J72" s="167">
        <f t="shared" si="27"/>
        <v>9934.3011214027229</v>
      </c>
      <c r="K72" s="167">
        <f t="shared" si="27"/>
        <v>19013.325574608167</v>
      </c>
      <c r="L72" s="167">
        <f t="shared" si="27"/>
        <v>19464.720557475404</v>
      </c>
      <c r="M72" s="167">
        <f t="shared" si="27"/>
        <v>20045.158034669272</v>
      </c>
      <c r="N72" s="167">
        <f t="shared" si="27"/>
        <v>20682.423585758763</v>
      </c>
      <c r="O72" s="167">
        <f t="shared" si="27"/>
        <v>21382.866082916938</v>
      </c>
      <c r="P72" s="167">
        <f t="shared" si="27"/>
        <v>22153.218175343973</v>
      </c>
      <c r="Q72" s="167">
        <f t="shared" si="27"/>
        <v>23000.67532226169</v>
      </c>
      <c r="R72" s="167">
        <f t="shared" si="27"/>
        <v>23932.973341858706</v>
      </c>
      <c r="S72" s="167">
        <f t="shared" si="27"/>
        <v>33625.132762693087</v>
      </c>
      <c r="T72" s="167">
        <f t="shared" si="27"/>
        <v>34752.871390726548</v>
      </c>
      <c r="U72" s="167">
        <f t="shared" si="27"/>
        <v>35992.686348869887</v>
      </c>
      <c r="V72" s="167">
        <f t="shared" si="27"/>
        <v>37355.273397767756</v>
      </c>
      <c r="W72" s="167">
        <f t="shared" si="27"/>
        <v>38852.284599357285</v>
      </c>
      <c r="X72" s="167">
        <f t="shared" si="27"/>
        <v>40496.425332724735</v>
      </c>
      <c r="Y72" s="167">
        <f t="shared" si="27"/>
        <v>42301.558310336404</v>
      </c>
      <c r="Z72" s="167">
        <f t="shared" si="27"/>
        <v>44282.815568164966</v>
      </c>
      <c r="AA72" s="167">
        <f t="shared" si="27"/>
        <v>46456.719412673236</v>
      </c>
      <c r="AB72" s="141"/>
      <c r="AC72" s="141"/>
    </row>
    <row r="73" spans="1:29" s="3" customFormat="1" ht="26.4">
      <c r="A73" s="141" t="s">
        <v>935</v>
      </c>
      <c r="B73" s="141" t="s">
        <v>938</v>
      </c>
      <c r="C73" s="141" t="s">
        <v>173</v>
      </c>
      <c r="D73" s="186">
        <f t="shared" ref="D73:AA73" si="28">IF(D71=0,"-",1-D72/D71)</f>
        <v>0.81985908490822768</v>
      </c>
      <c r="E73" s="186">
        <f t="shared" si="28"/>
        <v>0.82012327456166523</v>
      </c>
      <c r="F73" s="186">
        <f t="shared" si="28"/>
        <v>0.82048996233543614</v>
      </c>
      <c r="G73" s="186">
        <f t="shared" si="28"/>
        <v>0.82092287250609863</v>
      </c>
      <c r="H73" s="186">
        <f t="shared" si="28"/>
        <v>0.82139574493609535</v>
      </c>
      <c r="I73" s="186">
        <f t="shared" si="28"/>
        <v>0.82369182156151854</v>
      </c>
      <c r="J73" s="186">
        <f t="shared" si="28"/>
        <v>0.82588182827709888</v>
      </c>
      <c r="K73" s="186">
        <f t="shared" si="28"/>
        <v>0.68384976110539797</v>
      </c>
      <c r="L73" s="186">
        <f t="shared" si="28"/>
        <v>0.69339937429340193</v>
      </c>
      <c r="M73" s="186">
        <f t="shared" si="28"/>
        <v>0.70257139198935303</v>
      </c>
      <c r="N73" s="186">
        <f t="shared" si="28"/>
        <v>0.71137588196490331</v>
      </c>
      <c r="O73" s="186">
        <f t="shared" si="28"/>
        <v>0.71980727258870392</v>
      </c>
      <c r="P73" s="186">
        <f t="shared" si="28"/>
        <v>0.7278600648075535</v>
      </c>
      <c r="Q73" s="186">
        <f t="shared" si="28"/>
        <v>0.73553000230202392</v>
      </c>
      <c r="R73" s="186">
        <f t="shared" si="28"/>
        <v>0.74281480435150438</v>
      </c>
      <c r="S73" s="186">
        <f t="shared" si="28"/>
        <v>0.66280456502731377</v>
      </c>
      <c r="T73" s="186">
        <f t="shared" si="28"/>
        <v>0.67524443132394585</v>
      </c>
      <c r="U73" s="186">
        <f t="shared" si="28"/>
        <v>0.68700644023299928</v>
      </c>
      <c r="V73" s="186">
        <f t="shared" si="28"/>
        <v>0.69809959501838903</v>
      </c>
      <c r="W73" s="186">
        <f t="shared" si="28"/>
        <v>0.70853701042734651</v>
      </c>
      <c r="X73" s="186">
        <f t="shared" si="28"/>
        <v>0.71833546906945167</v>
      </c>
      <c r="Y73" s="186">
        <f t="shared" si="28"/>
        <v>0.72751491055585116</v>
      </c>
      <c r="Z73" s="186">
        <f t="shared" si="28"/>
        <v>0.73609789296201156</v>
      </c>
      <c r="AA73" s="186">
        <f t="shared" si="28"/>
        <v>0.74410905599894039</v>
      </c>
      <c r="AB73" s="141" t="s">
        <v>939</v>
      </c>
      <c r="AC73" s="141" t="s">
        <v>877</v>
      </c>
    </row>
    <row r="74" spans="1:29" s="3" customFormat="1" ht="13.2">
      <c r="A74" s="141"/>
      <c r="B74" s="141"/>
      <c r="C74" s="141"/>
      <c r="D74" s="187"/>
      <c r="E74" s="187"/>
      <c r="F74" s="187"/>
      <c r="G74" s="187"/>
      <c r="H74" s="187"/>
      <c r="I74" s="187"/>
      <c r="J74" s="187"/>
      <c r="K74" s="187"/>
      <c r="L74" s="187"/>
      <c r="M74" s="187"/>
      <c r="N74" s="187"/>
      <c r="O74" s="187"/>
      <c r="P74" s="187"/>
      <c r="Q74" s="187"/>
      <c r="R74" s="187"/>
      <c r="S74" s="187"/>
      <c r="T74" s="187"/>
      <c r="U74" s="187"/>
      <c r="V74" s="187"/>
      <c r="W74" s="187"/>
      <c r="X74" s="187"/>
      <c r="Y74" s="187"/>
      <c r="Z74" s="187"/>
      <c r="AA74" s="187"/>
      <c r="AB74" s="141"/>
      <c r="AC74" s="141"/>
    </row>
    <row r="75" spans="1:29" s="3" customFormat="1" ht="13.2">
      <c r="A75" s="105" t="s">
        <v>940</v>
      </c>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41"/>
      <c r="AC75" s="141"/>
    </row>
    <row r="76" spans="1:29" s="3" customFormat="1" ht="13.2">
      <c r="A76" s="141" t="s">
        <v>807</v>
      </c>
      <c r="B76" s="141" t="s">
        <v>941</v>
      </c>
      <c r="C76" s="141" t="s">
        <v>785</v>
      </c>
      <c r="D76" s="163" t="str">
        <f>IF(D$6=6,IF(D70&gt;=INDEX('1. Assumptions'!$G:$G,MATCH("*Target Gross Margin*M6*",'1. Assumptions'!$B:$B,0)),"OK","CHECK"),"")</f>
        <v/>
      </c>
      <c r="E76" s="163" t="str">
        <f>IF(E$6=6,IF(E70&gt;=INDEX('1. Assumptions'!$G:$G,MATCH("*Target Gross Margin*M6*",'1. Assumptions'!$B:$B,0)),"OK","CHECK"),"")</f>
        <v/>
      </c>
      <c r="F76" s="163" t="str">
        <f>IF(F$6=6,IF(F70&gt;=INDEX('1. Assumptions'!$G:$G,MATCH("*Target Gross Margin*M6*",'1. Assumptions'!$B:$B,0)),"OK","CHECK"),"")</f>
        <v/>
      </c>
      <c r="G76" s="163" t="str">
        <f>IF(G$6=6,IF(G70&gt;=INDEX('1. Assumptions'!$G:$G,MATCH("*Target Gross Margin*M6*",'1. Assumptions'!$B:$B,0)),"OK","CHECK"),"")</f>
        <v/>
      </c>
      <c r="H76" s="163" t="str">
        <f>IF(H$6=6,IF(H70&gt;=INDEX('1. Assumptions'!$G:$G,MATCH("*Target Gross Margin*M6*",'1. Assumptions'!$B:$B,0)),"OK","CHECK"),"")</f>
        <v/>
      </c>
      <c r="I76" s="163" t="str">
        <f>IF(I$6=6,IF(I70&gt;=INDEX('1. Assumptions'!$G:$G,MATCH("*Target Gross Margin*M6*",'1. Assumptions'!$B:$B,0)),"OK","CHECK"),"")</f>
        <v>OK</v>
      </c>
      <c r="J76" s="163" t="str">
        <f>IF(J$6=6,IF(J70&gt;=INDEX('1. Assumptions'!$G:$G,MATCH("*Target Gross Margin*M6*",'1. Assumptions'!$B:$B,0)),"OK","CHECK"),"")</f>
        <v/>
      </c>
      <c r="K76" s="163" t="str">
        <f>IF(K$6=6,IF(K70&gt;=INDEX('1. Assumptions'!$G:$G,MATCH("*Target Gross Margin*M6*",'1. Assumptions'!$B:$B,0)),"OK","CHECK"),"")</f>
        <v/>
      </c>
      <c r="L76" s="163" t="str">
        <f>IF(L$6=6,IF(L70&gt;=INDEX('1. Assumptions'!$G:$G,MATCH("*Target Gross Margin*M6*",'1. Assumptions'!$B:$B,0)),"OK","CHECK"),"")</f>
        <v/>
      </c>
      <c r="M76" s="163" t="str">
        <f>IF(M$6=6,IF(M70&gt;=INDEX('1. Assumptions'!$G:$G,MATCH("*Target Gross Margin*M6*",'1. Assumptions'!$B:$B,0)),"OK","CHECK"),"")</f>
        <v/>
      </c>
      <c r="N76" s="163" t="str">
        <f>IF(N$6=6,IF(N70&gt;=INDEX('1. Assumptions'!$G:$G,MATCH("*Target Gross Margin*M6*",'1. Assumptions'!$B:$B,0)),"OK","CHECK"),"")</f>
        <v/>
      </c>
      <c r="O76" s="163" t="str">
        <f>IF(O$6=6,IF(O70&gt;=INDEX('1. Assumptions'!$G:$G,MATCH("*Target Gross Margin*M6*",'1. Assumptions'!$B:$B,0)),"OK","CHECK"),"")</f>
        <v/>
      </c>
      <c r="P76" s="163" t="str">
        <f>IF(P$6=6,IF(P70&gt;=INDEX('1. Assumptions'!$G:$G,MATCH("*Target Gross Margin*M6*",'1. Assumptions'!$B:$B,0)),"OK","CHECK"),"")</f>
        <v/>
      </c>
      <c r="Q76" s="163" t="str">
        <f>IF(Q$6=6,IF(Q70&gt;=INDEX('1. Assumptions'!$G:$G,MATCH("*Target Gross Margin*M6*",'1. Assumptions'!$B:$B,0)),"OK","CHECK"),"")</f>
        <v/>
      </c>
      <c r="R76" s="163" t="str">
        <f>IF(R$6=6,IF(R70&gt;=INDEX('1. Assumptions'!$G:$G,MATCH("*Target Gross Margin*M6*",'1. Assumptions'!$B:$B,0)),"OK","CHECK"),"")</f>
        <v/>
      </c>
      <c r="S76" s="163" t="str">
        <f>IF(S$6=6,IF(S70&gt;=INDEX('1. Assumptions'!$G:$G,MATCH("*Target Gross Margin*M6*",'1. Assumptions'!$B:$B,0)),"OK","CHECK"),"")</f>
        <v/>
      </c>
      <c r="T76" s="163" t="str">
        <f>IF(T$6=6,IF(T70&gt;=INDEX('1. Assumptions'!$G:$G,MATCH("*Target Gross Margin*M6*",'1. Assumptions'!$B:$B,0)),"OK","CHECK"),"")</f>
        <v/>
      </c>
      <c r="U76" s="163" t="str">
        <f>IF(U$6=6,IF(U70&gt;=INDEX('1. Assumptions'!$G:$G,MATCH("*Target Gross Margin*M6*",'1. Assumptions'!$B:$B,0)),"OK","CHECK"),"")</f>
        <v/>
      </c>
      <c r="V76" s="163" t="str">
        <f>IF(V$6=6,IF(V70&gt;=INDEX('1. Assumptions'!$G:$G,MATCH("*Target Gross Margin*M6*",'1. Assumptions'!$B:$B,0)),"OK","CHECK"),"")</f>
        <v/>
      </c>
      <c r="W76" s="163" t="str">
        <f>IF(W$6=6,IF(W70&gt;=INDEX('1. Assumptions'!$G:$G,MATCH("*Target Gross Margin*M6*",'1. Assumptions'!$B:$B,0)),"OK","CHECK"),"")</f>
        <v/>
      </c>
      <c r="X76" s="163" t="str">
        <f>IF(X$6=6,IF(X70&gt;=INDEX('1. Assumptions'!$G:$G,MATCH("*Target Gross Margin*M6*",'1. Assumptions'!$B:$B,0)),"OK","CHECK"),"")</f>
        <v/>
      </c>
      <c r="Y76" s="163" t="str">
        <f>IF(Y$6=6,IF(Y70&gt;=INDEX('1. Assumptions'!$G:$G,MATCH("*Target Gross Margin*M6*",'1. Assumptions'!$B:$B,0)),"OK","CHECK"),"")</f>
        <v/>
      </c>
      <c r="Z76" s="163" t="str">
        <f>IF(Z$6=6,IF(Z70&gt;=INDEX('1. Assumptions'!$G:$G,MATCH("*Target Gross Margin*M6*",'1. Assumptions'!$B:$B,0)),"OK","CHECK"),"")</f>
        <v/>
      </c>
      <c r="AA76" s="163" t="str">
        <f>IF(AA$6=6,IF(AA70&gt;=INDEX('1. Assumptions'!$G:$G,MATCH("*Target Gross Margin*M6*",'1. Assumptions'!$B:$B,0)),"OK","CHECK"),"")</f>
        <v/>
      </c>
      <c r="AB76" s="141"/>
      <c r="AC76" s="141"/>
    </row>
    <row r="77" spans="1:29" s="3" customFormat="1" ht="13.2">
      <c r="A77" s="141" t="s">
        <v>807</v>
      </c>
      <c r="B77" s="141" t="s">
        <v>942</v>
      </c>
      <c r="C77" s="141" t="s">
        <v>785</v>
      </c>
      <c r="D77" s="180" t="str">
        <f>IF(D$6=24,IF(D70&gt;=INDEX('1. Assumptions'!$G:$G,MATCH("*Target Gross Margin*M24*",'1. Assumptions'!$B:$B,0)),"OK","CHECK"),"")</f>
        <v/>
      </c>
      <c r="E77" s="180" t="str">
        <f>IF(E$6=24,IF(E70&gt;=INDEX('1. Assumptions'!$G:$G,MATCH("*Target Gross Margin*M24*",'1. Assumptions'!$B:$B,0)),"OK","CHECK"),"")</f>
        <v/>
      </c>
      <c r="F77" s="180" t="str">
        <f>IF(F$6=24,IF(F70&gt;=INDEX('1. Assumptions'!$G:$G,MATCH("*Target Gross Margin*M24*",'1. Assumptions'!$B:$B,0)),"OK","CHECK"),"")</f>
        <v/>
      </c>
      <c r="G77" s="180" t="str">
        <f>IF(G$6=24,IF(G70&gt;=INDEX('1. Assumptions'!$G:$G,MATCH("*Target Gross Margin*M24*",'1. Assumptions'!$B:$B,0)),"OK","CHECK"),"")</f>
        <v/>
      </c>
      <c r="H77" s="180" t="str">
        <f>IF(H$6=24,IF(H70&gt;=INDEX('1. Assumptions'!$G:$G,MATCH("*Target Gross Margin*M24*",'1. Assumptions'!$B:$B,0)),"OK","CHECK"),"")</f>
        <v/>
      </c>
      <c r="I77" s="180" t="str">
        <f>IF(I$6=24,IF(I70&gt;=INDEX('1. Assumptions'!$G:$G,MATCH("*Target Gross Margin*M24*",'1. Assumptions'!$B:$B,0)),"OK","CHECK"),"")</f>
        <v/>
      </c>
      <c r="J77" s="180" t="str">
        <f>IF(J$6=24,IF(J70&gt;=INDEX('1. Assumptions'!$G:$G,MATCH("*Target Gross Margin*M24*",'1. Assumptions'!$B:$B,0)),"OK","CHECK"),"")</f>
        <v/>
      </c>
      <c r="K77" s="180" t="str">
        <f>IF(K$6=24,IF(K70&gt;=INDEX('1. Assumptions'!$G:$G,MATCH("*Target Gross Margin*M24*",'1. Assumptions'!$B:$B,0)),"OK","CHECK"),"")</f>
        <v/>
      </c>
      <c r="L77" s="180" t="str">
        <f>IF(L$6=24,IF(L70&gt;=INDEX('1. Assumptions'!$G:$G,MATCH("*Target Gross Margin*M24*",'1. Assumptions'!$B:$B,0)),"OK","CHECK"),"")</f>
        <v/>
      </c>
      <c r="M77" s="180" t="str">
        <f>IF(M$6=24,IF(M70&gt;=INDEX('1. Assumptions'!$G:$G,MATCH("*Target Gross Margin*M24*",'1. Assumptions'!$B:$B,0)),"OK","CHECK"),"")</f>
        <v/>
      </c>
      <c r="N77" s="180" t="str">
        <f>IF(N$6=24,IF(N70&gt;=INDEX('1. Assumptions'!$G:$G,MATCH("*Target Gross Margin*M24*",'1. Assumptions'!$B:$B,0)),"OK","CHECK"),"")</f>
        <v/>
      </c>
      <c r="O77" s="180" t="str">
        <f>IF(O$6=24,IF(O70&gt;=INDEX('1. Assumptions'!$G:$G,MATCH("*Target Gross Margin*M24*",'1. Assumptions'!$B:$B,0)),"OK","CHECK"),"")</f>
        <v/>
      </c>
      <c r="P77" s="180" t="str">
        <f>IF(P$6=24,IF(P70&gt;=INDEX('1. Assumptions'!$G:$G,MATCH("*Target Gross Margin*M24*",'1. Assumptions'!$B:$B,0)),"OK","CHECK"),"")</f>
        <v/>
      </c>
      <c r="Q77" s="180" t="str">
        <f>IF(Q$6=24,IF(Q70&gt;=INDEX('1. Assumptions'!$G:$G,MATCH("*Target Gross Margin*M24*",'1. Assumptions'!$B:$B,0)),"OK","CHECK"),"")</f>
        <v/>
      </c>
      <c r="R77" s="180" t="str">
        <f>IF(R$6=24,IF(R70&gt;=INDEX('1. Assumptions'!$G:$G,MATCH("*Target Gross Margin*M24*",'1. Assumptions'!$B:$B,0)),"OK","CHECK"),"")</f>
        <v/>
      </c>
      <c r="S77" s="180" t="str">
        <f>IF(S$6=24,IF(S70&gt;=INDEX('1. Assumptions'!$G:$G,MATCH("*Target Gross Margin*M24*",'1. Assumptions'!$B:$B,0)),"OK","CHECK"),"")</f>
        <v/>
      </c>
      <c r="T77" s="180" t="str">
        <f>IF(T$6=24,IF(T70&gt;=INDEX('1. Assumptions'!$G:$G,MATCH("*Target Gross Margin*M24*",'1. Assumptions'!$B:$B,0)),"OK","CHECK"),"")</f>
        <v/>
      </c>
      <c r="U77" s="180" t="str">
        <f>IF(U$6=24,IF(U70&gt;=INDEX('1. Assumptions'!$G:$G,MATCH("*Target Gross Margin*M24*",'1. Assumptions'!$B:$B,0)),"OK","CHECK"),"")</f>
        <v/>
      </c>
      <c r="V77" s="180" t="str">
        <f>IF(V$6=24,IF(V70&gt;=INDEX('1. Assumptions'!$G:$G,MATCH("*Target Gross Margin*M24*",'1. Assumptions'!$B:$B,0)),"OK","CHECK"),"")</f>
        <v/>
      </c>
      <c r="W77" s="180" t="str">
        <f>IF(W$6=24,IF(W70&gt;=INDEX('1. Assumptions'!$G:$G,MATCH("*Target Gross Margin*M24*",'1. Assumptions'!$B:$B,0)),"OK","CHECK"),"")</f>
        <v/>
      </c>
      <c r="X77" s="180" t="str">
        <f>IF(X$6=24,IF(X70&gt;=INDEX('1. Assumptions'!$G:$G,MATCH("*Target Gross Margin*M24*",'1. Assumptions'!$B:$B,0)),"OK","CHECK"),"")</f>
        <v/>
      </c>
      <c r="Y77" s="180" t="str">
        <f>IF(Y$6=24,IF(Y70&gt;=INDEX('1. Assumptions'!$G:$G,MATCH("*Target Gross Margin*M24*",'1. Assumptions'!$B:$B,0)),"OK","CHECK"),"")</f>
        <v/>
      </c>
      <c r="Z77" s="180" t="str">
        <f>IF(Z$6=24,IF(Z70&gt;=INDEX('1. Assumptions'!$G:$G,MATCH("*Target Gross Margin*M24*",'1. Assumptions'!$B:$B,0)),"OK","CHECK"),"")</f>
        <v/>
      </c>
      <c r="AA77" s="180" t="str">
        <f>IF(AA$6=24,IF(AA70&gt;=INDEX('1. Assumptions'!$G:$G,MATCH("*Target Gross Margin*M24*",'1. Assumptions'!$B:$B,0)),"OK","CHECK"),"")</f>
        <v>CHECK</v>
      </c>
      <c r="AB77" s="141"/>
      <c r="AC77" s="141"/>
    </row>
    <row r="78" spans="1:29" s="3" customFormat="1" ht="13.2">
      <c r="A78" s="141" t="s">
        <v>807</v>
      </c>
      <c r="B78" s="141" t="s">
        <v>943</v>
      </c>
      <c r="C78" s="141" t="s">
        <v>785</v>
      </c>
      <c r="D78" s="180" t="str">
        <f>IF(D69&lt;0,"CHECK","OK")</f>
        <v>OK</v>
      </c>
      <c r="E78" s="180" t="str">
        <f t="shared" ref="E78:AA78" si="29">IF(E69&lt;0,"CHECK","OK")</f>
        <v>OK</v>
      </c>
      <c r="F78" s="180" t="str">
        <f t="shared" si="29"/>
        <v>OK</v>
      </c>
      <c r="G78" s="180" t="str">
        <f t="shared" si="29"/>
        <v>OK</v>
      </c>
      <c r="H78" s="180" t="str">
        <f t="shared" si="29"/>
        <v>OK</v>
      </c>
      <c r="I78" s="180" t="str">
        <f t="shared" si="29"/>
        <v>OK</v>
      </c>
      <c r="J78" s="180" t="str">
        <f t="shared" si="29"/>
        <v>OK</v>
      </c>
      <c r="K78" s="180" t="str">
        <f t="shared" si="29"/>
        <v>OK</v>
      </c>
      <c r="L78" s="180" t="str">
        <f t="shared" si="29"/>
        <v>OK</v>
      </c>
      <c r="M78" s="180" t="str">
        <f t="shared" si="29"/>
        <v>OK</v>
      </c>
      <c r="N78" s="180" t="str">
        <f t="shared" si="29"/>
        <v>OK</v>
      </c>
      <c r="O78" s="180" t="str">
        <f t="shared" si="29"/>
        <v>OK</v>
      </c>
      <c r="P78" s="180" t="str">
        <f t="shared" si="29"/>
        <v>OK</v>
      </c>
      <c r="Q78" s="180" t="str">
        <f t="shared" si="29"/>
        <v>OK</v>
      </c>
      <c r="R78" s="180" t="str">
        <f t="shared" si="29"/>
        <v>OK</v>
      </c>
      <c r="S78" s="180" t="str">
        <f t="shared" si="29"/>
        <v>OK</v>
      </c>
      <c r="T78" s="180" t="str">
        <f t="shared" si="29"/>
        <v>OK</v>
      </c>
      <c r="U78" s="180" t="str">
        <f t="shared" si="29"/>
        <v>OK</v>
      </c>
      <c r="V78" s="180" t="str">
        <f t="shared" si="29"/>
        <v>OK</v>
      </c>
      <c r="W78" s="180" t="str">
        <f t="shared" si="29"/>
        <v>OK</v>
      </c>
      <c r="X78" s="180" t="str">
        <f t="shared" si="29"/>
        <v>OK</v>
      </c>
      <c r="Y78" s="180" t="str">
        <f t="shared" si="29"/>
        <v>OK</v>
      </c>
      <c r="Z78" s="180" t="str">
        <f t="shared" si="29"/>
        <v>OK</v>
      </c>
      <c r="AA78" s="180" t="str">
        <f t="shared" si="29"/>
        <v>OK</v>
      </c>
      <c r="AB78" s="141"/>
      <c r="AC78" s="141"/>
    </row>
    <row r="79" spans="1:29" s="3" customFormat="1" ht="13.2">
      <c r="A79" s="141" t="s">
        <v>807</v>
      </c>
      <c r="B79" s="141" t="s">
        <v>944</v>
      </c>
      <c r="C79" s="141" t="s">
        <v>785</v>
      </c>
      <c r="D79" s="180" t="str">
        <f>IF(D24&lt;=D23,"OK","CHECK")</f>
        <v>OK</v>
      </c>
      <c r="E79" s="180" t="str">
        <f t="shared" ref="E79:AA79" si="30">IF(E24&lt;=E23,"OK","CHECK")</f>
        <v>OK</v>
      </c>
      <c r="F79" s="180" t="str">
        <f t="shared" si="30"/>
        <v>OK</v>
      </c>
      <c r="G79" s="180" t="str">
        <f t="shared" si="30"/>
        <v>OK</v>
      </c>
      <c r="H79" s="180" t="str">
        <f t="shared" si="30"/>
        <v>OK</v>
      </c>
      <c r="I79" s="180" t="str">
        <f t="shared" si="30"/>
        <v>OK</v>
      </c>
      <c r="J79" s="180" t="str">
        <f t="shared" si="30"/>
        <v>OK</v>
      </c>
      <c r="K79" s="180" t="str">
        <f t="shared" si="30"/>
        <v>OK</v>
      </c>
      <c r="L79" s="180" t="str">
        <f t="shared" si="30"/>
        <v>OK</v>
      </c>
      <c r="M79" s="180" t="str">
        <f t="shared" si="30"/>
        <v>OK</v>
      </c>
      <c r="N79" s="180" t="str">
        <f t="shared" si="30"/>
        <v>OK</v>
      </c>
      <c r="O79" s="180" t="str">
        <f t="shared" si="30"/>
        <v>OK</v>
      </c>
      <c r="P79" s="180" t="str">
        <f t="shared" si="30"/>
        <v>OK</v>
      </c>
      <c r="Q79" s="180" t="str">
        <f t="shared" si="30"/>
        <v>OK</v>
      </c>
      <c r="R79" s="180" t="str">
        <f t="shared" si="30"/>
        <v>OK</v>
      </c>
      <c r="S79" s="180" t="str">
        <f t="shared" si="30"/>
        <v>OK</v>
      </c>
      <c r="T79" s="180" t="str">
        <f t="shared" si="30"/>
        <v>OK</v>
      </c>
      <c r="U79" s="180" t="str">
        <f t="shared" si="30"/>
        <v>OK</v>
      </c>
      <c r="V79" s="180" t="str">
        <f t="shared" si="30"/>
        <v>OK</v>
      </c>
      <c r="W79" s="180" t="str">
        <f t="shared" si="30"/>
        <v>OK</v>
      </c>
      <c r="X79" s="180" t="str">
        <f t="shared" si="30"/>
        <v>OK</v>
      </c>
      <c r="Y79" s="180" t="str">
        <f t="shared" si="30"/>
        <v>OK</v>
      </c>
      <c r="Z79" s="180" t="str">
        <f t="shared" si="30"/>
        <v>OK</v>
      </c>
      <c r="AA79" s="180" t="str">
        <f t="shared" si="30"/>
        <v>OK</v>
      </c>
      <c r="AB79" s="141"/>
      <c r="AC79" s="141"/>
    </row>
    <row r="80" spans="1:29" s="3" customFormat="1" ht="13.2">
      <c r="A80" s="141" t="s">
        <v>807</v>
      </c>
      <c r="B80" s="141" t="s">
        <v>945</v>
      </c>
      <c r="C80" s="141" t="s">
        <v>785</v>
      </c>
      <c r="D80" s="180" t="str">
        <f>IF(ROUND(D48,0)=ROUND('4. Headcount'!D93,0),"OK","CHECK")</f>
        <v>OK</v>
      </c>
      <c r="E80" s="180" t="str">
        <f>IF(ROUND(E48,0)=ROUND('4. Headcount'!E93,0),"OK","CHECK")</f>
        <v>OK</v>
      </c>
      <c r="F80" s="180" t="str">
        <f>IF(ROUND(F48,0)=ROUND('4. Headcount'!F93,0),"OK","CHECK")</f>
        <v>OK</v>
      </c>
      <c r="G80" s="180" t="str">
        <f>IF(ROUND(G48,0)=ROUND('4. Headcount'!G93,0),"OK","CHECK")</f>
        <v>OK</v>
      </c>
      <c r="H80" s="180" t="str">
        <f>IF(ROUND(H48,0)=ROUND('4. Headcount'!H93,0),"OK","CHECK")</f>
        <v>OK</v>
      </c>
      <c r="I80" s="180" t="str">
        <f>IF(ROUND(I48,0)=ROUND('4. Headcount'!I93,0),"OK","CHECK")</f>
        <v>OK</v>
      </c>
      <c r="J80" s="180" t="str">
        <f>IF(ROUND(J48,0)=ROUND('4. Headcount'!J93,0),"OK","CHECK")</f>
        <v>OK</v>
      </c>
      <c r="K80" s="180" t="str">
        <f>IF(ROUND(K48,0)=ROUND('4. Headcount'!K93,0),"OK","CHECK")</f>
        <v>OK</v>
      </c>
      <c r="L80" s="180" t="str">
        <f>IF(ROUND(L48,0)=ROUND('4. Headcount'!L93,0),"OK","CHECK")</f>
        <v>OK</v>
      </c>
      <c r="M80" s="180" t="str">
        <f>IF(ROUND(M48,0)=ROUND('4. Headcount'!M93,0),"OK","CHECK")</f>
        <v>OK</v>
      </c>
      <c r="N80" s="180" t="str">
        <f>IF(ROUND(N48,0)=ROUND('4. Headcount'!N93,0),"OK","CHECK")</f>
        <v>OK</v>
      </c>
      <c r="O80" s="180" t="str">
        <f>IF(ROUND(O48,0)=ROUND('4. Headcount'!O93,0),"OK","CHECK")</f>
        <v>OK</v>
      </c>
      <c r="P80" s="180" t="str">
        <f>IF(ROUND(P48,0)=ROUND('4. Headcount'!P93,0),"OK","CHECK")</f>
        <v>OK</v>
      </c>
      <c r="Q80" s="180" t="str">
        <f>IF(ROUND(Q48,0)=ROUND('4. Headcount'!Q93,0),"OK","CHECK")</f>
        <v>OK</v>
      </c>
      <c r="R80" s="180" t="str">
        <f>IF(ROUND(R48,0)=ROUND('4. Headcount'!R93,0),"OK","CHECK")</f>
        <v>OK</v>
      </c>
      <c r="S80" s="180" t="str">
        <f>IF(ROUND(S48,0)=ROUND('4. Headcount'!S93,0),"OK","CHECK")</f>
        <v>OK</v>
      </c>
      <c r="T80" s="180" t="str">
        <f>IF(ROUND(T48,0)=ROUND('4. Headcount'!T93,0),"OK","CHECK")</f>
        <v>OK</v>
      </c>
      <c r="U80" s="180" t="str">
        <f>IF(ROUND(U48,0)=ROUND('4. Headcount'!U93,0),"OK","CHECK")</f>
        <v>OK</v>
      </c>
      <c r="V80" s="180" t="str">
        <f>IF(ROUND(V48,0)=ROUND('4. Headcount'!V93,0),"OK","CHECK")</f>
        <v>OK</v>
      </c>
      <c r="W80" s="180" t="str">
        <f>IF(ROUND(W48,0)=ROUND('4. Headcount'!W93,0),"OK","CHECK")</f>
        <v>OK</v>
      </c>
      <c r="X80" s="180" t="str">
        <f>IF(ROUND(X48,0)=ROUND('4. Headcount'!X93,0),"OK","CHECK")</f>
        <v>OK</v>
      </c>
      <c r="Y80" s="180" t="str">
        <f>IF(ROUND(Y48,0)=ROUND('4. Headcount'!Y93,0),"OK","CHECK")</f>
        <v>OK</v>
      </c>
      <c r="Z80" s="180" t="str">
        <f>IF(ROUND(Z48,0)=ROUND('4. Headcount'!Z93,0),"OK","CHECK")</f>
        <v>OK</v>
      </c>
      <c r="AA80" s="180" t="str">
        <f>IF(ROUND(AA48,0)=ROUND('4. Headcount'!AA93,0),"OK","CHECK")</f>
        <v>OK</v>
      </c>
      <c r="AB80" s="141"/>
      <c r="AC80" s="141"/>
    </row>
    <row r="81" spans="1:29" s="3" customFormat="1" ht="13.2">
      <c r="A81" s="141" t="s">
        <v>807</v>
      </c>
      <c r="B81" s="141" t="s">
        <v>946</v>
      </c>
      <c r="C81" s="141" t="s">
        <v>785</v>
      </c>
      <c r="D81" s="180" t="str">
        <f>IF(D54&lt;=SUM($D53:D53),"OK","CHECK")</f>
        <v>OK</v>
      </c>
      <c r="E81" s="180" t="str">
        <f>IF(E54&lt;=SUM($D53:E53),"OK","CHECK")</f>
        <v>OK</v>
      </c>
      <c r="F81" s="180" t="str">
        <f>IF(F54&lt;=SUM($D53:F53),"OK","CHECK")</f>
        <v>OK</v>
      </c>
      <c r="G81" s="180" t="str">
        <f>IF(G54&lt;=SUM($D53:G53),"OK","CHECK")</f>
        <v>OK</v>
      </c>
      <c r="H81" s="180" t="str">
        <f>IF(H54&lt;=SUM($D53:H53),"OK","CHECK")</f>
        <v>OK</v>
      </c>
      <c r="I81" s="180" t="str">
        <f>IF(I54&lt;=SUM($D53:I53),"OK","CHECK")</f>
        <v>OK</v>
      </c>
      <c r="J81" s="180" t="str">
        <f>IF(J54&lt;=SUM($D53:J53),"OK","CHECK")</f>
        <v>OK</v>
      </c>
      <c r="K81" s="180" t="str">
        <f>IF(K54&lt;=SUM($D53:K53),"OK","CHECK")</f>
        <v>OK</v>
      </c>
      <c r="L81" s="180" t="str">
        <f>IF(L54&lt;=SUM($D53:L53),"OK","CHECK")</f>
        <v>OK</v>
      </c>
      <c r="M81" s="180" t="str">
        <f>IF(M54&lt;=SUM($D53:M53),"OK","CHECK")</f>
        <v>OK</v>
      </c>
      <c r="N81" s="180" t="str">
        <f>IF(N54&lt;=SUM($D53:N53),"OK","CHECK")</f>
        <v>OK</v>
      </c>
      <c r="O81" s="180" t="str">
        <f>IF(O54&lt;=SUM($D53:O53),"OK","CHECK")</f>
        <v>OK</v>
      </c>
      <c r="P81" s="180" t="str">
        <f>IF(P54&lt;=SUM($D53:P53),"OK","CHECK")</f>
        <v>OK</v>
      </c>
      <c r="Q81" s="180" t="str">
        <f>IF(Q54&lt;=SUM($D53:Q53),"OK","CHECK")</f>
        <v>OK</v>
      </c>
      <c r="R81" s="180" t="str">
        <f>IF(R54&lt;=SUM($D53:R53),"OK","CHECK")</f>
        <v>OK</v>
      </c>
      <c r="S81" s="180" t="str">
        <f>IF(S54&lt;=SUM($D53:S53),"OK","CHECK")</f>
        <v>OK</v>
      </c>
      <c r="T81" s="180" t="str">
        <f>IF(T54&lt;=SUM($D53:T53),"OK","CHECK")</f>
        <v>OK</v>
      </c>
      <c r="U81" s="180" t="str">
        <f>IF(U54&lt;=SUM($D53:U53),"OK","CHECK")</f>
        <v>OK</v>
      </c>
      <c r="V81" s="180" t="str">
        <f>IF(V54&lt;=SUM($D53:V53),"OK","CHECK")</f>
        <v>OK</v>
      </c>
      <c r="W81" s="180" t="str">
        <f>IF(W54&lt;=SUM($D53:W53),"OK","CHECK")</f>
        <v>OK</v>
      </c>
      <c r="X81" s="180" t="str">
        <f>IF(X54&lt;=SUM($D53:X53),"OK","CHECK")</f>
        <v>OK</v>
      </c>
      <c r="Y81" s="180" t="str">
        <f>IF(Y54&lt;=SUM($D53:Y53),"OK","CHECK")</f>
        <v>OK</v>
      </c>
      <c r="Z81" s="180" t="str">
        <f>IF(Z54&lt;=SUM($D53:Z53),"OK","CHECK")</f>
        <v>OK</v>
      </c>
      <c r="AA81" s="180" t="str">
        <f>IF(AA54&lt;=SUM($D53:AA53),"OK","CHECK")</f>
        <v>OK</v>
      </c>
      <c r="AB81" s="141"/>
      <c r="AC81" s="141"/>
    </row>
    <row r="82" spans="1:29">
      <c r="A82" s="46"/>
      <c r="B82" s="46"/>
      <c r="C82" s="46"/>
      <c r="D82" s="57"/>
      <c r="E82" s="57"/>
      <c r="F82" s="57"/>
      <c r="G82" s="57"/>
      <c r="H82" s="57"/>
      <c r="I82" s="57"/>
      <c r="J82" s="57"/>
      <c r="K82" s="57"/>
      <c r="L82" s="57"/>
      <c r="M82" s="57"/>
      <c r="N82" s="57"/>
      <c r="O82" s="57"/>
      <c r="P82" s="57"/>
      <c r="Q82" s="57"/>
      <c r="R82" s="57"/>
      <c r="S82" s="57"/>
      <c r="T82" s="57"/>
      <c r="U82" s="57"/>
      <c r="V82" s="57"/>
      <c r="W82" s="57"/>
      <c r="X82" s="57"/>
      <c r="Y82" s="57"/>
      <c r="Z82" s="57"/>
      <c r="AA82" s="57"/>
      <c r="AB82" s="46"/>
      <c r="AC82" s="46"/>
    </row>
    <row r="84" spans="1:29" hidden="1"/>
    <row r="87" spans="1:29">
      <c r="A87" s="55"/>
      <c r="B87" s="55"/>
      <c r="C87" s="55"/>
      <c r="D87" s="55" t="str">
        <f>IF(D$6&lt;&gt;6,"",IF(D70&gt;=INDEX('1. Assumptions'!$G:$G,MATCH("Target Gross Margin ; M6",'1. Assumptions'!$B:$B,0)),"OK","CHECK"))</f>
        <v/>
      </c>
      <c r="E87" s="55"/>
      <c r="F87" s="55"/>
      <c r="G87" s="55"/>
      <c r="H87" s="55"/>
      <c r="I87" s="55"/>
      <c r="J87" s="55"/>
      <c r="K87" s="55"/>
      <c r="L87" s="55"/>
      <c r="M87" s="55"/>
      <c r="N87" s="55"/>
      <c r="O87" s="55"/>
      <c r="P87" s="55"/>
      <c r="Q87" s="55"/>
      <c r="R87" s="55"/>
      <c r="S87" s="55"/>
      <c r="T87" s="55"/>
      <c r="U87" s="55"/>
      <c r="V87" s="55"/>
      <c r="W87" s="55"/>
      <c r="X87" s="55"/>
      <c r="Y87" s="55"/>
      <c r="Z87" s="55"/>
      <c r="AA87" s="55"/>
      <c r="AB87" s="55"/>
      <c r="AC87" s="55"/>
    </row>
    <row r="88" spans="1:29">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row>
    <row r="89" spans="1:29">
      <c r="A89" s="46"/>
      <c r="B89" s="46"/>
      <c r="C89" s="46"/>
      <c r="D89" s="56"/>
      <c r="E89" s="56"/>
      <c r="F89" s="56"/>
      <c r="G89" s="56"/>
      <c r="H89" s="56"/>
      <c r="I89" s="56"/>
      <c r="J89" s="56"/>
      <c r="K89" s="56"/>
      <c r="L89" s="56"/>
      <c r="M89" s="56"/>
      <c r="N89" s="56"/>
      <c r="O89" s="56"/>
      <c r="P89" s="56"/>
      <c r="Q89" s="56"/>
      <c r="R89" s="56"/>
      <c r="S89" s="56"/>
      <c r="T89" s="56"/>
      <c r="U89" s="56"/>
      <c r="V89" s="56"/>
      <c r="W89" s="56"/>
      <c r="X89" s="56"/>
      <c r="Y89" s="56"/>
      <c r="Z89" s="56"/>
      <c r="AA89" s="56"/>
      <c r="AB89" s="46"/>
      <c r="AC89" s="46"/>
    </row>
    <row r="90" spans="1:29">
      <c r="A90" s="46"/>
      <c r="B90" s="46"/>
      <c r="C90" s="46"/>
      <c r="D90" s="56"/>
      <c r="E90" s="56"/>
      <c r="F90" s="56"/>
      <c r="G90" s="56"/>
      <c r="H90" s="56"/>
      <c r="I90" s="56"/>
      <c r="J90" s="56"/>
      <c r="K90" s="56"/>
      <c r="L90" s="56"/>
      <c r="M90" s="56"/>
      <c r="N90" s="56"/>
      <c r="O90" s="56"/>
      <c r="P90" s="56"/>
      <c r="Q90" s="56"/>
      <c r="R90" s="56"/>
      <c r="S90" s="56"/>
      <c r="T90" s="56"/>
      <c r="U90" s="56"/>
      <c r="V90" s="56"/>
      <c r="W90" s="56"/>
      <c r="X90" s="56"/>
      <c r="Y90" s="56"/>
      <c r="Z90" s="56"/>
      <c r="AA90" s="56"/>
      <c r="AB90" s="46"/>
      <c r="AC90" s="46"/>
    </row>
    <row r="91" spans="1:29">
      <c r="A91" s="46"/>
      <c r="B91" s="46"/>
      <c r="C91" s="46"/>
      <c r="D91" s="56"/>
      <c r="E91" s="56"/>
      <c r="F91" s="56"/>
      <c r="G91" s="56"/>
      <c r="H91" s="56"/>
      <c r="I91" s="56"/>
      <c r="J91" s="56"/>
      <c r="K91" s="56"/>
      <c r="L91" s="56"/>
      <c r="M91" s="56"/>
      <c r="N91" s="56"/>
      <c r="O91" s="56"/>
      <c r="P91" s="56"/>
      <c r="Q91" s="56"/>
      <c r="R91" s="56"/>
      <c r="S91" s="56"/>
      <c r="T91" s="56"/>
      <c r="U91" s="56"/>
      <c r="V91" s="56"/>
      <c r="W91" s="56"/>
      <c r="X91" s="56"/>
      <c r="Y91" s="56"/>
      <c r="Z91" s="56"/>
      <c r="AA91" s="56"/>
      <c r="AB91" s="46"/>
      <c r="AC91" s="46"/>
    </row>
    <row r="92" spans="1:29">
      <c r="A92" s="46"/>
      <c r="B92" s="46"/>
      <c r="C92" s="46"/>
      <c r="D92" s="56"/>
      <c r="E92" s="56"/>
      <c r="F92" s="56"/>
      <c r="G92" s="56"/>
      <c r="H92" s="56"/>
      <c r="I92" s="56"/>
      <c r="J92" s="56"/>
      <c r="K92" s="56"/>
      <c r="L92" s="56"/>
      <c r="M92" s="56"/>
      <c r="N92" s="56"/>
      <c r="O92" s="56"/>
      <c r="P92" s="56"/>
      <c r="Q92" s="56"/>
      <c r="R92" s="56"/>
      <c r="S92" s="56"/>
      <c r="T92" s="56"/>
      <c r="U92" s="56"/>
      <c r="V92" s="56"/>
      <c r="W92" s="56"/>
      <c r="X92" s="56"/>
      <c r="Y92" s="56"/>
      <c r="Z92" s="56"/>
      <c r="AA92" s="56"/>
      <c r="AB92" s="46"/>
      <c r="AC92" s="46"/>
    </row>
    <row r="93" spans="1:29">
      <c r="A93" s="46"/>
      <c r="B93" s="46"/>
      <c r="C93" s="46"/>
      <c r="D93" s="56"/>
      <c r="E93" s="56"/>
      <c r="F93" s="56"/>
      <c r="G93" s="56"/>
      <c r="H93" s="56"/>
      <c r="I93" s="56"/>
      <c r="J93" s="56"/>
      <c r="K93" s="56"/>
      <c r="L93" s="56"/>
      <c r="M93" s="56"/>
      <c r="N93" s="56"/>
      <c r="O93" s="56"/>
      <c r="P93" s="56"/>
      <c r="Q93" s="56"/>
      <c r="R93" s="56"/>
      <c r="S93" s="56"/>
      <c r="T93" s="56"/>
      <c r="U93" s="56"/>
      <c r="V93" s="56"/>
      <c r="W93" s="56"/>
      <c r="X93" s="56"/>
      <c r="Y93" s="56"/>
      <c r="Z93" s="56"/>
      <c r="AA93" s="56"/>
      <c r="AB93" s="46"/>
      <c r="AC93" s="46"/>
    </row>
    <row r="94" spans="1:29">
      <c r="A94" s="46"/>
      <c r="B94" s="46"/>
      <c r="C94" s="46"/>
      <c r="D94" s="56"/>
      <c r="E94" s="56"/>
      <c r="F94" s="56"/>
      <c r="G94" s="56"/>
      <c r="H94" s="56"/>
      <c r="I94" s="56"/>
      <c r="J94" s="56"/>
      <c r="K94" s="56"/>
      <c r="L94" s="56"/>
      <c r="M94" s="56"/>
      <c r="N94" s="56"/>
      <c r="O94" s="56"/>
      <c r="P94" s="56"/>
      <c r="Q94" s="56"/>
      <c r="R94" s="56"/>
      <c r="S94" s="56"/>
      <c r="T94" s="56"/>
      <c r="U94" s="56"/>
      <c r="V94" s="56"/>
      <c r="W94" s="56"/>
      <c r="X94" s="56"/>
      <c r="Y94" s="56"/>
      <c r="Z94" s="56"/>
      <c r="AA94" s="56"/>
      <c r="AB94" s="46"/>
      <c r="AC94" s="46"/>
    </row>
  </sheetData>
  <conditionalFormatting sqref="D89:AA94">
    <cfRule type="expression" dxfId="14" priority="1">
      <formula>OR(D89="CHECK",D89="REVIEW",D89="DELAY")</formula>
    </cfRule>
    <cfRule type="expression" dxfId="13" priority="2">
      <formula>OR(D89="OK",LEFT(D89,2)="OK")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C5C0-D754-465D-88BF-C4E5D9BF9210}">
  <dimension ref="A1:AD85"/>
  <sheetViews>
    <sheetView showGridLines="0" zoomScaleNormal="100" workbookViewId="0">
      <selection activeCell="A2" sqref="A2"/>
    </sheetView>
  </sheetViews>
  <sheetFormatPr defaultRowHeight="14.4"/>
  <cols>
    <col min="1" max="1" width="33.33203125" customWidth="1"/>
    <col min="2" max="2" width="23" customWidth="1"/>
    <col min="3" max="3" width="18" customWidth="1"/>
    <col min="4" max="4" width="8.44140625" bestFit="1" customWidth="1"/>
    <col min="5" max="5" width="12.5546875" bestFit="1" customWidth="1"/>
    <col min="6" max="6" width="8.44140625" bestFit="1" customWidth="1"/>
    <col min="11" max="25" width="10.33203125" bestFit="1" customWidth="1"/>
    <col min="26" max="26" width="49.44140625" customWidth="1"/>
  </cols>
  <sheetData>
    <row r="1" spans="1:30" ht="17.399999999999999">
      <c r="A1" s="59" t="s">
        <v>1321</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row>
    <row r="2" spans="1:30">
      <c r="A2" s="68" t="s">
        <v>967</v>
      </c>
    </row>
    <row r="4" spans="1:30" s="3" customFormat="1" ht="13.2">
      <c r="A4" s="190" t="s">
        <v>691</v>
      </c>
      <c r="B4" s="190" t="s">
        <v>968</v>
      </c>
      <c r="C4" s="105"/>
    </row>
    <row r="5" spans="1:30" s="3" customFormat="1" ht="13.2">
      <c r="A5" s="191" t="s">
        <v>38</v>
      </c>
      <c r="B5" s="192" t="str">
        <f>INDEX('1. Assumptions'!$G:$G,MATCH($A5,'1. Assumptions'!$B:$B,0))</f>
        <v>Base</v>
      </c>
      <c r="C5" s="193"/>
    </row>
    <row r="6" spans="1:30" s="3" customFormat="1" ht="92.25" customHeight="1">
      <c r="A6" s="191" t="s">
        <v>969</v>
      </c>
      <c r="B6" s="194" t="str">
        <f>"CAC payback &lt; 12 months = hiring gate"</f>
        <v>CAC payback &lt; 12 months = hiring gate</v>
      </c>
      <c r="C6" s="193" t="s">
        <v>1008</v>
      </c>
    </row>
    <row r="7" spans="1:30" s="3" customFormat="1" ht="13.2">
      <c r="A7" s="195"/>
      <c r="B7" s="147"/>
      <c r="C7" s="196"/>
      <c r="D7" s="196"/>
    </row>
    <row r="8" spans="1:30" s="3" customFormat="1" ht="13.2">
      <c r="A8" s="197" t="s">
        <v>11</v>
      </c>
      <c r="B8" s="197"/>
      <c r="C8" s="197"/>
      <c r="D8" s="197"/>
    </row>
    <row r="9" spans="1:30" s="3" customFormat="1" ht="14.4" customHeight="1">
      <c r="A9" s="198" t="s">
        <v>12</v>
      </c>
      <c r="B9" s="199"/>
      <c r="C9" s="199"/>
      <c r="D9" s="199"/>
    </row>
    <row r="10" spans="1:30" s="3" customFormat="1" ht="13.2">
      <c r="A10" s="195"/>
      <c r="B10" s="147"/>
      <c r="C10" s="196"/>
      <c r="D10" s="196"/>
    </row>
    <row r="11" spans="1:30" s="3" customFormat="1" ht="13.2">
      <c r="A11" s="200" t="s">
        <v>975</v>
      </c>
      <c r="B11" s="200" t="s">
        <v>1009</v>
      </c>
      <c r="C11" s="201"/>
      <c r="D11" s="201"/>
    </row>
    <row r="12" spans="1:30" s="3" customFormat="1" ht="13.2">
      <c r="A12" s="202" t="s">
        <v>289</v>
      </c>
      <c r="B12" s="203">
        <f>INDEX('1. Assumptions'!$G:$G,MATCH('6. Unit Economics'!$A12,'1. Assumptions'!$B:$B,0))</f>
        <v>500</v>
      </c>
      <c r="C12" s="204"/>
      <c r="D12" s="204"/>
    </row>
    <row r="13" spans="1:30" s="3" customFormat="1" ht="13.2">
      <c r="A13" s="202" t="s">
        <v>293</v>
      </c>
      <c r="B13" s="203">
        <f>INDEX('1. Assumptions'!$G:$G,MATCH('6. Unit Economics'!$A13,'1. Assumptions'!$B:$B,0))</f>
        <v>1600</v>
      </c>
      <c r="C13" s="204"/>
      <c r="D13" s="204"/>
    </row>
    <row r="14" spans="1:30" s="3" customFormat="1" ht="13.2">
      <c r="A14" s="202" t="s">
        <v>294</v>
      </c>
      <c r="B14" s="203">
        <f>INDEX('1. Assumptions'!$G:$G,MATCH('6. Unit Economics'!$A14,'1. Assumptions'!$B:$B,0))</f>
        <v>4500</v>
      </c>
      <c r="C14" s="204"/>
      <c r="D14" s="204"/>
    </row>
    <row r="15" spans="1:30" s="3" customFormat="1" ht="13.2">
      <c r="A15" s="202" t="s">
        <v>579</v>
      </c>
      <c r="B15" s="203">
        <f>INDEX('1. Assumptions'!$G:$G,MATCH('6. Unit Economics'!$A15,'1. Assumptions'!$B:$B,0))</f>
        <v>1800</v>
      </c>
      <c r="C15" s="204"/>
      <c r="D15" s="204"/>
    </row>
    <row r="16" spans="1:30" s="3" customFormat="1" ht="13.2">
      <c r="A16" s="205"/>
      <c r="B16" s="204"/>
      <c r="C16" s="204"/>
      <c r="D16" s="204"/>
    </row>
    <row r="17" spans="1:26" s="3" customFormat="1" ht="13.2">
      <c r="A17" s="206" t="s">
        <v>13</v>
      </c>
      <c r="B17" s="200"/>
      <c r="C17" s="207"/>
      <c r="D17" s="207"/>
    </row>
    <row r="18" spans="1:26" s="3" customFormat="1" ht="13.2">
      <c r="A18" s="198" t="s">
        <v>14</v>
      </c>
      <c r="B18" s="198"/>
      <c r="C18" s="207"/>
      <c r="D18" s="207"/>
    </row>
    <row r="19" spans="1:26" s="3" customFormat="1" ht="13.2"/>
    <row r="20" spans="1:26" s="3" customFormat="1" ht="15" customHeight="1">
      <c r="A20" s="105" t="s">
        <v>970</v>
      </c>
      <c r="B20" s="208"/>
      <c r="C20" s="208"/>
      <c r="D20" s="209"/>
      <c r="E20" s="209"/>
      <c r="F20" s="209"/>
      <c r="G20" s="147"/>
      <c r="H20" s="147"/>
      <c r="I20" s="147"/>
      <c r="J20" s="147"/>
      <c r="K20" s="147"/>
      <c r="L20" s="147"/>
      <c r="M20" s="147"/>
      <c r="N20" s="147"/>
      <c r="O20" s="147"/>
      <c r="P20" s="147"/>
      <c r="Q20" s="147"/>
      <c r="R20" s="147"/>
      <c r="S20" s="147"/>
      <c r="T20" s="147"/>
      <c r="U20" s="147"/>
      <c r="V20" s="147"/>
      <c r="W20" s="147"/>
      <c r="X20" s="147"/>
      <c r="Y20" s="147"/>
      <c r="Z20" s="147"/>
    </row>
    <row r="21" spans="1:26" s="3" customFormat="1" ht="13.2">
      <c r="A21" s="188" t="s">
        <v>4</v>
      </c>
      <c r="B21" s="188" t="s">
        <v>32</v>
      </c>
      <c r="C21" s="188" t="s">
        <v>657</v>
      </c>
      <c r="D21" s="210"/>
      <c r="E21" s="210"/>
      <c r="F21" s="210"/>
      <c r="G21" s="147"/>
      <c r="H21" s="147"/>
      <c r="I21" s="147"/>
      <c r="J21" s="147"/>
      <c r="K21" s="147"/>
      <c r="L21" s="147"/>
      <c r="M21" s="147"/>
      <c r="N21" s="147"/>
      <c r="O21" s="147"/>
      <c r="P21" s="147"/>
      <c r="Q21" s="147"/>
      <c r="R21" s="147"/>
      <c r="S21" s="147"/>
      <c r="T21" s="147"/>
      <c r="U21" s="147"/>
      <c r="V21" s="147"/>
      <c r="W21" s="147"/>
      <c r="X21" s="147"/>
      <c r="Y21" s="147"/>
      <c r="Z21" s="147"/>
    </row>
    <row r="22" spans="1:26" s="3" customFormat="1" ht="13.2">
      <c r="A22" s="211" t="s">
        <v>104</v>
      </c>
      <c r="B22" s="212" t="s">
        <v>64</v>
      </c>
      <c r="C22" s="213">
        <f>INDEX('1. Assumptions'!$G:$G,MATCH($A22,'1. Assumptions'!$B:$B,0))</f>
        <v>49</v>
      </c>
      <c r="D22" s="214"/>
      <c r="E22" s="147"/>
      <c r="F22" s="147"/>
      <c r="G22" s="147"/>
      <c r="H22" s="147"/>
      <c r="I22" s="147"/>
      <c r="J22" s="147"/>
      <c r="K22" s="147"/>
      <c r="L22" s="147"/>
      <c r="M22" s="147"/>
      <c r="N22" s="147"/>
      <c r="O22" s="147"/>
      <c r="P22" s="147"/>
      <c r="Q22" s="147"/>
      <c r="R22" s="147"/>
      <c r="S22" s="147"/>
      <c r="T22" s="147"/>
      <c r="U22" s="147"/>
      <c r="V22" s="147"/>
      <c r="W22" s="147"/>
      <c r="X22" s="147"/>
      <c r="Y22" s="147"/>
      <c r="Z22" s="147"/>
    </row>
    <row r="23" spans="1:26" s="3" customFormat="1" ht="13.2">
      <c r="A23" s="215" t="s">
        <v>578</v>
      </c>
      <c r="B23" s="212" t="s">
        <v>173</v>
      </c>
      <c r="C23" s="216">
        <f>INDEX('1. Assumptions'!$G:$G,MATCH('6. Unit Economics'!$A$23,'1. Assumptions'!B:B,0))</f>
        <v>0.74</v>
      </c>
      <c r="D23" s="214"/>
      <c r="E23" s="147"/>
      <c r="F23" s="147"/>
      <c r="G23" s="147"/>
      <c r="H23" s="147"/>
      <c r="I23" s="147"/>
      <c r="J23" s="147"/>
      <c r="K23" s="147"/>
      <c r="L23" s="147"/>
      <c r="M23" s="147"/>
      <c r="N23" s="147"/>
      <c r="O23" s="147"/>
      <c r="P23" s="147"/>
      <c r="Q23" s="147"/>
      <c r="R23" s="147"/>
      <c r="S23" s="147"/>
      <c r="T23" s="147"/>
      <c r="U23" s="147"/>
      <c r="V23" s="147"/>
      <c r="W23" s="147"/>
      <c r="X23" s="147"/>
      <c r="Y23" s="147"/>
      <c r="Z23" s="147"/>
    </row>
    <row r="24" spans="1:26" s="3" customFormat="1" ht="13.2">
      <c r="A24" s="211" t="s">
        <v>242</v>
      </c>
      <c r="B24" s="212" t="s">
        <v>173</v>
      </c>
      <c r="C24" s="216">
        <f>INDEX('1. Assumptions'!$G:$G,MATCH($A24,'1. Assumptions'!$B:$B,0))</f>
        <v>0.04</v>
      </c>
      <c r="D24" s="214"/>
      <c r="E24" s="147"/>
      <c r="F24" s="147"/>
      <c r="G24" s="147"/>
      <c r="H24" s="147"/>
      <c r="I24" s="147"/>
      <c r="J24" s="147"/>
      <c r="K24" s="147"/>
      <c r="L24" s="147"/>
      <c r="M24" s="147"/>
      <c r="N24" s="147"/>
      <c r="O24" s="147"/>
      <c r="P24" s="147"/>
      <c r="Q24" s="147"/>
      <c r="R24" s="147"/>
      <c r="S24" s="147"/>
      <c r="T24" s="147"/>
      <c r="U24" s="147"/>
      <c r="V24" s="147"/>
      <c r="W24" s="147"/>
      <c r="X24" s="147"/>
      <c r="Y24" s="147"/>
      <c r="Z24" s="147"/>
    </row>
    <row r="25" spans="1:26" s="3" customFormat="1" ht="13.2">
      <c r="A25" s="211" t="s">
        <v>971</v>
      </c>
      <c r="B25" s="212" t="s">
        <v>64</v>
      </c>
      <c r="C25" s="217">
        <f>$B$12</f>
        <v>500</v>
      </c>
      <c r="D25" s="214"/>
      <c r="E25" s="147"/>
      <c r="F25" s="147"/>
      <c r="G25" s="147"/>
      <c r="H25" s="147"/>
      <c r="I25" s="147"/>
      <c r="J25" s="147"/>
      <c r="K25" s="147"/>
      <c r="L25" s="147"/>
      <c r="M25" s="147"/>
      <c r="N25" s="147"/>
      <c r="O25" s="147"/>
      <c r="P25" s="147"/>
      <c r="Q25" s="147"/>
      <c r="R25" s="147"/>
      <c r="S25" s="147"/>
      <c r="T25" s="147"/>
      <c r="U25" s="147"/>
      <c r="V25" s="147"/>
      <c r="W25" s="147"/>
      <c r="X25" s="147"/>
      <c r="Y25" s="147"/>
      <c r="Z25" s="147"/>
    </row>
    <row r="26" spans="1:26" s="3" customFormat="1" ht="13.2">
      <c r="A26" s="211" t="s">
        <v>972</v>
      </c>
      <c r="B26" s="212" t="s">
        <v>64</v>
      </c>
      <c r="C26" s="217">
        <f>IF(OR(C22="",C23=""),"",C22*C23)</f>
        <v>36.26</v>
      </c>
      <c r="D26" s="218"/>
      <c r="E26" s="147"/>
      <c r="F26" s="147"/>
      <c r="G26" s="147"/>
      <c r="H26" s="147"/>
      <c r="I26" s="147"/>
      <c r="J26" s="147"/>
      <c r="K26" s="147"/>
      <c r="L26" s="147"/>
      <c r="M26" s="147"/>
      <c r="N26" s="147"/>
      <c r="O26" s="147"/>
      <c r="P26" s="147"/>
      <c r="Q26" s="147"/>
      <c r="R26" s="147"/>
      <c r="S26" s="147"/>
      <c r="T26" s="147"/>
      <c r="U26" s="147"/>
      <c r="V26" s="147"/>
      <c r="W26" s="147"/>
      <c r="X26" s="147"/>
      <c r="Y26" s="147"/>
      <c r="Z26" s="147"/>
    </row>
    <row r="27" spans="1:26" s="3" customFormat="1" ht="13.2">
      <c r="A27" s="211" t="s">
        <v>15</v>
      </c>
      <c r="B27" s="212" t="s">
        <v>64</v>
      </c>
      <c r="C27" s="217">
        <f>IF(OR(C22="",C23="",C24="",C24=0),"Check churn",C22*C23/C24)</f>
        <v>906.49999999999989</v>
      </c>
      <c r="D27" s="218"/>
      <c r="E27" s="147"/>
      <c r="F27" s="196"/>
      <c r="G27" s="147"/>
      <c r="H27" s="147"/>
      <c r="I27" s="147"/>
      <c r="J27" s="147"/>
      <c r="K27" s="147"/>
      <c r="L27" s="147"/>
      <c r="M27" s="147"/>
      <c r="N27" s="147"/>
      <c r="O27" s="147"/>
      <c r="P27" s="147"/>
      <c r="Q27" s="147"/>
      <c r="R27" s="147"/>
      <c r="S27" s="147"/>
      <c r="T27" s="147"/>
      <c r="U27" s="147"/>
      <c r="V27" s="147"/>
      <c r="W27" s="147"/>
      <c r="X27" s="147"/>
      <c r="Y27" s="147"/>
      <c r="Z27" s="147"/>
    </row>
    <row r="28" spans="1:26" s="3" customFormat="1" ht="13.2">
      <c r="A28" s="211" t="s">
        <v>16</v>
      </c>
      <c r="B28" s="212" t="s">
        <v>64</v>
      </c>
      <c r="C28" s="217">
        <f>IF(OR(C27="",C25="",C25=0),"Check CAC",C27/C25)</f>
        <v>1.8129999999999997</v>
      </c>
      <c r="D28" s="218"/>
      <c r="E28" s="147"/>
      <c r="F28" s="196"/>
      <c r="G28" s="147"/>
      <c r="H28" s="147"/>
      <c r="I28" s="147"/>
      <c r="J28" s="147"/>
      <c r="K28" s="147"/>
      <c r="L28" s="147"/>
      <c r="M28" s="147"/>
      <c r="N28" s="147"/>
      <c r="O28" s="147"/>
      <c r="P28" s="147"/>
      <c r="Q28" s="147"/>
      <c r="R28" s="147"/>
      <c r="S28" s="147"/>
      <c r="T28" s="147"/>
      <c r="U28" s="147"/>
      <c r="V28" s="147"/>
      <c r="W28" s="147"/>
      <c r="X28" s="147"/>
      <c r="Y28" s="147"/>
      <c r="Z28" s="147"/>
    </row>
    <row r="29" spans="1:26" s="3" customFormat="1" ht="13.2">
      <c r="A29" s="211" t="s">
        <v>973</v>
      </c>
      <c r="B29" s="212" t="s">
        <v>64</v>
      </c>
      <c r="C29" s="217">
        <f>IF(OR(C25="",C26="",C26=0),"Check GP",C25/C26)</f>
        <v>13.789299503585219</v>
      </c>
      <c r="D29" s="218"/>
      <c r="E29" s="147"/>
      <c r="F29" s="196"/>
      <c r="G29" s="147"/>
      <c r="H29" s="147"/>
      <c r="I29" s="147"/>
      <c r="J29" s="147"/>
      <c r="K29" s="147"/>
      <c r="L29" s="147"/>
      <c r="M29" s="147"/>
      <c r="N29" s="147"/>
      <c r="O29" s="147"/>
      <c r="P29" s="147"/>
      <c r="Q29" s="147"/>
      <c r="R29" s="147"/>
      <c r="S29" s="147"/>
      <c r="T29" s="147"/>
      <c r="U29" s="147"/>
      <c r="V29" s="147"/>
      <c r="W29" s="147"/>
      <c r="X29" s="147"/>
      <c r="Y29" s="147"/>
      <c r="Z29" s="147"/>
    </row>
    <row r="30" spans="1:26" s="3" customFormat="1" ht="13.2">
      <c r="A30" s="147"/>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row>
    <row r="31" spans="1:26" s="3" customFormat="1" ht="13.2">
      <c r="A31" s="189" t="s">
        <v>17</v>
      </c>
      <c r="B31" s="188"/>
      <c r="C31" s="188"/>
      <c r="D31" s="207"/>
      <c r="E31" s="147"/>
      <c r="F31" s="147"/>
      <c r="G31" s="147"/>
      <c r="H31" s="147"/>
      <c r="I31" s="147"/>
      <c r="J31" s="147"/>
      <c r="K31" s="147"/>
      <c r="L31" s="147"/>
      <c r="M31" s="147"/>
      <c r="N31" s="147"/>
      <c r="O31" s="147"/>
      <c r="P31" s="147"/>
      <c r="Q31" s="147"/>
      <c r="R31" s="147"/>
      <c r="S31" s="147"/>
      <c r="T31" s="147"/>
      <c r="U31" s="147"/>
      <c r="V31" s="147"/>
      <c r="W31" s="147"/>
      <c r="X31" s="147"/>
      <c r="Y31" s="147"/>
      <c r="Z31" s="147"/>
    </row>
    <row r="32" spans="1:26" s="3" customFormat="1" ht="13.2">
      <c r="A32" s="198" t="s">
        <v>18</v>
      </c>
      <c r="B32" s="198"/>
      <c r="C32" s="198"/>
      <c r="D32" s="207"/>
      <c r="E32" s="147"/>
      <c r="F32" s="147"/>
      <c r="G32" s="147"/>
      <c r="H32" s="147"/>
      <c r="I32" s="147"/>
      <c r="J32" s="147"/>
      <c r="K32" s="147"/>
      <c r="L32" s="147"/>
      <c r="M32" s="147"/>
      <c r="N32" s="147"/>
      <c r="O32" s="147"/>
      <c r="P32" s="147"/>
      <c r="Q32" s="147"/>
      <c r="R32" s="147"/>
      <c r="S32" s="147"/>
      <c r="T32" s="147"/>
      <c r="U32" s="147"/>
      <c r="V32" s="147"/>
      <c r="W32" s="147"/>
      <c r="X32" s="147"/>
      <c r="Y32" s="147"/>
      <c r="Z32" s="147"/>
    </row>
    <row r="33" spans="1:26" s="3" customFormat="1" ht="13.2">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spans="1:26" s="3" customFormat="1" ht="13.2">
      <c r="A34" s="189" t="s">
        <v>974</v>
      </c>
      <c r="B34" s="189"/>
      <c r="C34" s="189"/>
      <c r="D34" s="209"/>
      <c r="E34" s="209"/>
      <c r="F34" s="209"/>
      <c r="G34" s="147"/>
      <c r="H34" s="147"/>
      <c r="I34" s="147"/>
      <c r="J34" s="147"/>
      <c r="K34" s="147"/>
      <c r="L34" s="147"/>
      <c r="M34" s="147"/>
      <c r="N34" s="147"/>
      <c r="O34" s="147"/>
      <c r="P34" s="147"/>
      <c r="Q34" s="147"/>
      <c r="R34" s="147"/>
      <c r="S34" s="147"/>
      <c r="T34" s="147"/>
      <c r="U34" s="147"/>
      <c r="V34" s="147"/>
      <c r="W34" s="147"/>
      <c r="X34" s="147"/>
      <c r="Y34" s="147"/>
      <c r="Z34" s="147"/>
    </row>
    <row r="35" spans="1:26" s="3" customFormat="1" ht="13.2">
      <c r="A35" s="188" t="s">
        <v>975</v>
      </c>
      <c r="B35" s="188" t="s">
        <v>1010</v>
      </c>
      <c r="C35" s="188" t="s">
        <v>971</v>
      </c>
      <c r="D35" s="210"/>
      <c r="E35" s="210"/>
      <c r="F35" s="210"/>
      <c r="G35" s="147"/>
      <c r="H35" s="147"/>
      <c r="I35" s="147"/>
      <c r="J35" s="147"/>
      <c r="K35" s="147"/>
      <c r="L35" s="147"/>
      <c r="M35" s="147"/>
      <c r="N35" s="147"/>
      <c r="O35" s="147"/>
      <c r="P35" s="147"/>
      <c r="Q35" s="147"/>
      <c r="R35" s="147"/>
      <c r="S35" s="147"/>
      <c r="T35" s="147"/>
      <c r="U35" s="147"/>
      <c r="V35" s="147"/>
      <c r="W35" s="147"/>
      <c r="X35" s="147"/>
      <c r="Y35" s="147"/>
      <c r="Z35" s="147"/>
    </row>
    <row r="36" spans="1:26" s="3" customFormat="1" ht="13.2">
      <c r="A36" s="219" t="s">
        <v>289</v>
      </c>
      <c r="B36" s="94" t="s">
        <v>290</v>
      </c>
      <c r="C36" s="173">
        <f>INDEX('1. Assumptions'!$G:$G,MATCH("Inbound / PLG CAC",'1. Assumptions'!$B:$B,0))</f>
        <v>500</v>
      </c>
      <c r="D36" s="196"/>
      <c r="E36" s="196"/>
      <c r="F36" s="196"/>
      <c r="G36" s="147"/>
      <c r="H36" s="147"/>
      <c r="I36" s="147"/>
      <c r="J36" s="147"/>
      <c r="K36" s="147"/>
      <c r="L36" s="147"/>
      <c r="M36" s="147"/>
      <c r="N36" s="147"/>
      <c r="O36" s="147"/>
      <c r="P36" s="147"/>
      <c r="Q36" s="147"/>
      <c r="R36" s="147"/>
      <c r="S36" s="147"/>
      <c r="T36" s="147"/>
      <c r="U36" s="147"/>
      <c r="V36" s="147"/>
      <c r="W36" s="147"/>
      <c r="X36" s="147"/>
      <c r="Y36" s="147"/>
      <c r="Z36" s="147"/>
    </row>
    <row r="37" spans="1:26" s="3" customFormat="1" ht="13.2">
      <c r="A37" s="219" t="s">
        <v>293</v>
      </c>
      <c r="B37" s="94" t="s">
        <v>290</v>
      </c>
      <c r="C37" s="173">
        <f>INDEX('1. Assumptions'!$G:$G,MATCH($A37,'1. Assumptions'!$B:$B,0))</f>
        <v>1600</v>
      </c>
      <c r="D37" s="196"/>
      <c r="E37" s="196"/>
      <c r="F37" s="196"/>
      <c r="G37" s="147"/>
      <c r="H37" s="147"/>
      <c r="I37" s="147"/>
      <c r="J37" s="147"/>
      <c r="K37" s="147"/>
      <c r="L37" s="147"/>
      <c r="M37" s="147"/>
      <c r="N37" s="147"/>
      <c r="O37" s="147"/>
      <c r="P37" s="147"/>
      <c r="Q37" s="147"/>
      <c r="R37" s="147"/>
      <c r="S37" s="147"/>
      <c r="T37" s="147"/>
      <c r="U37" s="147"/>
      <c r="V37" s="147"/>
      <c r="W37" s="147"/>
      <c r="X37" s="147"/>
      <c r="Y37" s="147"/>
      <c r="Z37" s="147"/>
    </row>
    <row r="38" spans="1:26" s="3" customFormat="1" ht="13.2">
      <c r="A38" s="95" t="s">
        <v>294</v>
      </c>
      <c r="B38" s="94" t="s">
        <v>290</v>
      </c>
      <c r="C38" s="173">
        <f>INDEX('1. Assumptions'!$G:$G,MATCH($A38,'1. Assumptions'!$B:$B,0))</f>
        <v>4500</v>
      </c>
      <c r="D38" s="196"/>
      <c r="E38" s="196"/>
      <c r="F38" s="196"/>
      <c r="G38" s="147"/>
      <c r="H38" s="147"/>
      <c r="I38" s="147"/>
      <c r="J38" s="147"/>
      <c r="K38" s="147"/>
      <c r="L38" s="147"/>
      <c r="M38" s="147"/>
      <c r="N38" s="147"/>
      <c r="O38" s="147"/>
      <c r="P38" s="147"/>
      <c r="Q38" s="147"/>
      <c r="R38" s="147"/>
      <c r="S38" s="147"/>
      <c r="T38" s="147"/>
      <c r="U38" s="147"/>
      <c r="V38" s="147"/>
      <c r="W38" s="147"/>
      <c r="X38" s="147"/>
      <c r="Y38" s="147"/>
      <c r="Z38" s="147"/>
    </row>
    <row r="39" spans="1:26" s="3" customFormat="1" ht="13.2">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row>
    <row r="40" spans="1:26" s="3" customFormat="1" ht="13.2">
      <c r="A40" s="188" t="s">
        <v>4</v>
      </c>
      <c r="B40" s="188" t="s">
        <v>1010</v>
      </c>
      <c r="C40" s="188" t="s">
        <v>968</v>
      </c>
      <c r="D40" s="201"/>
      <c r="E40" s="147"/>
      <c r="F40" s="147"/>
      <c r="G40" s="147"/>
      <c r="H40" s="147"/>
      <c r="I40" s="147"/>
      <c r="J40" s="147"/>
      <c r="K40" s="147"/>
      <c r="L40" s="147"/>
      <c r="M40" s="147"/>
      <c r="N40" s="147"/>
      <c r="O40" s="147"/>
      <c r="P40" s="147"/>
      <c r="Q40" s="147"/>
      <c r="R40" s="147"/>
      <c r="S40" s="147"/>
      <c r="T40" s="147"/>
      <c r="U40" s="147"/>
      <c r="V40" s="147"/>
      <c r="W40" s="147"/>
      <c r="X40" s="147"/>
      <c r="Y40" s="147"/>
      <c r="Z40" s="147"/>
    </row>
    <row r="41" spans="1:26" s="3" customFormat="1" ht="13.2">
      <c r="A41" s="220" t="s">
        <v>579</v>
      </c>
      <c r="B41" s="93" t="s">
        <v>64</v>
      </c>
      <c r="C41" s="221">
        <f>INDEX('1. Assumptions'!$G:$G,MATCH($A41,'1. Assumptions'!$B:$B,0))</f>
        <v>1800</v>
      </c>
      <c r="D41" s="222"/>
      <c r="E41" s="147"/>
      <c r="F41" s="147"/>
      <c r="G41" s="147"/>
      <c r="H41" s="147"/>
      <c r="I41" s="147"/>
      <c r="J41" s="147"/>
      <c r="K41" s="147"/>
      <c r="L41" s="147"/>
      <c r="M41" s="147"/>
      <c r="N41" s="147"/>
      <c r="O41" s="147"/>
      <c r="P41" s="147"/>
      <c r="Q41" s="147"/>
      <c r="R41" s="147"/>
      <c r="S41" s="147"/>
      <c r="T41" s="147"/>
      <c r="U41" s="147"/>
      <c r="V41" s="147"/>
      <c r="W41" s="147"/>
      <c r="X41" s="147"/>
      <c r="Y41" s="147"/>
      <c r="Z41" s="147"/>
    </row>
    <row r="42" spans="1:26" s="3" customFormat="1" ht="13.2">
      <c r="A42" s="220" t="s">
        <v>972</v>
      </c>
      <c r="B42" s="93" t="s">
        <v>64</v>
      </c>
      <c r="C42" s="221">
        <f>INDEX('1. Assumptions'!$G:$G,MATCH("Growth Plan Price ($/mo)",'1. Assumptions'!$B:$B,0))*INDEX('1. Assumptions'!$G:$G,MATCH("Target Gross Margin ; M24",'1. Assumptions'!$B:$B,0))</f>
        <v>110.26</v>
      </c>
      <c r="D42" s="222"/>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s="3" customFormat="1" ht="13.2">
      <c r="A43" s="220" t="s">
        <v>973</v>
      </c>
      <c r="B43" s="93" t="s">
        <v>47</v>
      </c>
      <c r="C43" s="223">
        <f>IFERROR(C41/C42,"Check")</f>
        <v>16.325049882096859</v>
      </c>
      <c r="D43" s="224"/>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s="3" customFormat="1" ht="13.2">
      <c r="A44" s="220" t="s">
        <v>1002</v>
      </c>
      <c r="B44" s="225"/>
      <c r="C44" s="226" t="str">
        <f>IF(C43&lt;INDEX('1. Assumptions'!$G:$G,MATCH("CAC Payback Target (hiring gate threshold)",'1. Assumptions'!$B:$B,0)),"OK","Check")</f>
        <v>Check</v>
      </c>
      <c r="D44" s="227"/>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s="3" customFormat="1" ht="13.2">
      <c r="A45" s="228"/>
      <c r="B45" s="227"/>
      <c r="C45" s="227"/>
      <c r="D45" s="227"/>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s="3" customFormat="1" ht="14.4" customHeight="1">
      <c r="A46" s="105" t="s">
        <v>976</v>
      </c>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8"/>
      <c r="Z46" s="208"/>
    </row>
    <row r="47" spans="1:26" s="3" customFormat="1" ht="13.2">
      <c r="A47" s="104" t="s">
        <v>4</v>
      </c>
      <c r="B47" s="104" t="str">
        <f>+'3. Revenue Model'!D2</f>
        <v>Month 1</v>
      </c>
      <c r="C47" s="104" t="str">
        <f>+'3. Revenue Model'!E2</f>
        <v>Month 2</v>
      </c>
      <c r="D47" s="104" t="str">
        <f>+'3. Revenue Model'!F2</f>
        <v>Month 3</v>
      </c>
      <c r="E47" s="104" t="str">
        <f>+'3. Revenue Model'!G2</f>
        <v>Month 4</v>
      </c>
      <c r="F47" s="104" t="str">
        <f>+'3. Revenue Model'!H2</f>
        <v>Month 5</v>
      </c>
      <c r="G47" s="104" t="str">
        <f>+'3. Revenue Model'!I2</f>
        <v>Month 6</v>
      </c>
      <c r="H47" s="104" t="str">
        <f>+'3. Revenue Model'!J2</f>
        <v>Month 7</v>
      </c>
      <c r="I47" s="104" t="str">
        <f>+'3. Revenue Model'!K2</f>
        <v>Month 8</v>
      </c>
      <c r="J47" s="104" t="str">
        <f>+'3. Revenue Model'!L2</f>
        <v>Month 9</v>
      </c>
      <c r="K47" s="104" t="str">
        <f>+'3. Revenue Model'!M2</f>
        <v>Month 10</v>
      </c>
      <c r="L47" s="104" t="str">
        <f>+'3. Revenue Model'!N2</f>
        <v>Month 11</v>
      </c>
      <c r="M47" s="104" t="str">
        <f>+'3. Revenue Model'!O2</f>
        <v>Month 12</v>
      </c>
      <c r="N47" s="104" t="str">
        <f>+'3. Revenue Model'!P2</f>
        <v>Month 13</v>
      </c>
      <c r="O47" s="104" t="str">
        <f>+'3. Revenue Model'!Q2</f>
        <v>Month 14</v>
      </c>
      <c r="P47" s="104" t="str">
        <f>+'3. Revenue Model'!R2</f>
        <v>Month 15</v>
      </c>
      <c r="Q47" s="104" t="str">
        <f>+'3. Revenue Model'!S2</f>
        <v>Month 16</v>
      </c>
      <c r="R47" s="104" t="str">
        <f>+'3. Revenue Model'!T2</f>
        <v>Month 17</v>
      </c>
      <c r="S47" s="104" t="str">
        <f>+'3. Revenue Model'!U2</f>
        <v>Month 18</v>
      </c>
      <c r="T47" s="104" t="str">
        <f>+'3. Revenue Model'!V2</f>
        <v>Month 19</v>
      </c>
      <c r="U47" s="104" t="str">
        <f>+'3. Revenue Model'!W2</f>
        <v>Month 20</v>
      </c>
      <c r="V47" s="104" t="str">
        <f>+'3. Revenue Model'!X2</f>
        <v>Month 21</v>
      </c>
      <c r="W47" s="104" t="str">
        <f>+'3. Revenue Model'!Y2</f>
        <v>Month 22</v>
      </c>
      <c r="X47" s="104" t="str">
        <f>+'3. Revenue Model'!Z2</f>
        <v>Month 23</v>
      </c>
      <c r="Y47" s="104" t="str">
        <f>+'3. Revenue Model'!AA2</f>
        <v>Month 24</v>
      </c>
      <c r="Z47" s="104" t="s">
        <v>3</v>
      </c>
    </row>
    <row r="48" spans="1:26" s="3" customFormat="1" ht="13.2">
      <c r="A48" s="229" t="s">
        <v>977</v>
      </c>
      <c r="B48" s="230">
        <f>INDEX('3. Revenue Model'!$D:$AA,MATCH("New Starter Logos – Direct/Self-Serve",'3. Revenue Model'!$B:$B,0),MATCH(B$47,'3. Revenue Model'!$D$2:$AA$2,0))
+INDEX('3. Revenue Model'!$D:$AA,MATCH("Free-to-Starter Conversions (from Free Funnel)",'3. Revenue Model'!$B:$B,0),MATCH(B$47,'3. Revenue Model'!$D$2:$AA$2,0))</f>
        <v>40</v>
      </c>
      <c r="C48" s="230">
        <f>INDEX('3. Revenue Model'!$D:$AA,MATCH("New Starter Logos – Direct/Self-Serve",'3. Revenue Model'!$B:$B,0),MATCH(C$47,'3. Revenue Model'!$D$2:$AA$2,0))
+INDEX('3. Revenue Model'!$D:$AA,MATCH("Free-to-Starter Conversions (from Free Funnel)",'3. Revenue Model'!$B:$B,0),MATCH(C$47,'3. Revenue Model'!$D$2:$AA$2,0))</f>
        <v>39.92</v>
      </c>
      <c r="D48" s="230">
        <f>INDEX('3. Revenue Model'!$D:$AA,MATCH("New Starter Logos – Direct/Self-Serve",'3. Revenue Model'!$B:$B,0),MATCH(D$47,'3. Revenue Model'!$D$2:$AA$2,0))
+INDEX('3. Revenue Model'!$D:$AA,MATCH("Free-to-Starter Conversions (from Free Funnel)",'3. Revenue Model'!$B:$B,0),MATCH(D$47,'3. Revenue Model'!$D$2:$AA$2,0))</f>
        <v>40.660000000000004</v>
      </c>
      <c r="E48" s="230">
        <f>INDEX('3. Revenue Model'!$D:$AA,MATCH("New Starter Logos – Direct/Self-Serve",'3. Revenue Model'!$B:$B,0),MATCH(E$47,'3. Revenue Model'!$D$2:$AA$2,0))
+INDEX('3. Revenue Model'!$D:$AA,MATCH("Free-to-Starter Conversions (from Free Funnel)",'3. Revenue Model'!$B:$B,0),MATCH(E$47,'3. Revenue Model'!$D$2:$AA$2,0))</f>
        <v>42.114968000000005</v>
      </c>
      <c r="F48" s="230">
        <f>INDEX('3. Revenue Model'!$D:$AA,MATCH("New Starter Logos – Direct/Self-Serve",'3. Revenue Model'!$B:$B,0),MATCH(F$47,'3. Revenue Model'!$D$2:$AA$2,0))
+INDEX('3. Revenue Model'!$D:$AA,MATCH("Free-to-Starter Conversions (from Free Funnel)",'3. Revenue Model'!$B:$B,0),MATCH(F$47,'3. Revenue Model'!$D$2:$AA$2,0))</f>
        <v>44.210174800000004</v>
      </c>
      <c r="G48" s="230">
        <f>INDEX('3. Revenue Model'!$D:$AA,MATCH("New Starter Logos – Direct/Self-Serve",'3. Revenue Model'!$B:$B,0),MATCH(G$47,'3. Revenue Model'!$D$2:$AA$2,0))
+INDEX('3. Revenue Model'!$D:$AA,MATCH("Free-to-Starter Conversions (from Free Funnel)",'3. Revenue Model'!$B:$B,0),MATCH(G$47,'3. Revenue Model'!$D$2:$AA$2,0))</f>
        <v>46.895223087200009</v>
      </c>
      <c r="H48" s="230">
        <f>INDEX('3. Revenue Model'!$D:$AA,MATCH("New Starter Logos – Direct/Self-Serve",'3. Revenue Model'!$B:$B,0),MATCH(H$47,'3. Revenue Model'!$D$2:$AA$2,0))
+INDEX('3. Revenue Model'!$D:$AA,MATCH("Free-to-Starter Conversions (from Free Funnel)",'3. Revenue Model'!$B:$B,0),MATCH(H$47,'3. Revenue Model'!$D$2:$AA$2,0))</f>
        <v>50.139458023240017</v>
      </c>
      <c r="I48" s="230">
        <f>INDEX('3. Revenue Model'!$D:$AA,MATCH("New Starter Logos – Direct/Self-Serve",'3. Revenue Model'!$B:$B,0),MATCH(I$47,'3. Revenue Model'!$D$2:$AA$2,0))
+INDEX('3. Revenue Model'!$D:$AA,MATCH("Free-to-Starter Conversions (from Free Funnel)",'3. Revenue Model'!$B:$B,0),MATCH(I$47,'3. Revenue Model'!$D$2:$AA$2,0))</f>
        <v>53.928462074416913</v>
      </c>
      <c r="J48" s="230">
        <f>INDEX('3. Revenue Model'!$D:$AA,MATCH("New Starter Logos – Direct/Self-Serve",'3. Revenue Model'!$B:$B,0),MATCH(J$47,'3. Revenue Model'!$D$2:$AA$2,0))
+INDEX('3. Revenue Model'!$D:$AA,MATCH("Free-to-Starter Conversions (from Free Funnel)",'3. Revenue Model'!$B:$B,0),MATCH(J$47,'3. Revenue Model'!$D$2:$AA$2,0))</f>
        <v>58.261402883475171</v>
      </c>
      <c r="K48" s="230">
        <f>INDEX('3. Revenue Model'!$D:$AA,MATCH("New Starter Logos – Direct/Self-Serve",'3. Revenue Model'!$B:$B,0),MATCH(K$47,'3. Revenue Model'!$D$2:$AA$2,0))
+INDEX('3. Revenue Model'!$D:$AA,MATCH("Free-to-Starter Conversions (from Free Funnel)",'3. Revenue Model'!$B:$B,0),MATCH(K$47,'3. Revenue Model'!$D$2:$AA$2,0))</f>
        <v>63.149054570320708</v>
      </c>
      <c r="L48" s="230">
        <f>INDEX('3. Revenue Model'!$D:$AA,MATCH("New Starter Logos – Direct/Self-Serve",'3. Revenue Model'!$B:$B,0),MATCH(L$47,'3. Revenue Model'!$D$2:$AA$2,0))
+INDEX('3. Revenue Model'!$D:$AA,MATCH("Free-to-Starter Conversions (from Free Funnel)",'3. Revenue Model'!$B:$B,0),MATCH(L$47,'3. Revenue Model'!$D$2:$AA$2,0))</f>
        <v>68.612353160064941</v>
      </c>
      <c r="M48" s="230">
        <f>INDEX('3. Revenue Model'!$D:$AA,MATCH("New Starter Logos – Direct/Self-Serve",'3. Revenue Model'!$B:$B,0),MATCH(M$47,'3. Revenue Model'!$D$2:$AA$2,0))
+INDEX('3. Revenue Model'!$D:$AA,MATCH("Free-to-Starter Conversions (from Free Funnel)",'3. Revenue Model'!$B:$B,0),MATCH(M$47,'3. Revenue Model'!$D$2:$AA$2,0))</f>
        <v>74.681378358402469</v>
      </c>
      <c r="N48" s="230">
        <f>INDEX('3. Revenue Model'!$D:$AA,MATCH("New Starter Logos – Direct/Self-Serve",'3. Revenue Model'!$B:$B,0),MATCH(N$47,'3. Revenue Model'!$D$2:$AA$2,0))
+INDEX('3. Revenue Model'!$D:$AA,MATCH("Free-to-Starter Conversions (from Free Funnel)",'3. Revenue Model'!$B:$B,0),MATCH(N$47,'3. Revenue Model'!$D$2:$AA$2,0))</f>
        <v>81.394678567993566</v>
      </c>
      <c r="O48" s="230">
        <f>INDEX('3. Revenue Model'!$D:$AA,MATCH("New Starter Logos – Direct/Self-Serve",'3. Revenue Model'!$B:$B,0),MATCH(O$47,'3. Revenue Model'!$D$2:$AA$2,0))
+INDEX('3. Revenue Model'!$D:$AA,MATCH("Free-to-Starter Conversions (from Free Funnel)",'3. Revenue Model'!$B:$B,0),MATCH(O$47,'3. Revenue Model'!$D$2:$AA$2,0))</f>
        <v>88.798875380438517</v>
      </c>
      <c r="P48" s="230">
        <f>INDEX('3. Revenue Model'!$D:$AA,MATCH("New Starter Logos – Direct/Self-Serve",'3. Revenue Model'!$B:$B,0),MATCH(P$47,'3. Revenue Model'!$D$2:$AA$2,0))
+INDEX('3. Revenue Model'!$D:$AA,MATCH("Free-to-Starter Conversions (from Free Funnel)",'3. Revenue Model'!$B:$B,0),MATCH(P$47,'3. Revenue Model'!$D$2:$AA$2,0))</f>
        <v>96.948498969294249</v>
      </c>
      <c r="Q48" s="230">
        <f>INDEX('3. Revenue Model'!$D:$AA,MATCH("New Starter Logos – Direct/Self-Serve",'3. Revenue Model'!$B:$B,0),MATCH(Q$47,'3. Revenue Model'!$D$2:$AA$2,0))
+INDEX('3. Revenue Model'!$D:$AA,MATCH("Free-to-Starter Conversions (from Free Funnel)",'3. Revenue Model'!$B:$B,0),MATCH(Q$47,'3. Revenue Model'!$D$2:$AA$2,0))</f>
        <v>105.90601777384387</v>
      </c>
      <c r="R48" s="230">
        <f>INDEX('3. Revenue Model'!$D:$AA,MATCH("New Starter Logos – Direct/Self-Serve",'3. Revenue Model'!$B:$B,0),MATCH(R$47,'3. Revenue Model'!$D$2:$AA$2,0))
+INDEX('3. Revenue Model'!$D:$AA,MATCH("Free-to-Starter Conversions (from Free Funnel)",'3. Revenue Model'!$B:$B,0),MATCH(R$47,'3. Revenue Model'!$D$2:$AA$2,0))</f>
        <v>115.742035322318</v>
      </c>
      <c r="S48" s="230">
        <f>INDEX('3. Revenue Model'!$D:$AA,MATCH("New Starter Logos – Direct/Self-Serve",'3. Revenue Model'!$B:$B,0),MATCH(S$47,'3. Revenue Model'!$D$2:$AA$2,0))
+INDEX('3. Revenue Model'!$D:$AA,MATCH("Free-to-Starter Conversions (from Free Funnel)",'3. Revenue Model'!$B:$B,0),MATCH(S$47,'3. Revenue Model'!$D$2:$AA$2,0))</f>
        <v>126.53563456076603</v>
      </c>
      <c r="T48" s="230">
        <f>INDEX('3. Revenue Model'!$D:$AA,MATCH("New Starter Logos – Direct/Self-Serve",'3. Revenue Model'!$B:$B,0),MATCH(T$47,'3. Revenue Model'!$D$2:$AA$2,0))
+INDEX('3. Revenue Model'!$D:$AA,MATCH("Free-to-Starter Conversions (from Free Funnel)",'3. Revenue Model'!$B:$B,0),MATCH(T$47,'3. Revenue Model'!$D$2:$AA$2,0))</f>
        <v>138.37485607079111</v>
      </c>
      <c r="U48" s="230">
        <f>INDEX('3. Revenue Model'!$D:$AA,MATCH("New Starter Logos – Direct/Self-Serve",'3. Revenue Model'!$B:$B,0),MATCH(U$47,'3. Revenue Model'!$D$2:$AA$2,0))
+INDEX('3. Revenue Model'!$D:$AA,MATCH("Free-to-Starter Conversions (from Free Funnel)",'3. Revenue Model'!$B:$B,0),MATCH(U$47,'3. Revenue Model'!$D$2:$AA$2,0))</f>
        <v>151.3573014212669</v>
      </c>
      <c r="V48" s="230">
        <f>INDEX('3. Revenue Model'!$D:$AA,MATCH("New Starter Logos – Direct/Self-Serve",'3. Revenue Model'!$B:$B,0),MATCH(V$47,'3. Revenue Model'!$D$2:$AA$2,0))
+INDEX('3. Revenue Model'!$D:$AA,MATCH("Free-to-Starter Conversions (from Free Funnel)",'3. Revenue Model'!$B:$B,0),MATCH(V$47,'3. Revenue Model'!$D$2:$AA$2,0))</f>
        <v>165.590856876852</v>
      </c>
      <c r="W48" s="230">
        <f>INDEX('3. Revenue Model'!$D:$AA,MATCH("New Starter Logos – Direct/Self-Serve",'3. Revenue Model'!$B:$B,0),MATCH(W$47,'3. Revenue Model'!$D$2:$AA$2,0))
+INDEX('3. Revenue Model'!$D:$AA,MATCH("Free-to-Starter Conversions (from Free Funnel)",'3. Revenue Model'!$B:$B,0),MATCH(W$47,'3. Revenue Model'!$D$2:$AA$2,0))</f>
        <v>181.19453599259643</v>
      </c>
      <c r="X48" s="230">
        <f>INDEX('3. Revenue Model'!$D:$AA,MATCH("New Starter Logos – Direct/Self-Serve",'3. Revenue Model'!$B:$B,0),MATCH(X$47,'3. Revenue Model'!$D$2:$AA$2,0))
+INDEX('3. Revenue Model'!$D:$AA,MATCH("Free-to-Starter Conversions (from Free Funnel)",'3. Revenue Model'!$B:$B,0),MATCH(X$47,'3. Revenue Model'!$D$2:$AA$2,0))</f>
        <v>198.29944242715322</v>
      </c>
      <c r="Y48" s="230">
        <f>INDEX('3. Revenue Model'!$D:$AA,MATCH("New Starter Logos – Direct/Self-Serve",'3. Revenue Model'!$B:$B,0),MATCH(Y$47,'3. Revenue Model'!$D$2:$AA$2,0))
+INDEX('3. Revenue Model'!$D:$AA,MATCH("Free-to-Starter Conversions (from Free Funnel)",'3. Revenue Model'!$B:$B,0),MATCH(Y$47,'3. Revenue Model'!$D$2:$AA$2,0))</f>
        <v>217.04985674011007</v>
      </c>
      <c r="Z48" s="196"/>
    </row>
    <row r="49" spans="1:26" s="3" customFormat="1" ht="13.2">
      <c r="A49" s="229" t="s">
        <v>978</v>
      </c>
      <c r="B49" s="230">
        <f>INDEX('3. Revenue Model'!$D:$AA,MATCH("New Growth Logos – Direct",'3. Revenue Model'!$B:$B,0),MATCH(B$47,'3. Revenue Model'!$D$2:$AA$2,0))</f>
        <v>4</v>
      </c>
      <c r="C49" s="230">
        <f>INDEX('3. Revenue Model'!$D:$AA,MATCH("New Growth Logos – Direct",'3. Revenue Model'!$B:$B,0),MATCH(C$47,'3. Revenue Model'!$D$2:$AA$2,0))</f>
        <v>4.28</v>
      </c>
      <c r="D49" s="230">
        <f>INDEX('3. Revenue Model'!$D:$AA,MATCH("New Growth Logos – Direct",'3. Revenue Model'!$B:$B,0),MATCH(D$47,'3. Revenue Model'!$D$2:$AA$2,0))</f>
        <v>4.5796000000000001</v>
      </c>
      <c r="E49" s="230">
        <f>INDEX('3. Revenue Model'!$D:$AA,MATCH("New Growth Logos – Direct",'3. Revenue Model'!$B:$B,0),MATCH(E$47,'3. Revenue Model'!$D$2:$AA$2,0))</f>
        <v>4.9001720000000004</v>
      </c>
      <c r="F49" s="230">
        <f>INDEX('3. Revenue Model'!$D:$AA,MATCH("New Growth Logos – Direct",'3. Revenue Model'!$B:$B,0),MATCH(F$47,'3. Revenue Model'!$D$2:$AA$2,0))</f>
        <v>5.2431840400000009</v>
      </c>
      <c r="G49" s="230">
        <f>INDEX('3. Revenue Model'!$D:$AA,MATCH("New Growth Logos – Direct",'3. Revenue Model'!$B:$B,0),MATCH(G$47,'3. Revenue Model'!$D$2:$AA$2,0))</f>
        <v>5.6102069228000015</v>
      </c>
      <c r="H49" s="230">
        <f>INDEX('3. Revenue Model'!$D:$AA,MATCH("New Growth Logos – Direct",'3. Revenue Model'!$B:$B,0),MATCH(H$47,'3. Revenue Model'!$D$2:$AA$2,0))</f>
        <v>6.002921407396002</v>
      </c>
      <c r="I49" s="230">
        <f>INDEX('3. Revenue Model'!$D:$AA,MATCH("New Growth Logos – Direct",'3. Revenue Model'!$B:$B,0),MATCH(I$47,'3. Revenue Model'!$D$2:$AA$2,0))</f>
        <v>6.4231259059137225</v>
      </c>
      <c r="J49" s="230">
        <f>INDEX('3. Revenue Model'!$D:$AA,MATCH("New Growth Logos – Direct",'3. Revenue Model'!$B:$B,0),MATCH(J$47,'3. Revenue Model'!$D$2:$AA$2,0))</f>
        <v>6.8727447193276836</v>
      </c>
      <c r="K49" s="230">
        <f>INDEX('3. Revenue Model'!$D:$AA,MATCH("New Growth Logos – Direct",'3. Revenue Model'!$B:$B,0),MATCH(K$47,'3. Revenue Model'!$D$2:$AA$2,0))</f>
        <v>7.3538368496806221</v>
      </c>
      <c r="L49" s="230">
        <f>INDEX('3. Revenue Model'!$D:$AA,MATCH("New Growth Logos – Direct",'3. Revenue Model'!$B:$B,0),MATCH(L$47,'3. Revenue Model'!$D$2:$AA$2,0))</f>
        <v>7.8686054291582659</v>
      </c>
      <c r="M49" s="230">
        <f>INDEX('3. Revenue Model'!$D:$AA,MATCH("New Growth Logos – Direct",'3. Revenue Model'!$B:$B,0),MATCH(M$47,'3. Revenue Model'!$D$2:$AA$2,0))</f>
        <v>8.4194078091993454</v>
      </c>
      <c r="N49" s="230">
        <f>INDEX('3. Revenue Model'!$D:$AA,MATCH("New Growth Logos – Direct",'3. Revenue Model'!$B:$B,0),MATCH(N$47,'3. Revenue Model'!$D$2:$AA$2,0))</f>
        <v>9.0087663558432993</v>
      </c>
      <c r="O49" s="230">
        <f>INDEX('3. Revenue Model'!$D:$AA,MATCH("New Growth Logos – Direct",'3. Revenue Model'!$B:$B,0),MATCH(O$47,'3. Revenue Model'!$D$2:$AA$2,0))</f>
        <v>9.6393800007523307</v>
      </c>
      <c r="P49" s="230">
        <f>INDEX('3. Revenue Model'!$D:$AA,MATCH("New Growth Logos – Direct",'3. Revenue Model'!$B:$B,0),MATCH(P$47,'3. Revenue Model'!$D$2:$AA$2,0))</f>
        <v>10.314136600804995</v>
      </c>
      <c r="Q49" s="230">
        <f>INDEX('3. Revenue Model'!$D:$AA,MATCH("New Growth Logos – Direct",'3. Revenue Model'!$B:$B,0),MATCH(Q$47,'3. Revenue Model'!$D$2:$AA$2,0))</f>
        <v>11.036126162861345</v>
      </c>
      <c r="R49" s="230">
        <f>INDEX('3. Revenue Model'!$D:$AA,MATCH("New Growth Logos – Direct",'3. Revenue Model'!$B:$B,0),MATCH(R$47,'3. Revenue Model'!$D$2:$AA$2,0))</f>
        <v>11.808654994261641</v>
      </c>
      <c r="S49" s="230">
        <f>INDEX('3. Revenue Model'!$D:$AA,MATCH("New Growth Logos – Direct",'3. Revenue Model'!$B:$B,0),MATCH(S$47,'3. Revenue Model'!$D$2:$AA$2,0))</f>
        <v>12.635260843859957</v>
      </c>
      <c r="T49" s="230">
        <f>INDEX('3. Revenue Model'!$D:$AA,MATCH("New Growth Logos – Direct",'3. Revenue Model'!$B:$B,0),MATCH(T$47,'3. Revenue Model'!$D$2:$AA$2,0))</f>
        <v>13.519729102930155</v>
      </c>
      <c r="U49" s="230">
        <f>INDEX('3. Revenue Model'!$D:$AA,MATCH("New Growth Logos – Direct",'3. Revenue Model'!$B:$B,0),MATCH(U$47,'3. Revenue Model'!$D$2:$AA$2,0))</f>
        <v>14.466110140135267</v>
      </c>
      <c r="V49" s="230">
        <f>INDEX('3. Revenue Model'!$D:$AA,MATCH("New Growth Logos – Direct",'3. Revenue Model'!$B:$B,0),MATCH(V$47,'3. Revenue Model'!$D$2:$AA$2,0))</f>
        <v>15.478737849944737</v>
      </c>
      <c r="W49" s="230">
        <f>INDEX('3. Revenue Model'!$D:$AA,MATCH("New Growth Logos – Direct",'3. Revenue Model'!$B:$B,0),MATCH(W$47,'3. Revenue Model'!$D$2:$AA$2,0))</f>
        <v>16.56224949944087</v>
      </c>
      <c r="X49" s="230">
        <f>INDEX('3. Revenue Model'!$D:$AA,MATCH("New Growth Logos – Direct",'3. Revenue Model'!$B:$B,0),MATCH(X$47,'3. Revenue Model'!$D$2:$AA$2,0))</f>
        <v>17.721606964401733</v>
      </c>
      <c r="Y49" s="230">
        <f>INDEX('3. Revenue Model'!$D:$AA,MATCH("New Growth Logos – Direct",'3. Revenue Model'!$B:$B,0),MATCH(Y$47,'3. Revenue Model'!$D$2:$AA$2,0))</f>
        <v>18.962119451909857</v>
      </c>
      <c r="Z49" s="196"/>
    </row>
    <row r="50" spans="1:26" s="3" customFormat="1" ht="13.2">
      <c r="A50" s="229" t="s">
        <v>979</v>
      </c>
      <c r="B50" s="230">
        <f>INDEX('3. Revenue Model'!$D:$AA,MATCH("New Enterprise Logos",'3. Revenue Model'!$B:$B,0),MATCH(B$47,'3. Revenue Model'!$D$2:$AA$2,0))</f>
        <v>0</v>
      </c>
      <c r="C50" s="230">
        <f>INDEX('3. Revenue Model'!$D:$AA,MATCH("New Enterprise Logos",'3. Revenue Model'!$B:$B,0),MATCH(C$47,'3. Revenue Model'!$D$2:$AA$2,0))</f>
        <v>0</v>
      </c>
      <c r="D50" s="230">
        <f>INDEX('3. Revenue Model'!$D:$AA,MATCH("New Enterprise Logos",'3. Revenue Model'!$B:$B,0),MATCH(D$47,'3. Revenue Model'!$D$2:$AA$2,0))</f>
        <v>0</v>
      </c>
      <c r="E50" s="230">
        <f>INDEX('3. Revenue Model'!$D:$AA,MATCH("New Enterprise Logos",'3. Revenue Model'!$B:$B,0),MATCH(E$47,'3. Revenue Model'!$D$2:$AA$2,0))</f>
        <v>0</v>
      </c>
      <c r="F50" s="230">
        <f>INDEX('3. Revenue Model'!$D:$AA,MATCH("New Enterprise Logos",'3. Revenue Model'!$B:$B,0),MATCH(F$47,'3. Revenue Model'!$D$2:$AA$2,0))</f>
        <v>0</v>
      </c>
      <c r="G50" s="230">
        <f>INDEX('3. Revenue Model'!$D:$AA,MATCH("New Enterprise Logos",'3. Revenue Model'!$B:$B,0),MATCH(G$47,'3. Revenue Model'!$D$2:$AA$2,0))</f>
        <v>1</v>
      </c>
      <c r="H50" s="230">
        <f>INDEX('3. Revenue Model'!$D:$AA,MATCH("New Enterprise Logos",'3. Revenue Model'!$B:$B,0),MATCH(H$47,'3. Revenue Model'!$D$2:$AA$2,0))</f>
        <v>1.07</v>
      </c>
      <c r="I50" s="230">
        <f>INDEX('3. Revenue Model'!$D:$AA,MATCH("New Enterprise Logos",'3. Revenue Model'!$B:$B,0),MATCH(I$47,'3. Revenue Model'!$D$2:$AA$2,0))</f>
        <v>1.1449</v>
      </c>
      <c r="J50" s="230">
        <f>INDEX('3. Revenue Model'!$D:$AA,MATCH("New Enterprise Logos",'3. Revenue Model'!$B:$B,0),MATCH(J$47,'3. Revenue Model'!$D$2:$AA$2,0))</f>
        <v>1.2250430000000001</v>
      </c>
      <c r="K50" s="230">
        <f>INDEX('3. Revenue Model'!$D:$AA,MATCH("New Enterprise Logos",'3. Revenue Model'!$B:$B,0),MATCH(K$47,'3. Revenue Model'!$D$2:$AA$2,0))</f>
        <v>1.31079601</v>
      </c>
      <c r="L50" s="230">
        <f>INDEX('3. Revenue Model'!$D:$AA,MATCH("New Enterprise Logos",'3. Revenue Model'!$B:$B,0),MATCH(L$47,'3. Revenue Model'!$D$2:$AA$2,0))</f>
        <v>1.4025517307000002</v>
      </c>
      <c r="M50" s="230">
        <f>INDEX('3. Revenue Model'!$D:$AA,MATCH("New Enterprise Logos",'3. Revenue Model'!$B:$B,0),MATCH(M$47,'3. Revenue Model'!$D$2:$AA$2,0))</f>
        <v>1.5007303518490001</v>
      </c>
      <c r="N50" s="230">
        <f>INDEX('3. Revenue Model'!$D:$AA,MATCH("New Enterprise Logos",'3. Revenue Model'!$B:$B,0),MATCH(N$47,'3. Revenue Model'!$D$2:$AA$2,0))</f>
        <v>1.6057814764784302</v>
      </c>
      <c r="O50" s="230">
        <f>INDEX('3. Revenue Model'!$D:$AA,MATCH("New Enterprise Logos",'3. Revenue Model'!$B:$B,0),MATCH(O$47,'3. Revenue Model'!$D$2:$AA$2,0))</f>
        <v>1.7181861798319202</v>
      </c>
      <c r="P50" s="230">
        <f>INDEX('3. Revenue Model'!$D:$AA,MATCH("New Enterprise Logos",'3. Revenue Model'!$B:$B,0),MATCH(P$47,'3. Revenue Model'!$D$2:$AA$2,0))</f>
        <v>1.8384592124201549</v>
      </c>
      <c r="Q50" s="230">
        <f>INDEX('3. Revenue Model'!$D:$AA,MATCH("New Enterprise Logos",'3. Revenue Model'!$B:$B,0),MATCH(Q$47,'3. Revenue Model'!$D$2:$AA$2,0))</f>
        <v>1.9671513572895656</v>
      </c>
      <c r="R50" s="230">
        <f>INDEX('3. Revenue Model'!$D:$AA,MATCH("New Enterprise Logos",'3. Revenue Model'!$B:$B,0),MATCH(R$47,'3. Revenue Model'!$D$2:$AA$2,0))</f>
        <v>2.1048519522998355</v>
      </c>
      <c r="S50" s="230">
        <f>INDEX('3. Revenue Model'!$D:$AA,MATCH("New Enterprise Logos",'3. Revenue Model'!$B:$B,0),MATCH(S$47,'3. Revenue Model'!$D$2:$AA$2,0))</f>
        <v>2.2521915889608235</v>
      </c>
      <c r="T50" s="230">
        <f>INDEX('3. Revenue Model'!$D:$AA,MATCH("New Enterprise Logos",'3. Revenue Model'!$B:$B,0),MATCH(T$47,'3. Revenue Model'!$D$2:$AA$2,0))</f>
        <v>2.4098450001880813</v>
      </c>
      <c r="U50" s="230">
        <f>INDEX('3. Revenue Model'!$D:$AA,MATCH("New Enterprise Logos",'3. Revenue Model'!$B:$B,0),MATCH(U$47,'3. Revenue Model'!$D$2:$AA$2,0))</f>
        <v>2.5785341502012469</v>
      </c>
      <c r="V50" s="230">
        <f>INDEX('3. Revenue Model'!$D:$AA,MATCH("New Enterprise Logos",'3. Revenue Model'!$B:$B,0),MATCH(V$47,'3. Revenue Model'!$D$2:$AA$2,0))</f>
        <v>2.7590315407153345</v>
      </c>
      <c r="W50" s="230">
        <f>INDEX('3. Revenue Model'!$D:$AA,MATCH("New Enterprise Logos",'3. Revenue Model'!$B:$B,0),MATCH(W$47,'3. Revenue Model'!$D$2:$AA$2,0))</f>
        <v>2.9521637485654075</v>
      </c>
      <c r="X50" s="230">
        <f>INDEX('3. Revenue Model'!$D:$AA,MATCH("New Enterprise Logos",'3. Revenue Model'!$B:$B,0),MATCH(X$47,'3. Revenue Model'!$D$2:$AA$2,0))</f>
        <v>3.1588152109649861</v>
      </c>
      <c r="Y50" s="230">
        <f>INDEX('3. Revenue Model'!$D:$AA,MATCH("New Enterprise Logos",'3. Revenue Model'!$B:$B,0),MATCH(Y$47,'3. Revenue Model'!$D$2:$AA$2,0))</f>
        <v>3.3799322757325352</v>
      </c>
      <c r="Z50" s="196"/>
    </row>
    <row r="51" spans="1:26" s="3" customFormat="1" ht="13.2">
      <c r="A51" s="229" t="s">
        <v>980</v>
      </c>
      <c r="B51" s="230">
        <f>SUM(B48:B50)</f>
        <v>44</v>
      </c>
      <c r="C51" s="230">
        <f t="shared" ref="C51:Y51" si="0">SUM(C48:C50)</f>
        <v>44.2</v>
      </c>
      <c r="D51" s="230">
        <f t="shared" si="0"/>
        <v>45.239600000000003</v>
      </c>
      <c r="E51" s="230">
        <f t="shared" si="0"/>
        <v>47.015140000000002</v>
      </c>
      <c r="F51" s="230">
        <f t="shared" si="0"/>
        <v>49.453358840000007</v>
      </c>
      <c r="G51" s="230">
        <f t="shared" si="0"/>
        <v>53.505430010000012</v>
      </c>
      <c r="H51" s="230">
        <f t="shared" si="0"/>
        <v>57.21237943063602</v>
      </c>
      <c r="I51" s="230">
        <f t="shared" si="0"/>
        <v>61.496487980330635</v>
      </c>
      <c r="J51" s="230">
        <f t="shared" si="0"/>
        <v>66.359190602802855</v>
      </c>
      <c r="K51" s="230">
        <f t="shared" si="0"/>
        <v>71.813687430001337</v>
      </c>
      <c r="L51" s="230">
        <f t="shared" si="0"/>
        <v>77.883510319923204</v>
      </c>
      <c r="M51" s="230">
        <f t="shared" si="0"/>
        <v>84.601516519450811</v>
      </c>
      <c r="N51" s="230">
        <f t="shared" si="0"/>
        <v>92.009226400315299</v>
      </c>
      <c r="O51" s="230">
        <f t="shared" si="0"/>
        <v>100.15644156102276</v>
      </c>
      <c r="P51" s="230">
        <f t="shared" si="0"/>
        <v>109.10109478251941</v>
      </c>
      <c r="Q51" s="230">
        <f t="shared" si="0"/>
        <v>118.90929529399479</v>
      </c>
      <c r="R51" s="230">
        <f t="shared" si="0"/>
        <v>129.65554226887949</v>
      </c>
      <c r="S51" s="230">
        <f t="shared" si="0"/>
        <v>141.42308699358679</v>
      </c>
      <c r="T51" s="230">
        <f t="shared" si="0"/>
        <v>154.30443017390934</v>
      </c>
      <c r="U51" s="230">
        <f t="shared" si="0"/>
        <v>168.40194571160342</v>
      </c>
      <c r="V51" s="230">
        <f t="shared" si="0"/>
        <v>183.82862626751208</v>
      </c>
      <c r="W51" s="230">
        <f t="shared" si="0"/>
        <v>200.70894924060269</v>
      </c>
      <c r="X51" s="230">
        <f t="shared" si="0"/>
        <v>219.17986460251993</v>
      </c>
      <c r="Y51" s="230">
        <f t="shared" si="0"/>
        <v>239.39190846775244</v>
      </c>
      <c r="Z51" s="196"/>
    </row>
    <row r="52" spans="1:26" s="3" customFormat="1" ht="13.2">
      <c r="A52" s="229" t="s">
        <v>981</v>
      </c>
      <c r="B52" s="231">
        <f>$C$36</f>
        <v>500</v>
      </c>
      <c r="C52" s="231">
        <f t="shared" ref="C52:Y52" si="1">$C$36</f>
        <v>500</v>
      </c>
      <c r="D52" s="231">
        <f t="shared" si="1"/>
        <v>500</v>
      </c>
      <c r="E52" s="231">
        <f t="shared" si="1"/>
        <v>500</v>
      </c>
      <c r="F52" s="231">
        <f t="shared" si="1"/>
        <v>500</v>
      </c>
      <c r="G52" s="231">
        <f t="shared" si="1"/>
        <v>500</v>
      </c>
      <c r="H52" s="231">
        <f t="shared" si="1"/>
        <v>500</v>
      </c>
      <c r="I52" s="231">
        <f t="shared" si="1"/>
        <v>500</v>
      </c>
      <c r="J52" s="231">
        <f t="shared" si="1"/>
        <v>500</v>
      </c>
      <c r="K52" s="231">
        <f t="shared" si="1"/>
        <v>500</v>
      </c>
      <c r="L52" s="231">
        <f t="shared" si="1"/>
        <v>500</v>
      </c>
      <c r="M52" s="231">
        <f t="shared" si="1"/>
        <v>500</v>
      </c>
      <c r="N52" s="231">
        <f t="shared" si="1"/>
        <v>500</v>
      </c>
      <c r="O52" s="231">
        <f t="shared" si="1"/>
        <v>500</v>
      </c>
      <c r="P52" s="231">
        <f t="shared" si="1"/>
        <v>500</v>
      </c>
      <c r="Q52" s="231">
        <f t="shared" si="1"/>
        <v>500</v>
      </c>
      <c r="R52" s="231">
        <f t="shared" si="1"/>
        <v>500</v>
      </c>
      <c r="S52" s="231">
        <f t="shared" si="1"/>
        <v>500</v>
      </c>
      <c r="T52" s="231">
        <f t="shared" si="1"/>
        <v>500</v>
      </c>
      <c r="U52" s="231">
        <f t="shared" si="1"/>
        <v>500</v>
      </c>
      <c r="V52" s="231">
        <f t="shared" si="1"/>
        <v>500</v>
      </c>
      <c r="W52" s="231">
        <f t="shared" si="1"/>
        <v>500</v>
      </c>
      <c r="X52" s="231">
        <f t="shared" si="1"/>
        <v>500</v>
      </c>
      <c r="Y52" s="231">
        <f t="shared" si="1"/>
        <v>500</v>
      </c>
      <c r="Z52" s="196"/>
    </row>
    <row r="53" spans="1:26" s="3" customFormat="1" ht="13.2">
      <c r="A53" s="229" t="s">
        <v>982</v>
      </c>
      <c r="B53" s="231">
        <f>$C$37</f>
        <v>1600</v>
      </c>
      <c r="C53" s="231">
        <f t="shared" ref="C53:Y53" si="2">$C$37</f>
        <v>1600</v>
      </c>
      <c r="D53" s="231">
        <f t="shared" si="2"/>
        <v>1600</v>
      </c>
      <c r="E53" s="231">
        <f t="shared" si="2"/>
        <v>1600</v>
      </c>
      <c r="F53" s="231">
        <f t="shared" si="2"/>
        <v>1600</v>
      </c>
      <c r="G53" s="231">
        <f t="shared" si="2"/>
        <v>1600</v>
      </c>
      <c r="H53" s="231">
        <f t="shared" si="2"/>
        <v>1600</v>
      </c>
      <c r="I53" s="231">
        <f t="shared" si="2"/>
        <v>1600</v>
      </c>
      <c r="J53" s="231">
        <f t="shared" si="2"/>
        <v>1600</v>
      </c>
      <c r="K53" s="231">
        <f t="shared" si="2"/>
        <v>1600</v>
      </c>
      <c r="L53" s="231">
        <f t="shared" si="2"/>
        <v>1600</v>
      </c>
      <c r="M53" s="231">
        <f t="shared" si="2"/>
        <v>1600</v>
      </c>
      <c r="N53" s="231">
        <f t="shared" si="2"/>
        <v>1600</v>
      </c>
      <c r="O53" s="231">
        <f t="shared" si="2"/>
        <v>1600</v>
      </c>
      <c r="P53" s="231">
        <f t="shared" si="2"/>
        <v>1600</v>
      </c>
      <c r="Q53" s="231">
        <f t="shared" si="2"/>
        <v>1600</v>
      </c>
      <c r="R53" s="231">
        <f t="shared" si="2"/>
        <v>1600</v>
      </c>
      <c r="S53" s="231">
        <f t="shared" si="2"/>
        <v>1600</v>
      </c>
      <c r="T53" s="231">
        <f t="shared" si="2"/>
        <v>1600</v>
      </c>
      <c r="U53" s="231">
        <f t="shared" si="2"/>
        <v>1600</v>
      </c>
      <c r="V53" s="231">
        <f t="shared" si="2"/>
        <v>1600</v>
      </c>
      <c r="W53" s="231">
        <f t="shared" si="2"/>
        <v>1600</v>
      </c>
      <c r="X53" s="231">
        <f t="shared" si="2"/>
        <v>1600</v>
      </c>
      <c r="Y53" s="231">
        <f t="shared" si="2"/>
        <v>1600</v>
      </c>
      <c r="Z53" s="196"/>
    </row>
    <row r="54" spans="1:26" s="3" customFormat="1" ht="13.2">
      <c r="A54" s="229" t="s">
        <v>983</v>
      </c>
      <c r="B54" s="231">
        <f>$C$38</f>
        <v>4500</v>
      </c>
      <c r="C54" s="231">
        <f t="shared" ref="C54:Y54" si="3">$C$38</f>
        <v>4500</v>
      </c>
      <c r="D54" s="231">
        <f t="shared" si="3"/>
        <v>4500</v>
      </c>
      <c r="E54" s="231">
        <f t="shared" si="3"/>
        <v>4500</v>
      </c>
      <c r="F54" s="231">
        <f t="shared" si="3"/>
        <v>4500</v>
      </c>
      <c r="G54" s="231">
        <f t="shared" si="3"/>
        <v>4500</v>
      </c>
      <c r="H54" s="231">
        <f t="shared" si="3"/>
        <v>4500</v>
      </c>
      <c r="I54" s="231">
        <f t="shared" si="3"/>
        <v>4500</v>
      </c>
      <c r="J54" s="231">
        <f t="shared" si="3"/>
        <v>4500</v>
      </c>
      <c r="K54" s="231">
        <f t="shared" si="3"/>
        <v>4500</v>
      </c>
      <c r="L54" s="231">
        <f t="shared" si="3"/>
        <v>4500</v>
      </c>
      <c r="M54" s="231">
        <f t="shared" si="3"/>
        <v>4500</v>
      </c>
      <c r="N54" s="231">
        <f t="shared" si="3"/>
        <v>4500</v>
      </c>
      <c r="O54" s="231">
        <f t="shared" si="3"/>
        <v>4500</v>
      </c>
      <c r="P54" s="231">
        <f t="shared" si="3"/>
        <v>4500</v>
      </c>
      <c r="Q54" s="231">
        <f t="shared" si="3"/>
        <v>4500</v>
      </c>
      <c r="R54" s="231">
        <f t="shared" si="3"/>
        <v>4500</v>
      </c>
      <c r="S54" s="231">
        <f t="shared" si="3"/>
        <v>4500</v>
      </c>
      <c r="T54" s="231">
        <f t="shared" si="3"/>
        <v>4500</v>
      </c>
      <c r="U54" s="231">
        <f t="shared" si="3"/>
        <v>4500</v>
      </c>
      <c r="V54" s="231">
        <f t="shared" si="3"/>
        <v>4500</v>
      </c>
      <c r="W54" s="231">
        <f t="shared" si="3"/>
        <v>4500</v>
      </c>
      <c r="X54" s="231">
        <f t="shared" si="3"/>
        <v>4500</v>
      </c>
      <c r="Y54" s="231">
        <f t="shared" si="3"/>
        <v>4500</v>
      </c>
      <c r="Z54" s="196"/>
    </row>
    <row r="55" spans="1:26" s="3" customFormat="1" ht="13.2">
      <c r="A55" s="229" t="s">
        <v>984</v>
      </c>
      <c r="B55" s="231">
        <f>IFERROR((B48*B52+B49*B53+B50*B54)/B51,"")</f>
        <v>600</v>
      </c>
      <c r="C55" s="231">
        <f t="shared" ref="C55:Y55" si="4">IFERROR((C48*C52+C49*C53+C50*C54)/C51,"")</f>
        <v>606.51583710407238</v>
      </c>
      <c r="D55" s="231">
        <f t="shared" si="4"/>
        <v>611.35288552507097</v>
      </c>
      <c r="E55" s="231">
        <f t="shared" si="4"/>
        <v>614.64794532144333</v>
      </c>
      <c r="F55" s="231">
        <f t="shared" si="4"/>
        <v>616.62509037374014</v>
      </c>
      <c r="G55" s="231">
        <f t="shared" si="4"/>
        <v>690.09711001629239</v>
      </c>
      <c r="H55" s="231">
        <f t="shared" si="4"/>
        <v>690.22480198241624</v>
      </c>
      <c r="I55" s="231">
        <f t="shared" si="4"/>
        <v>689.36103310858516</v>
      </c>
      <c r="J55" s="231">
        <f t="shared" si="4"/>
        <v>687.76888443142298</v>
      </c>
      <c r="K55" s="231">
        <f t="shared" si="4"/>
        <v>685.65269451793745</v>
      </c>
      <c r="L55" s="231">
        <f t="shared" si="4"/>
        <v>683.16679405274351</v>
      </c>
      <c r="M55" s="231">
        <f t="shared" si="4"/>
        <v>680.42548911053927</v>
      </c>
      <c r="N55" s="231">
        <f t="shared" si="4"/>
        <v>677.51229454185898</v>
      </c>
      <c r="O55" s="231">
        <f t="shared" si="4"/>
        <v>674.48765598873172</v>
      </c>
      <c r="P55" s="231">
        <f t="shared" si="4"/>
        <v>671.39504555697818</v>
      </c>
      <c r="Q55" s="231">
        <f t="shared" si="4"/>
        <v>668.26560243954464</v>
      </c>
      <c r="R55" s="231">
        <f t="shared" si="4"/>
        <v>665.12158237315714</v>
      </c>
      <c r="S55" s="231">
        <f t="shared" si="4"/>
        <v>661.9788803303951</v>
      </c>
      <c r="T55" s="231">
        <f t="shared" si="4"/>
        <v>658.8488547370298</v>
      </c>
      <c r="U55" s="231">
        <f t="shared" si="4"/>
        <v>655.73963616708181</v>
      </c>
      <c r="V55" s="231">
        <f t="shared" si="4"/>
        <v>652.65706091369543</v>
      </c>
      <c r="W55" s="231">
        <f t="shared" si="4"/>
        <v>649.60533427760186</v>
      </c>
      <c r="X55" s="231">
        <f t="shared" si="4"/>
        <v>646.58750046664863</v>
      </c>
      <c r="Y55" s="231">
        <f t="shared" si="4"/>
        <v>643.60577481532516</v>
      </c>
      <c r="Z55" s="196"/>
    </row>
    <row r="56" spans="1:26" s="3" customFormat="1" ht="13.2">
      <c r="A56" s="229" t="s">
        <v>799</v>
      </c>
      <c r="B56" s="230">
        <f>INDEX('3. Revenue Model'!$D:$AA,MATCH("Total Paid Customers",'3. Revenue Model'!$B:$B,0),MATCH(B$47,'3. Revenue Model'!$D$2:$AA$2,0))</f>
        <v>524</v>
      </c>
      <c r="C56" s="230">
        <f>INDEX('3. Revenue Model'!$D:$AA,MATCH("Total Paid Customers",'3. Revenue Model'!$B:$B,0),MATCH(C$47,'3. Revenue Model'!$D$2:$AA$2,0))</f>
        <v>550.09519662384469</v>
      </c>
      <c r="D56" s="230">
        <f>INDEX('3. Revenue Model'!$D:$AA,MATCH("Total Paid Customers",'3. Revenue Model'!$B:$B,0),MATCH(D$47,'3. Revenue Model'!$D$2:$AA$2,0))</f>
        <v>576.28481576099432</v>
      </c>
      <c r="E56" s="230">
        <f>INDEX('3. Revenue Model'!$D:$AA,MATCH("Total Paid Customers",'3. Revenue Model'!$B:$B,0),MATCH(E$47,'3. Revenue Model'!$D$2:$AA$2,0))</f>
        <v>603.30932210290678</v>
      </c>
      <c r="F56" s="230">
        <f>INDEX('3. Revenue Model'!$D:$AA,MATCH("Total Paid Customers",'3. Revenue Model'!$B:$B,0),MATCH(F$47,'3. Revenue Model'!$D$2:$AA$2,0))</f>
        <v>631.80628983455199</v>
      </c>
      <c r="G56" s="230">
        <f>INDEX('3. Revenue Model'!$D:$AA,MATCH("Total Paid Customers",'3. Revenue Model'!$B:$B,0),MATCH(G$47,'3. Revenue Model'!$D$2:$AA$2,0))</f>
        <v>663.33919813093905</v>
      </c>
      <c r="H56" s="230">
        <f>INDEX('3. Revenue Model'!$D:$AA,MATCH("Total Paid Customers",'3. Revenue Model'!$B:$B,0),MATCH(H$47,'3. Revenue Model'!$D$2:$AA$2,0))</f>
        <v>697.47700076684498</v>
      </c>
      <c r="I56" s="230">
        <f>INDEX('3. Revenue Model'!$D:$AA,MATCH("Total Paid Customers",'3. Revenue Model'!$B:$B,0),MATCH(I$47,'3. Revenue Model'!$D$2:$AA$2,0))</f>
        <v>734.7037431358591</v>
      </c>
      <c r="J56" s="230">
        <f>INDEX('3. Revenue Model'!$D:$AA,MATCH("Total Paid Customers",'3. Revenue Model'!$B:$B,0),MATCH(J$47,'3. Revenue Model'!$D$2:$AA$2,0))</f>
        <v>775.48642415486745</v>
      </c>
      <c r="K56" s="230">
        <f>INDEX('3. Revenue Model'!$D:$AA,MATCH("Total Paid Customers",'3. Revenue Model'!$B:$B,0),MATCH(K$47,'3. Revenue Model'!$D$2:$AA$2,0))</f>
        <v>820.28759124899625</v>
      </c>
      <c r="L56" s="230">
        <f>INDEX('3. Revenue Model'!$D:$AA,MATCH("Total Paid Customers",'3. Revenue Model'!$B:$B,0),MATCH(L$47,'3. Revenue Model'!$D$2:$AA$2,0))</f>
        <v>869.57598943687765</v>
      </c>
      <c r="M56" s="230">
        <f>INDEX('3. Revenue Model'!$D:$AA,MATCH("Total Paid Customers",'3. Revenue Model'!$B:$B,0),MATCH(M$47,'3. Revenue Model'!$D$2:$AA$2,0))</f>
        <v>923.83577383415661</v>
      </c>
      <c r="N56" s="230">
        <f>INDEX('3. Revenue Model'!$D:$AA,MATCH("Total Paid Customers",'3. Revenue Model'!$B:$B,0),MATCH(N$47,'3. Revenue Model'!$D$2:$AA$2,0))</f>
        <v>983.57469070987759</v>
      </c>
      <c r="O56" s="230">
        <f>INDEX('3. Revenue Model'!$D:$AA,MATCH("Total Paid Customers",'3. Revenue Model'!$B:$B,0),MATCH(O$47,'3. Revenue Model'!$D$2:$AA$2,0))</f>
        <v>1049.3315517459782</v>
      </c>
      <c r="P56" s="230">
        <f>INDEX('3. Revenue Model'!$D:$AA,MATCH("Total Paid Customers",'3. Revenue Model'!$B:$B,0),MATCH(P$47,'3. Revenue Model'!$D$2:$AA$2,0))</f>
        <v>1121.683264227516</v>
      </c>
      <c r="Q56" s="230">
        <f>INDEX('3. Revenue Model'!$D:$AA,MATCH("Total Paid Customers",'3. Revenue Model'!$B:$B,0),MATCH(Q$47,'3. Revenue Model'!$D$2:$AA$2,0))</f>
        <v>1201.2516325312058</v>
      </c>
      <c r="R56" s="230">
        <f>INDEX('3. Revenue Model'!$D:$AA,MATCH("Total Paid Customers",'3. Revenue Model'!$B:$B,0),MATCH(R$47,'3. Revenue Model'!$D$2:$AA$2,0))</f>
        <v>1288.710110371291</v>
      </c>
      <c r="S56" s="230">
        <f>INDEX('3. Revenue Model'!$D:$AA,MATCH("Total Paid Customers",'3. Revenue Model'!$B:$B,0),MATCH(S$47,'3. Revenue Model'!$D$2:$AA$2,0))</f>
        <v>1384.79065638732</v>
      </c>
      <c r="T56" s="230">
        <f>INDEX('3. Revenue Model'!$D:$AA,MATCH("Total Paid Customers",'3. Revenue Model'!$B:$B,0),MATCH(T$47,'3. Revenue Model'!$D$2:$AA$2,0))</f>
        <v>1490.2908259425913</v>
      </c>
      <c r="U56" s="230">
        <f>INDEX('3. Revenue Model'!$D:$AA,MATCH("Total Paid Customers",'3. Revenue Model'!$B:$B,0),MATCH(U$47,'3. Revenue Model'!$D$2:$AA$2,0))</f>
        <v>1606.0812179931745</v>
      </c>
      <c r="V56" s="230">
        <f>INDEX('3. Revenue Model'!$D:$AA,MATCH("Total Paid Customers",'3. Revenue Model'!$B:$B,0),MATCH(V$47,'3. Revenue Model'!$D$2:$AA$2,0))</f>
        <v>1733.1133864654221</v>
      </c>
      <c r="W56" s="230">
        <f>INDEX('3. Revenue Model'!$D:$AA,MATCH("Total Paid Customers",'3. Revenue Model'!$B:$B,0),MATCH(W$47,'3. Revenue Model'!$D$2:$AA$2,0))</f>
        <v>1872.4283198845144</v>
      </c>
      <c r="X56" s="230">
        <f>INDEX('3. Revenue Model'!$D:$AA,MATCH("Total Paid Customers",'3. Revenue Model'!$B:$B,0),MATCH(X$47,'3. Revenue Model'!$D$2:$AA$2,0))</f>
        <v>2025.1655903717387</v>
      </c>
      <c r="Y56" s="230">
        <f>INDEX('3. Revenue Model'!$D:$AA,MATCH("Total Paid Customers",'3. Revenue Model'!$B:$B,0),MATCH(Y$47,'3. Revenue Model'!$D$2:$AA$2,0))</f>
        <v>2192.5732730782888</v>
      </c>
      <c r="Z56" s="196"/>
    </row>
    <row r="57" spans="1:26" s="3" customFormat="1" ht="13.2">
      <c r="A57" s="229" t="s">
        <v>985</v>
      </c>
      <c r="B57" s="231">
        <f>INDEX('3. Revenue Model'!$D:$AA,MATCH("Total Recurring MRR",'3. Revenue Model'!$B:$B,0),MATCH(B$47,'3. Revenue Model'!$D$2:$AA$2,0))</f>
        <v>44463.3</v>
      </c>
      <c r="C57" s="231">
        <f>INDEX('3. Revenue Model'!$D:$AA,MATCH("Total Recurring MRR",'3. Revenue Model'!$B:$B,0),MATCH(C$47,'3. Revenue Model'!$D$2:$AA$2,0))</f>
        <v>46129.371027682952</v>
      </c>
      <c r="D57" s="231">
        <f>INDEX('3. Revenue Model'!$D:$AA,MATCH("Total Recurring MRR",'3. Revenue Model'!$B:$B,0),MATCH(D$47,'3. Revenue Model'!$D$2:$AA$2,0))</f>
        <v>47841.764196183787</v>
      </c>
      <c r="E57" s="231">
        <f>INDEX('3. Revenue Model'!$D:$AA,MATCH("Total Recurring MRR",'3. Revenue Model'!$B:$B,0),MATCH(E$47,'3. Revenue Model'!$D$2:$AA$2,0))</f>
        <v>49636.689580722785</v>
      </c>
      <c r="F57" s="231">
        <f>INDEX('3. Revenue Model'!$D:$AA,MATCH("Total Recurring MRR",'3. Revenue Model'!$B:$B,0),MATCH(F$47,'3. Revenue Model'!$D$2:$AA$2,0))</f>
        <v>51546.579430354774</v>
      </c>
      <c r="G57" s="231">
        <f>INDEX('3. Revenue Model'!$D:$AA,MATCH("Total Recurring MRR",'3. Revenue Model'!$B:$B,0),MATCH(G$47,'3. Revenue Model'!$D$2:$AA$2,0))</f>
        <v>54200.286326940695</v>
      </c>
      <c r="H57" s="231">
        <f>INDEX('3. Revenue Model'!$D:$AA,MATCH("Total Recurring MRR",'3. Revenue Model'!$B:$B,0),MATCH(H$47,'3. Revenue Model'!$D$2:$AA$2,0))</f>
        <v>57054.935869718305</v>
      </c>
      <c r="I57" s="231">
        <f>INDEX('3. Revenue Model'!$D:$AA,MATCH("Total Recurring MRR",'3. Revenue Model'!$B:$B,0),MATCH(I$47,'3. Revenue Model'!$D$2:$AA$2,0))</f>
        <v>60140.158808947861</v>
      </c>
      <c r="J57" s="231">
        <f>INDEX('3. Revenue Model'!$D:$AA,MATCH("Total Recurring MRR",'3. Revenue Model'!$B:$B,0),MATCH(J$47,'3. Revenue Model'!$D$2:$AA$2,0))</f>
        <v>63485.58654313445</v>
      </c>
      <c r="K57" s="231">
        <f>INDEX('3. Revenue Model'!$D:$AA,MATCH("Total Recurring MRR",'3. Revenue Model'!$B:$B,0),MATCH(K$47,'3. Revenue Model'!$D$2:$AA$2,0))</f>
        <v>67394.855420066786</v>
      </c>
      <c r="L57" s="231">
        <f>INDEX('3. Revenue Model'!$D:$AA,MATCH("Total Recurring MRR",'3. Revenue Model'!$B:$B,0),MATCH(L$47,'3. Revenue Model'!$D$2:$AA$2,0))</f>
        <v>71658.68093962883</v>
      </c>
      <c r="M57" s="231">
        <f>INDEX('3. Revenue Model'!$D:$AA,MATCH("Total Recurring MRR",'3. Revenue Model'!$B:$B,0),MATCH(M$47,'3. Revenue Model'!$D$2:$AA$2,0))</f>
        <v>76314.850426253019</v>
      </c>
      <c r="N57" s="231">
        <f>INDEX('3. Revenue Model'!$D:$AA,MATCH("Total Recurring MRR",'3. Revenue Model'!$B:$B,0),MATCH(N$47,'3. Revenue Model'!$D$2:$AA$2,0))</f>
        <v>81403.775449854875</v>
      </c>
      <c r="O57" s="231">
        <f>INDEX('3. Revenue Model'!$D:$AA,MATCH("Total Recurring MRR",'3. Revenue Model'!$B:$B,0),MATCH(O$47,'3. Revenue Model'!$D$2:$AA$2,0))</f>
        <v>86968.93985127339</v>
      </c>
      <c r="P57" s="231">
        <f>INDEX('3. Revenue Model'!$D:$AA,MATCH("Total Recurring MRR",'3. Revenue Model'!$B:$B,0),MATCH(P$47,'3. Revenue Model'!$D$2:$AA$2,0))</f>
        <v>93057.352237991101</v>
      </c>
      <c r="Q57" s="231">
        <f>INDEX('3. Revenue Model'!$D:$AA,MATCH("Total Recurring MRR",'3. Revenue Model'!$B:$B,0),MATCH(Q$47,'3. Revenue Model'!$D$2:$AA$2,0))</f>
        <v>99720.01182464647</v>
      </c>
      <c r="R57" s="231">
        <f>INDEX('3. Revenue Model'!$D:$AA,MATCH("Total Recurring MRR",'3. Revenue Model'!$B:$B,0),MATCH(R$47,'3. Revenue Model'!$D$2:$AA$2,0))</f>
        <v>107012.39560696423</v>
      </c>
      <c r="S57" s="231">
        <f>INDEX('3. Revenue Model'!$D:$AA,MATCH("Total Recurring MRR",'3. Revenue Model'!$B:$B,0),MATCH(S$47,'3. Revenue Model'!$D$2:$AA$2,0))</f>
        <v>114994.9742597376</v>
      </c>
      <c r="T57" s="231">
        <f>INDEX('3. Revenue Model'!$D:$AA,MATCH("Total Recurring MRR",'3. Revenue Model'!$B:$B,0),MATCH(T$47,'3. Revenue Model'!$D$2:$AA$2,0))</f>
        <v>123733.76378889949</v>
      </c>
      <c r="U57" s="231">
        <f>INDEX('3. Revenue Model'!$D:$AA,MATCH("Total Recurring MRR",'3. Revenue Model'!$B:$B,0),MATCH(U$47,'3. Revenue Model'!$D$2:$AA$2,0))</f>
        <v>133300.91980571178</v>
      </c>
      <c r="V57" s="231">
        <f>INDEX('3. Revenue Model'!$D:$AA,MATCH("Total Recurring MRR",'3. Revenue Model'!$B:$B,0),MATCH(V$47,'3. Revenue Model'!$D$2:$AA$2,0))</f>
        <v>143775.38129822307</v>
      </c>
      <c r="W57" s="231">
        <f>INDEX('3. Revenue Model'!$D:$AA,MATCH("Total Recurring MRR",'3. Revenue Model'!$B:$B,0),MATCH(W$47,'3. Revenue Model'!$D$2:$AA$2,0))</f>
        <v>155243.5709294359</v>
      </c>
      <c r="X57" s="231">
        <f>INDEX('3. Revenue Model'!$D:$AA,MATCH("Total Recurring MRR",'3. Revenue Model'!$B:$B,0),MATCH(X$47,'3. Revenue Model'!$D$2:$AA$2,0))</f>
        <v>167800.15917716981</v>
      </c>
      <c r="Y57" s="231">
        <f>INDEX('3. Revenue Model'!$D:$AA,MATCH("Total Recurring MRR",'3. Revenue Model'!$B:$B,0),MATCH(Y$47,'3. Revenue Model'!$D$2:$AA$2,0))</f>
        <v>181548.9000364189</v>
      </c>
      <c r="Z57" s="196"/>
    </row>
    <row r="58" spans="1:26" s="3" customFormat="1" ht="13.2">
      <c r="A58" s="229" t="s">
        <v>936</v>
      </c>
      <c r="B58" s="232">
        <f>INDEX('5. COGS '!$D:$AA,MATCH($A58,'5. COGS '!$B:$B,0),MATCH(B$47,'5. COGS '!$D$3:$AA$3,0))</f>
        <v>0.81985908490822779</v>
      </c>
      <c r="C58" s="232">
        <f>INDEX('5. COGS '!$D:$AA,MATCH($A58,'5. COGS '!$B:$B,0),MATCH(C$47,'5. COGS '!$D$3:$AA$3,0))</f>
        <v>0.82012327456166512</v>
      </c>
      <c r="D58" s="232">
        <f>INDEX('5. COGS '!$D:$AA,MATCH($A58,'5. COGS '!$B:$B,0),MATCH(D$47,'5. COGS '!$D$3:$AA$3,0))</f>
        <v>0.82048996233543603</v>
      </c>
      <c r="E58" s="232">
        <f>INDEX('5. COGS '!$D:$AA,MATCH($A58,'5. COGS '!$B:$B,0),MATCH(E$47,'5. COGS '!$D$3:$AA$3,0))</f>
        <v>0.82092287250609863</v>
      </c>
      <c r="F58" s="232">
        <f>INDEX('5. COGS '!$D:$AA,MATCH($A58,'5. COGS '!$B:$B,0),MATCH(F$47,'5. COGS '!$D$3:$AA$3,0))</f>
        <v>0.82139574493609535</v>
      </c>
      <c r="G58" s="232">
        <f>INDEX('5. COGS '!$D:$AA,MATCH($A58,'5. COGS '!$B:$B,0),MATCH(G$47,'5. COGS '!$D$3:$AA$3,0))</f>
        <v>0.81963945450971321</v>
      </c>
      <c r="H58" s="232">
        <f>INDEX('5. COGS '!$D:$AA,MATCH($A58,'5. COGS '!$B:$B,0),MATCH(H$47,'5. COGS '!$D$3:$AA$3,0))</f>
        <v>0.8179735679524891</v>
      </c>
      <c r="I58" s="232">
        <f>INDEX('5. COGS '!$D:$AA,MATCH($A58,'5. COGS '!$B:$B,0),MATCH(I$47,'5. COGS '!$D$3:$AA$3,0))</f>
        <v>0.67959487440738942</v>
      </c>
      <c r="J58" s="232">
        <f>INDEX('5. COGS '!$D:$AA,MATCH($A58,'5. COGS '!$B:$B,0),MATCH(J$47,'5. COGS '!$D$3:$AA$3,0))</f>
        <v>0.68859868723125639</v>
      </c>
      <c r="K58" s="232">
        <f>INDEX('5. COGS '!$D:$AA,MATCH($A58,'5. COGS '!$B:$B,0),MATCH(K$47,'5. COGS '!$D$3:$AA$3,0))</f>
        <v>0.69725960350791172</v>
      </c>
      <c r="L58" s="232">
        <f>INDEX('5. COGS '!$D:$AA,MATCH($A58,'5. COGS '!$B:$B,0),MATCH(L$47,'5. COGS '!$D$3:$AA$3,0))</f>
        <v>0.70557351776589405</v>
      </c>
      <c r="M58" s="232">
        <f>INDEX('5. COGS '!$D:$AA,MATCH($A58,'5. COGS '!$B:$B,0),MATCH(M$47,'5. COGS '!$D$3:$AA$3,0))</f>
        <v>0.71353775911037398</v>
      </c>
      <c r="N58" s="232">
        <f>INDEX('5. COGS '!$D:$AA,MATCH($A58,'5. COGS '!$B:$B,0),MATCH(N$47,'5. COGS '!$D$3:$AA$3,0))</f>
        <v>0.72114943615728833</v>
      </c>
      <c r="O58" s="232">
        <f>INDEX('5. COGS '!$D:$AA,MATCH($A58,'5. COGS '!$B:$B,0),MATCH(O$47,'5. COGS '!$D$3:$AA$3,0))</f>
        <v>0.72840650935195994</v>
      </c>
      <c r="P58" s="232">
        <f>INDEX('5. COGS '!$D:$AA,MATCH($A58,'5. COGS '!$B:$B,0),MATCH(P$47,'5. COGS '!$D$3:$AA$3,0))</f>
        <v>0.73530846509945214</v>
      </c>
      <c r="Q58" s="232">
        <f>INDEX('5. COGS '!$D:$AA,MATCH($A58,'5. COGS '!$B:$B,0),MATCH(Q$47,'5. COGS '!$D$3:$AA$3,0))</f>
        <v>0.65950822240294249</v>
      </c>
      <c r="R58" s="232">
        <f>INDEX('5. COGS '!$D:$AA,MATCH($A58,'5. COGS '!$B:$B,0),MATCH(R$47,'5. COGS '!$D$3:$AA$3,0))</f>
        <v>0.67130608439668193</v>
      </c>
      <c r="S58" s="232">
        <f>INDEX('5. COGS '!$D:$AA,MATCH($A58,'5. COGS '!$B:$B,0),MATCH(S$47,'5. COGS '!$D$3:$AA$3,0))</f>
        <v>0.6824709188534831</v>
      </c>
      <c r="T58" s="232">
        <f>INDEX('5. COGS '!$D:$AA,MATCH($A58,'5. COGS '!$B:$B,0),MATCH(T$47,'5. COGS '!$D$3:$AA$3,0))</f>
        <v>0.6930128079901503</v>
      </c>
      <c r="U58" s="232">
        <f>INDEX('5. COGS '!$D:$AA,MATCH($A58,'5. COGS '!$B:$B,0),MATCH(U$47,'5. COGS '!$D$3:$AA$3,0))</f>
        <v>0.70294528161623926</v>
      </c>
      <c r="V58" s="232">
        <f>INDEX('5. COGS '!$D:$AA,MATCH($A58,'5. COGS '!$B:$B,0),MATCH(V$47,'5. COGS '!$D$3:$AA$3,0))</f>
        <v>0.71228493722424824</v>
      </c>
      <c r="W58" s="232">
        <f>INDEX('5. COGS '!$D:$AA,MATCH($A58,'5. COGS '!$B:$B,0),MATCH(W$47,'5. COGS '!$D$3:$AA$3,0))</f>
        <v>0.72105100317048632</v>
      </c>
      <c r="X58" s="232">
        <f>INDEX('5. COGS '!$D:$AA,MATCH($A58,'5. COGS '!$B:$B,0),MATCH(X$47,'5. COGS '!$D$3:$AA$3,0))</f>
        <v>0.72926487897986281</v>
      </c>
      <c r="Y58" s="232">
        <f>INDEX('5. COGS '!$D:$AA,MATCH($A58,'5. COGS '!$B:$B,0),MATCH(Y$47,'5. COGS '!$D$3:$AA$3,0))</f>
        <v>0.73694967780662013</v>
      </c>
    </row>
    <row r="59" spans="1:26" s="3" customFormat="1" ht="13.2">
      <c r="A59" s="229" t="s">
        <v>972</v>
      </c>
      <c r="B59" s="231">
        <f>B57*B58</f>
        <v>36453.640450000006</v>
      </c>
      <c r="C59" s="231">
        <f t="shared" ref="C59:Y59" si="5">C57*C58</f>
        <v>37831.770820693346</v>
      </c>
      <c r="D59" s="231">
        <f t="shared" si="5"/>
        <v>39253.687303387647</v>
      </c>
      <c r="E59" s="231">
        <f t="shared" si="5"/>
        <v>40747.893792300485</v>
      </c>
      <c r="F59" s="231">
        <f t="shared" si="5"/>
        <v>42340.141010103871</v>
      </c>
      <c r="G59" s="231">
        <f t="shared" si="5"/>
        <v>44424.69311928394</v>
      </c>
      <c r="H59" s="231">
        <f t="shared" si="5"/>
        <v>46669.429462653934</v>
      </c>
      <c r="I59" s="231">
        <f t="shared" si="5"/>
        <v>40870.943672607376</v>
      </c>
      <c r="J59" s="231">
        <f t="shared" si="5"/>
        <v>43716.091551708698</v>
      </c>
      <c r="K59" s="231">
        <f t="shared" si="5"/>
        <v>46991.710168668804</v>
      </c>
      <c r="L59" s="231">
        <f t="shared" si="5"/>
        <v>50560.467589037733</v>
      </c>
      <c r="M59" s="231">
        <f t="shared" si="5"/>
        <v>54453.527359991946</v>
      </c>
      <c r="N59" s="231">
        <f t="shared" si="5"/>
        <v>58704.28676673735</v>
      </c>
      <c r="O59" s="231">
        <f t="shared" si="5"/>
        <v>63348.741899106615</v>
      </c>
      <c r="P59" s="231">
        <f t="shared" si="5"/>
        <v>68425.85884033631</v>
      </c>
      <c r="Q59" s="231">
        <f t="shared" si="5"/>
        <v>65766.167736472999</v>
      </c>
      <c r="R59" s="231">
        <f t="shared" si="5"/>
        <v>71838.072276819847</v>
      </c>
      <c r="S59" s="231">
        <f t="shared" si="5"/>
        <v>78480.725746575758</v>
      </c>
      <c r="T59" s="231">
        <f t="shared" si="5"/>
        <v>85749.083086535218</v>
      </c>
      <c r="U59" s="231">
        <f t="shared" si="5"/>
        <v>93703.252612529788</v>
      </c>
      <c r="V59" s="231">
        <f t="shared" si="5"/>
        <v>102409.03844239717</v>
      </c>
      <c r="W59" s="231">
        <f t="shared" si="5"/>
        <v>111938.53255443829</v>
      </c>
      <c r="X59" s="231">
        <f t="shared" si="5"/>
        <v>122370.76277514047</v>
      </c>
      <c r="Y59" s="231">
        <f t="shared" si="5"/>
        <v>133792.40338798519</v>
      </c>
      <c r="Z59" s="196"/>
    </row>
    <row r="60" spans="1:26" s="3" customFormat="1" ht="13.2">
      <c r="A60" s="229" t="s">
        <v>986</v>
      </c>
      <c r="B60" s="231">
        <f t="shared" ref="B60:Y60" si="6">IFERROR(B59/B56,"")</f>
        <v>69.568016125954216</v>
      </c>
      <c r="C60" s="231">
        <f t="shared" si="6"/>
        <v>68.773134273635051</v>
      </c>
      <c r="D60" s="231">
        <f t="shared" si="6"/>
        <v>68.115081691945079</v>
      </c>
      <c r="E60" s="231">
        <f t="shared" si="6"/>
        <v>67.540633468531254</v>
      </c>
      <c r="F60" s="231">
        <f t="shared" si="6"/>
        <v>67.014434157012388</v>
      </c>
      <c r="G60" s="231">
        <f t="shared" si="6"/>
        <v>66.97130705445629</v>
      </c>
      <c r="H60" s="231">
        <f t="shared" si="6"/>
        <v>66.911782627015612</v>
      </c>
      <c r="I60" s="231">
        <f t="shared" si="6"/>
        <v>55.62914855743378</v>
      </c>
      <c r="J60" s="231">
        <f t="shared" si="6"/>
        <v>56.372478215013132</v>
      </c>
      <c r="K60" s="231">
        <f t="shared" si="6"/>
        <v>57.286871909299173</v>
      </c>
      <c r="L60" s="231">
        <f t="shared" si="6"/>
        <v>58.143817450364303</v>
      </c>
      <c r="M60" s="231">
        <f t="shared" si="6"/>
        <v>58.942865065720255</v>
      </c>
      <c r="N60" s="231">
        <f t="shared" si="6"/>
        <v>59.684625195437441</v>
      </c>
      <c r="O60" s="231">
        <f t="shared" si="6"/>
        <v>60.3705680951849</v>
      </c>
      <c r="P60" s="231">
        <f t="shared" si="6"/>
        <v>61.002834777480629</v>
      </c>
      <c r="Q60" s="231">
        <f t="shared" si="6"/>
        <v>54.748036094564512</v>
      </c>
      <c r="R60" s="231">
        <f t="shared" si="6"/>
        <v>55.744167519662383</v>
      </c>
      <c r="S60" s="231">
        <f t="shared" si="6"/>
        <v>56.673350144720381</v>
      </c>
      <c r="T60" s="231">
        <f t="shared" si="6"/>
        <v>57.538489530927592</v>
      </c>
      <c r="U60" s="231">
        <f t="shared" si="6"/>
        <v>58.342785883277791</v>
      </c>
      <c r="V60" s="231">
        <f t="shared" si="6"/>
        <v>59.089635590002622</v>
      </c>
      <c r="W60" s="231">
        <f t="shared" si="6"/>
        <v>59.78254620787957</v>
      </c>
      <c r="X60" s="231">
        <f t="shared" si="6"/>
        <v>60.425065168462659</v>
      </c>
      <c r="Y60" s="231">
        <f t="shared" si="6"/>
        <v>61.020721647375453</v>
      </c>
      <c r="Z60" s="196"/>
    </row>
    <row r="61" spans="1:26" s="3" customFormat="1" ht="13.2">
      <c r="A61" s="229" t="s">
        <v>987</v>
      </c>
      <c r="B61" s="233">
        <f t="shared" ref="B61:Y61" si="7">IFERROR(B55/B60,"")</f>
        <v>8.6246530145934965</v>
      </c>
      <c r="C61" s="233">
        <f t="shared" si="7"/>
        <v>8.8190809319648391</v>
      </c>
      <c r="D61" s="233">
        <f t="shared" si="7"/>
        <v>8.975294022107386</v>
      </c>
      <c r="E61" s="233">
        <f t="shared" si="7"/>
        <v>9.1004172415383415</v>
      </c>
      <c r="F61" s="233">
        <f t="shared" si="7"/>
        <v>9.2013772574578478</v>
      </c>
      <c r="G61" s="233">
        <f t="shared" si="7"/>
        <v>10.304369742330916</v>
      </c>
      <c r="H61" s="233">
        <f t="shared" si="7"/>
        <v>10.315444827257348</v>
      </c>
      <c r="I61" s="233">
        <f t="shared" si="7"/>
        <v>12.392083125213771</v>
      </c>
      <c r="J61" s="233">
        <f t="shared" si="7"/>
        <v>12.20043727380884</v>
      </c>
      <c r="K61" s="233">
        <f t="shared" si="7"/>
        <v>11.968757791549757</v>
      </c>
      <c r="L61" s="233">
        <f t="shared" si="7"/>
        <v>11.749603380203634</v>
      </c>
      <c r="M61" s="233">
        <f t="shared" si="7"/>
        <v>11.543814308175838</v>
      </c>
      <c r="N61" s="233">
        <f t="shared" si="7"/>
        <v>11.351538060653702</v>
      </c>
      <c r="O61" s="233">
        <f t="shared" si="7"/>
        <v>11.17245832315645</v>
      </c>
      <c r="P61" s="233">
        <f t="shared" si="7"/>
        <v>11.005964690100361</v>
      </c>
      <c r="Q61" s="233">
        <f t="shared" si="7"/>
        <v>12.206202269708289</v>
      </c>
      <c r="R61" s="233">
        <f t="shared" si="7"/>
        <v>11.93168024508666</v>
      </c>
      <c r="S61" s="233">
        <f t="shared" si="7"/>
        <v>11.680602587282626</v>
      </c>
      <c r="T61" s="233">
        <f t="shared" si="7"/>
        <v>11.450576129268931</v>
      </c>
      <c r="U61" s="233">
        <f t="shared" si="7"/>
        <v>11.239429626808922</v>
      </c>
      <c r="V61" s="233">
        <f t="shared" si="7"/>
        <v>11.045203687533292</v>
      </c>
      <c r="W61" s="233">
        <f t="shared" si="7"/>
        <v>10.866136949382417</v>
      </c>
      <c r="X61" s="233">
        <f t="shared" si="7"/>
        <v>10.700650444711787</v>
      </c>
      <c r="Y61" s="233">
        <f t="shared" si="7"/>
        <v>10.547331421849993</v>
      </c>
    </row>
    <row r="62" spans="1:26" s="3" customFormat="1" ht="13.2">
      <c r="A62" s="229" t="s">
        <v>988</v>
      </c>
      <c r="B62" s="234" t="str">
        <f>IF(B61="","",IF(B61&lt;INDEX('1. Assumptions'!$G:$G,MATCH("*CAC Payback Target*",'1. Assumptions'!$B:$B,0)),"Yes","No"))</f>
        <v>Yes</v>
      </c>
      <c r="C62" s="234" t="str">
        <f>IF(C61="","",IF(C61&lt;INDEX('1. Assumptions'!$G:$G,MATCH("*CAC Payback Target*",'1. Assumptions'!$B:$B,0)),"Yes","No"))</f>
        <v>Yes</v>
      </c>
      <c r="D62" s="234" t="str">
        <f>IF(D61="","",IF(D61&lt;INDEX('1. Assumptions'!$G:$G,MATCH("*CAC Payback Target*",'1. Assumptions'!$B:$B,0)),"Yes","No"))</f>
        <v>Yes</v>
      </c>
      <c r="E62" s="234" t="str">
        <f>IF(E61="","",IF(E61&lt;INDEX('1. Assumptions'!$G:$G,MATCH("*CAC Payback Target*",'1. Assumptions'!$B:$B,0)),"Yes","No"))</f>
        <v>Yes</v>
      </c>
      <c r="F62" s="234" t="str">
        <f>IF(F61="","",IF(F61&lt;INDEX('1. Assumptions'!$G:$G,MATCH("*CAC Payback Target*",'1. Assumptions'!$B:$B,0)),"Yes","No"))</f>
        <v>Yes</v>
      </c>
      <c r="G62" s="234" t="str">
        <f>IF(G61="","",IF(G61&lt;INDEX('1. Assumptions'!$G:$G,MATCH("*CAC Payback Target*",'1. Assumptions'!$B:$B,0)),"Yes","No"))</f>
        <v>Yes</v>
      </c>
      <c r="H62" s="234" t="str">
        <f>IF(H61="","",IF(H61&lt;INDEX('1. Assumptions'!$G:$G,MATCH("*CAC Payback Target*",'1. Assumptions'!$B:$B,0)),"Yes","No"))</f>
        <v>Yes</v>
      </c>
      <c r="I62" s="234" t="str">
        <f>IF(I61="","",IF(I61&lt;INDEX('1. Assumptions'!$G:$G,MATCH("*CAC Payback Target*",'1. Assumptions'!$B:$B,0)),"Yes","No"))</f>
        <v>No</v>
      </c>
      <c r="J62" s="234" t="str">
        <f>IF(J61="","",IF(J61&lt;INDEX('1. Assumptions'!$G:$G,MATCH("*CAC Payback Target*",'1. Assumptions'!$B:$B,0)),"Yes","No"))</f>
        <v>No</v>
      </c>
      <c r="K62" s="234" t="str">
        <f>IF(K61="","",IF(K61&lt;INDEX('1. Assumptions'!$G:$G,MATCH("*CAC Payback Target*",'1. Assumptions'!$B:$B,0)),"Yes","No"))</f>
        <v>Yes</v>
      </c>
      <c r="L62" s="234" t="str">
        <f>IF(L61="","",IF(L61&lt;INDEX('1. Assumptions'!$G:$G,MATCH("*CAC Payback Target*",'1. Assumptions'!$B:$B,0)),"Yes","No"))</f>
        <v>Yes</v>
      </c>
      <c r="M62" s="234" t="str">
        <f>IF(M61="","",IF(M61&lt;INDEX('1. Assumptions'!$G:$G,MATCH("*CAC Payback Target*",'1. Assumptions'!$B:$B,0)),"Yes","No"))</f>
        <v>Yes</v>
      </c>
      <c r="N62" s="234" t="str">
        <f>IF(N61="","",IF(N61&lt;INDEX('1. Assumptions'!$G:$G,MATCH("*CAC Payback Target*",'1. Assumptions'!$B:$B,0)),"Yes","No"))</f>
        <v>Yes</v>
      </c>
      <c r="O62" s="234" t="str">
        <f>IF(O61="","",IF(O61&lt;INDEX('1. Assumptions'!$G:$G,MATCH("*CAC Payback Target*",'1. Assumptions'!$B:$B,0)),"Yes","No"))</f>
        <v>Yes</v>
      </c>
      <c r="P62" s="234" t="str">
        <f>IF(P61="","",IF(P61&lt;INDEX('1. Assumptions'!$G:$G,MATCH("*CAC Payback Target*",'1. Assumptions'!$B:$B,0)),"Yes","No"))</f>
        <v>Yes</v>
      </c>
      <c r="Q62" s="234" t="str">
        <f>IF(Q61="","",IF(Q61&lt;INDEX('1. Assumptions'!$G:$G,MATCH("*CAC Payback Target*",'1. Assumptions'!$B:$B,0)),"Yes","No"))</f>
        <v>No</v>
      </c>
      <c r="R62" s="234" t="str">
        <f>IF(R61="","",IF(R61&lt;INDEX('1. Assumptions'!$G:$G,MATCH("*CAC Payback Target*",'1. Assumptions'!$B:$B,0)),"Yes","No"))</f>
        <v>Yes</v>
      </c>
      <c r="S62" s="234" t="str">
        <f>IF(S61="","",IF(S61&lt;INDEX('1. Assumptions'!$G:$G,MATCH("*CAC Payback Target*",'1. Assumptions'!$B:$B,0)),"Yes","No"))</f>
        <v>Yes</v>
      </c>
      <c r="T62" s="234" t="str">
        <f>IF(T61="","",IF(T61&lt;INDEX('1. Assumptions'!$G:$G,MATCH("*CAC Payback Target*",'1. Assumptions'!$B:$B,0)),"Yes","No"))</f>
        <v>Yes</v>
      </c>
      <c r="U62" s="234" t="str">
        <f>IF(U61="","",IF(U61&lt;INDEX('1. Assumptions'!$G:$G,MATCH("*CAC Payback Target*",'1. Assumptions'!$B:$B,0)),"Yes","No"))</f>
        <v>Yes</v>
      </c>
      <c r="V62" s="234" t="str">
        <f>IF(V61="","",IF(V61&lt;INDEX('1. Assumptions'!$G:$G,MATCH("*CAC Payback Target*",'1. Assumptions'!$B:$B,0)),"Yes","No"))</f>
        <v>Yes</v>
      </c>
      <c r="W62" s="234" t="str">
        <f>IF(W61="","",IF(W61&lt;INDEX('1. Assumptions'!$G:$G,MATCH("*CAC Payback Target*",'1. Assumptions'!$B:$B,0)),"Yes","No"))</f>
        <v>Yes</v>
      </c>
      <c r="X62" s="234" t="str">
        <f>IF(X61="","",IF(X61&lt;INDEX('1. Assumptions'!$G:$G,MATCH("*CAC Payback Target*",'1. Assumptions'!$B:$B,0)),"Yes","No"))</f>
        <v>Yes</v>
      </c>
      <c r="Y62" s="234" t="str">
        <f>IF(Y61="","",IF(Y61&lt;INDEX('1. Assumptions'!$G:$G,MATCH("*CAC Payback Target*",'1. Assumptions'!$B:$B,0)),"Yes","No"))</f>
        <v>Yes</v>
      </c>
      <c r="Z62" s="196"/>
    </row>
    <row r="63" spans="1:26" s="3" customFormat="1" ht="13.2">
      <c r="A63" s="229" t="s">
        <v>989</v>
      </c>
      <c r="B63" s="231" t="str">
        <f>"No"</f>
        <v>No</v>
      </c>
      <c r="C63" s="235" t="str">
        <f>"No"</f>
        <v>No</v>
      </c>
      <c r="D63" s="235" t="str">
        <f>IF(AND(B62="Yes",C62="Yes",D62="Yes"),"Yes","No")</f>
        <v>Yes</v>
      </c>
      <c r="E63" s="235" t="str">
        <f t="shared" ref="E63:Y63" si="8">IF(AND(C62="Yes",D62="Yes",E62="Yes"),"Yes","No")</f>
        <v>Yes</v>
      </c>
      <c r="F63" s="235" t="str">
        <f t="shared" si="8"/>
        <v>Yes</v>
      </c>
      <c r="G63" s="235" t="str">
        <f t="shared" si="8"/>
        <v>Yes</v>
      </c>
      <c r="H63" s="235" t="str">
        <f t="shared" si="8"/>
        <v>Yes</v>
      </c>
      <c r="I63" s="235" t="str">
        <f t="shared" si="8"/>
        <v>No</v>
      </c>
      <c r="J63" s="235" t="str">
        <f t="shared" si="8"/>
        <v>No</v>
      </c>
      <c r="K63" s="235" t="str">
        <f t="shared" si="8"/>
        <v>No</v>
      </c>
      <c r="L63" s="235" t="str">
        <f t="shared" si="8"/>
        <v>No</v>
      </c>
      <c r="M63" s="235" t="str">
        <f t="shared" si="8"/>
        <v>Yes</v>
      </c>
      <c r="N63" s="235" t="str">
        <f t="shared" si="8"/>
        <v>Yes</v>
      </c>
      <c r="O63" s="235" t="str">
        <f t="shared" si="8"/>
        <v>Yes</v>
      </c>
      <c r="P63" s="235" t="str">
        <f t="shared" si="8"/>
        <v>Yes</v>
      </c>
      <c r="Q63" s="235" t="str">
        <f t="shared" si="8"/>
        <v>No</v>
      </c>
      <c r="R63" s="235" t="str">
        <f t="shared" si="8"/>
        <v>No</v>
      </c>
      <c r="S63" s="235" t="str">
        <f t="shared" si="8"/>
        <v>No</v>
      </c>
      <c r="T63" s="235" t="str">
        <f t="shared" si="8"/>
        <v>Yes</v>
      </c>
      <c r="U63" s="235" t="str">
        <f t="shared" si="8"/>
        <v>Yes</v>
      </c>
      <c r="V63" s="235" t="str">
        <f t="shared" si="8"/>
        <v>Yes</v>
      </c>
      <c r="W63" s="235" t="str">
        <f t="shared" si="8"/>
        <v>Yes</v>
      </c>
      <c r="X63" s="235" t="str">
        <f t="shared" si="8"/>
        <v>Yes</v>
      </c>
      <c r="Y63" s="235" t="str">
        <f t="shared" si="8"/>
        <v>Yes</v>
      </c>
      <c r="Z63" s="196"/>
    </row>
    <row r="64" spans="1:26" s="3" customFormat="1" ht="13.2">
      <c r="A64" s="229" t="s">
        <v>990</v>
      </c>
      <c r="B64" s="231" t="str">
        <f>"Delay"</f>
        <v>Delay</v>
      </c>
      <c r="C64" s="235" t="str">
        <f>"Delay"</f>
        <v>Delay</v>
      </c>
      <c r="D64" s="235" t="str">
        <f>IF(AND(D63="Yes",VALUE(SUBSTITUTE(D$47,"Month ",""))&gt;=INDEX('1. Assumptions'!$G:$G,MATCH("AE #3 ; Earliest Possible Start Month",'1. Assumptions'!$B:$B,0))),"Hire OK","Delay")</f>
        <v>Delay</v>
      </c>
      <c r="E64" s="235" t="str">
        <f>IF(AND(E63="Yes",VALUE(SUBSTITUTE(E$47,"Month ",""))&gt;=INDEX('1. Assumptions'!$G:$G,MATCH("AE #3 ; Earliest Possible Start Month",'1. Assumptions'!$B:$B,0))),"Hire OK","Delay")</f>
        <v>Delay</v>
      </c>
      <c r="F64" s="235" t="str">
        <f>IF(AND(F63="Yes",VALUE(SUBSTITUTE(F$47,"Month ",""))&gt;=INDEX('1. Assumptions'!$G:$G,MATCH("AE #3 ; Earliest Possible Start Month",'1. Assumptions'!$B:$B,0))),"Hire OK","Delay")</f>
        <v>Delay</v>
      </c>
      <c r="G64" s="235" t="str">
        <f>IF(AND(G63="Yes",VALUE(SUBSTITUTE(G$47,"Month ",""))&gt;=INDEX('1. Assumptions'!$G:$G,MATCH("AE #3 ; Earliest Possible Start Month",'1. Assumptions'!$B:$B,0))),"Hire OK","Delay")</f>
        <v>Delay</v>
      </c>
      <c r="H64" s="235" t="str">
        <f>IF(AND(H63="Yes",VALUE(SUBSTITUTE(H$47,"Month ",""))&gt;=INDEX('1. Assumptions'!$G:$G,MATCH("AE #3 ; Earliest Possible Start Month",'1. Assumptions'!$B:$B,0))),"Hire OK","Delay")</f>
        <v>Delay</v>
      </c>
      <c r="I64" s="235" t="str">
        <f>IF(AND(I63="Yes",VALUE(SUBSTITUTE(I$47,"Month ",""))&gt;=INDEX('1. Assumptions'!$G:$G,MATCH("AE #3 ; Earliest Possible Start Month",'1. Assumptions'!$B:$B,0))),"Hire OK","Delay")</f>
        <v>Delay</v>
      </c>
      <c r="J64" s="235" t="str">
        <f>IF(AND(J63="Yes",VALUE(SUBSTITUTE(J$47,"Month ",""))&gt;=INDEX('1. Assumptions'!$G:$G,MATCH("AE #3 ; Earliest Possible Start Month",'1. Assumptions'!$B:$B,0))),"Hire OK","Delay")</f>
        <v>Delay</v>
      </c>
      <c r="K64" s="235" t="str">
        <f>IF(AND(K63="Yes",VALUE(SUBSTITUTE(K$47,"Month ",""))&gt;=INDEX('1. Assumptions'!$G:$G,MATCH("AE #3 ; Earliest Possible Start Month",'1. Assumptions'!$B:$B,0))),"Hire OK","Delay")</f>
        <v>Delay</v>
      </c>
      <c r="L64" s="235" t="str">
        <f>IF(AND(L63="Yes",VALUE(SUBSTITUTE(L$47,"Month ",""))&gt;=INDEX('1. Assumptions'!$G:$G,MATCH("AE #3 ; Earliest Possible Start Month",'1. Assumptions'!$B:$B,0))),"Hire OK","Delay")</f>
        <v>Delay</v>
      </c>
      <c r="M64" s="235" t="str">
        <f>IF(AND(M63="Yes",VALUE(SUBSTITUTE(M$47,"Month ",""))&gt;=INDEX('1. Assumptions'!$G:$G,MATCH("AE #3 ; Earliest Possible Start Month",'1. Assumptions'!$B:$B,0))),"Hire OK","Delay")</f>
        <v>Delay</v>
      </c>
      <c r="N64" s="235" t="str">
        <f>IF(AND(N63="Yes",VALUE(SUBSTITUTE(N$47,"Month ",""))&gt;=INDEX('1. Assumptions'!$G:$G,MATCH("AE #3 ; Earliest Possible Start Month",'1. Assumptions'!$B:$B,0))),"Hire OK","Delay")</f>
        <v>Delay</v>
      </c>
      <c r="O64" s="235" t="str">
        <f>IF(AND(O63="Yes",VALUE(SUBSTITUTE(O$47,"Month ",""))&gt;=INDEX('1. Assumptions'!$G:$G,MATCH("AE #3 ; Earliest Possible Start Month",'1. Assumptions'!$B:$B,0))),"Hire OK","Delay")</f>
        <v>Hire OK</v>
      </c>
      <c r="P64" s="235" t="str">
        <f>IF(AND(P63="Yes",VALUE(SUBSTITUTE(P$47,"Month ",""))&gt;=INDEX('1. Assumptions'!$G:$G,MATCH("AE #3 ; Earliest Possible Start Month",'1. Assumptions'!$B:$B,0))),"Hire OK","Delay")</f>
        <v>Hire OK</v>
      </c>
      <c r="Q64" s="235" t="str">
        <f>IF(AND(Q63="Yes",VALUE(SUBSTITUTE(Q$47,"Month ",""))&gt;=INDEX('1. Assumptions'!$G:$G,MATCH("AE #3 ; Earliest Possible Start Month",'1. Assumptions'!$B:$B,0))),"Hire OK","Delay")</f>
        <v>Delay</v>
      </c>
      <c r="R64" s="235" t="str">
        <f>IF(AND(R63="Yes",VALUE(SUBSTITUTE(R$47,"Month ",""))&gt;=INDEX('1. Assumptions'!$G:$G,MATCH("AE #3 ; Earliest Possible Start Month",'1. Assumptions'!$B:$B,0))),"Hire OK","Delay")</f>
        <v>Delay</v>
      </c>
      <c r="S64" s="235" t="str">
        <f>IF(AND(S63="Yes",VALUE(SUBSTITUTE(S$47,"Month ",""))&gt;=INDEX('1. Assumptions'!$G:$G,MATCH("AE #3 ; Earliest Possible Start Month",'1. Assumptions'!$B:$B,0))),"Hire OK","Delay")</f>
        <v>Delay</v>
      </c>
      <c r="T64" s="235" t="str">
        <f>IF(AND(T63="Yes",VALUE(SUBSTITUTE(T$47,"Month ",""))&gt;=INDEX('1. Assumptions'!$G:$G,MATCH("AE #3 ; Earliest Possible Start Month",'1. Assumptions'!$B:$B,0))),"Hire OK","Delay")</f>
        <v>Hire OK</v>
      </c>
      <c r="U64" s="235" t="str">
        <f>IF(AND(U63="Yes",VALUE(SUBSTITUTE(U$47,"Month ",""))&gt;=INDEX('1. Assumptions'!$G:$G,MATCH("AE #3 ; Earliest Possible Start Month",'1. Assumptions'!$B:$B,0))),"Hire OK","Delay")</f>
        <v>Hire OK</v>
      </c>
      <c r="V64" s="235" t="str">
        <f>IF(AND(V63="Yes",VALUE(SUBSTITUTE(V$47,"Month ",""))&gt;=INDEX('1. Assumptions'!$G:$G,MATCH("AE #3 ; Earliest Possible Start Month",'1. Assumptions'!$B:$B,0))),"Hire OK","Delay")</f>
        <v>Hire OK</v>
      </c>
      <c r="W64" s="235" t="str">
        <f>IF(AND(W63="Yes",VALUE(SUBSTITUTE(W$47,"Month ",""))&gt;=INDEX('1. Assumptions'!$G:$G,MATCH("AE #3 ; Earliest Possible Start Month",'1. Assumptions'!$B:$B,0))),"Hire OK","Delay")</f>
        <v>Hire OK</v>
      </c>
      <c r="X64" s="235" t="str">
        <f>IF(AND(X63="Yes",VALUE(SUBSTITUTE(X$47,"Month ",""))&gt;=INDEX('1. Assumptions'!$G:$G,MATCH("AE #3 ; Earliest Possible Start Month",'1. Assumptions'!$B:$B,0))),"Hire OK","Delay")</f>
        <v>Hire OK</v>
      </c>
      <c r="Y64" s="235" t="str">
        <f>IF(AND(Y63="Yes",VALUE(SUBSTITUTE(Y$47,"Month ",""))&gt;=INDEX('1. Assumptions'!$G:$G,MATCH("AE #3 ; Earliest Possible Start Month",'1. Assumptions'!$B:$B,0))),"Hire OK","Delay")</f>
        <v>Hire OK</v>
      </c>
      <c r="Z64" s="196"/>
    </row>
    <row r="65" spans="1:26" s="3" customFormat="1" ht="13.2">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196"/>
    </row>
    <row r="66" spans="1:26" s="3" customFormat="1" ht="13.2">
      <c r="A66" s="105" t="s">
        <v>991</v>
      </c>
      <c r="B66" s="105"/>
      <c r="C66" s="209"/>
      <c r="D66" s="209"/>
      <c r="E66" s="209"/>
      <c r="F66" s="209"/>
      <c r="G66" s="147"/>
      <c r="H66" s="147"/>
      <c r="I66" s="147"/>
      <c r="J66" s="147"/>
      <c r="K66" s="147"/>
      <c r="L66" s="147"/>
      <c r="M66" s="147"/>
      <c r="N66" s="147"/>
      <c r="O66" s="147"/>
      <c r="P66" s="147"/>
      <c r="Q66" s="147"/>
      <c r="R66" s="147"/>
      <c r="S66" s="147"/>
      <c r="T66" s="147"/>
      <c r="U66" s="147"/>
      <c r="V66" s="147"/>
      <c r="W66" s="147"/>
      <c r="X66" s="147"/>
      <c r="Y66" s="147"/>
      <c r="Z66" s="147"/>
    </row>
    <row r="67" spans="1:26" s="3" customFormat="1" ht="13.2">
      <c r="A67" s="104" t="s">
        <v>4</v>
      </c>
      <c r="B67" s="104" t="s">
        <v>968</v>
      </c>
      <c r="C67" s="210"/>
      <c r="D67" s="210"/>
      <c r="E67" s="210"/>
      <c r="F67" s="210"/>
      <c r="G67" s="147"/>
      <c r="H67" s="147"/>
      <c r="I67" s="147"/>
      <c r="J67" s="147"/>
      <c r="K67" s="147"/>
      <c r="L67" s="147"/>
      <c r="M67" s="147"/>
      <c r="N67" s="147"/>
      <c r="O67" s="147"/>
      <c r="P67" s="147"/>
      <c r="Q67" s="147"/>
      <c r="R67" s="147"/>
      <c r="S67" s="147"/>
      <c r="T67" s="147"/>
      <c r="U67" s="147"/>
      <c r="V67" s="147"/>
      <c r="W67" s="147"/>
      <c r="X67" s="147"/>
      <c r="Y67" s="147"/>
      <c r="Z67" s="147"/>
    </row>
    <row r="68" spans="1:26" s="3" customFormat="1" ht="13.2">
      <c r="A68" s="229" t="s">
        <v>992</v>
      </c>
      <c r="B68" s="231">
        <f>INDEX('3. Revenue Model'!$D:$AA,MATCH("ARR (Recurring Only)",'3. Revenue Model'!$B:$B,0),MATCH("Month "&amp;INDEX('1. Assumptions'!$G:$G,MATCH("Start Fundraising Month",'1. Assumptions'!$B:$B,0)),'3. Revenue Model'!$D$2:$AA$2,0))</f>
        <v>1043627.2782152807</v>
      </c>
      <c r="C68" s="196"/>
      <c r="D68" s="196"/>
      <c r="E68" s="196"/>
      <c r="F68" s="196"/>
      <c r="G68" s="147"/>
      <c r="H68" s="147"/>
      <c r="I68" s="147"/>
      <c r="J68" s="147"/>
      <c r="K68" s="147"/>
      <c r="L68" s="147"/>
      <c r="M68" s="147"/>
      <c r="N68" s="147"/>
      <c r="O68" s="147"/>
      <c r="P68" s="147"/>
      <c r="Q68" s="147"/>
      <c r="R68" s="147"/>
      <c r="S68" s="147"/>
      <c r="T68" s="147"/>
      <c r="U68" s="147"/>
      <c r="V68" s="147"/>
      <c r="W68" s="147"/>
      <c r="X68" s="147"/>
      <c r="Y68" s="147"/>
      <c r="Z68" s="147"/>
    </row>
    <row r="69" spans="1:26" s="3" customFormat="1" ht="13.2">
      <c r="A69" s="229" t="s">
        <v>1003</v>
      </c>
      <c r="B69" s="236">
        <f>INDEX('1. Assumptions'!$G:$G,MATCH("ARR Valuation Multiple (x ARR)",'1. Assumptions'!$B:$B,0))</f>
        <v>9</v>
      </c>
      <c r="C69" s="196"/>
      <c r="D69" s="196"/>
      <c r="E69" s="196"/>
      <c r="F69" s="196"/>
      <c r="G69" s="147"/>
      <c r="H69" s="147"/>
      <c r="I69" s="147"/>
      <c r="J69" s="147"/>
      <c r="K69" s="147"/>
      <c r="L69" s="147"/>
      <c r="M69" s="147"/>
      <c r="N69" s="147"/>
      <c r="O69" s="147"/>
      <c r="P69" s="147"/>
      <c r="Q69" s="147"/>
      <c r="R69" s="147"/>
      <c r="S69" s="147"/>
      <c r="T69" s="147"/>
      <c r="U69" s="147"/>
      <c r="V69" s="147"/>
      <c r="W69" s="147"/>
      <c r="X69" s="147"/>
      <c r="Y69" s="147"/>
      <c r="Z69" s="147"/>
    </row>
    <row r="70" spans="1:26" s="3" customFormat="1" ht="13.2">
      <c r="A70" s="229" t="s">
        <v>993</v>
      </c>
      <c r="B70" s="231">
        <f>B68*B69</f>
        <v>9392645.5039375275</v>
      </c>
      <c r="C70" s="196"/>
      <c r="D70" s="196"/>
      <c r="E70" s="196"/>
      <c r="F70" s="196"/>
      <c r="G70" s="147"/>
      <c r="H70" s="147"/>
      <c r="I70" s="147"/>
      <c r="J70" s="147"/>
      <c r="K70" s="147"/>
      <c r="L70" s="147"/>
      <c r="M70" s="147"/>
      <c r="N70" s="147"/>
      <c r="O70" s="147"/>
      <c r="P70" s="147"/>
      <c r="Q70" s="147"/>
      <c r="R70" s="147"/>
      <c r="S70" s="147"/>
      <c r="T70" s="147"/>
      <c r="U70" s="147"/>
      <c r="V70" s="147"/>
      <c r="W70" s="147"/>
      <c r="X70" s="147"/>
      <c r="Y70" s="147"/>
      <c r="Z70" s="147"/>
    </row>
    <row r="71" spans="1:26" s="3" customFormat="1" ht="13.2">
      <c r="A71" s="229" t="s">
        <v>1004</v>
      </c>
      <c r="B71" s="231">
        <f>INDEX('1. Assumptions'!$G:$G,MATCH("Target Raise Amount ($)",'1. Assumptions'!$B:$B,0))</f>
        <v>5000000</v>
      </c>
      <c r="C71" s="196"/>
      <c r="D71" s="196"/>
      <c r="E71" s="196"/>
      <c r="F71" s="196"/>
      <c r="G71" s="147"/>
      <c r="H71" s="147"/>
      <c r="I71" s="147"/>
      <c r="J71" s="147"/>
      <c r="K71" s="147"/>
      <c r="L71" s="147"/>
      <c r="M71" s="147"/>
      <c r="N71" s="147"/>
      <c r="O71" s="147"/>
      <c r="P71" s="147"/>
      <c r="Q71" s="147"/>
      <c r="R71" s="147"/>
      <c r="S71" s="147"/>
      <c r="T71" s="147"/>
      <c r="U71" s="147"/>
      <c r="V71" s="147"/>
      <c r="W71" s="147"/>
      <c r="X71" s="147"/>
      <c r="Y71" s="147"/>
      <c r="Z71" s="147"/>
    </row>
    <row r="72" spans="1:26" s="3" customFormat="1" ht="13.2">
      <c r="A72" s="229" t="s">
        <v>994</v>
      </c>
      <c r="B72" s="231">
        <f>B70+B71</f>
        <v>14392645.503937528</v>
      </c>
      <c r="C72" s="196"/>
      <c r="D72" s="196"/>
      <c r="E72" s="196"/>
      <c r="F72" s="196"/>
      <c r="G72" s="147"/>
      <c r="H72" s="147"/>
      <c r="I72" s="147"/>
      <c r="J72" s="147"/>
      <c r="K72" s="147"/>
      <c r="L72" s="147"/>
      <c r="M72" s="147"/>
      <c r="N72" s="147"/>
      <c r="O72" s="147"/>
      <c r="P72" s="147"/>
      <c r="Q72" s="147"/>
      <c r="R72" s="147"/>
      <c r="S72" s="147"/>
      <c r="T72" s="147"/>
      <c r="U72" s="147"/>
      <c r="V72" s="147"/>
      <c r="W72" s="147"/>
      <c r="X72" s="147"/>
      <c r="Y72" s="147"/>
      <c r="Z72" s="147"/>
    </row>
    <row r="73" spans="1:26" s="3" customFormat="1" ht="13.2">
      <c r="A73" s="229" t="s">
        <v>995</v>
      </c>
      <c r="B73" s="237">
        <f>IFERROR(B71/B72,"Check")</f>
        <v>0.34739964926059663</v>
      </c>
      <c r="C73" s="196"/>
      <c r="D73" s="196"/>
      <c r="E73" s="196"/>
      <c r="F73" s="196"/>
      <c r="G73" s="147"/>
      <c r="H73" s="147"/>
      <c r="I73" s="147"/>
      <c r="J73" s="147"/>
      <c r="K73" s="147"/>
      <c r="L73" s="147"/>
      <c r="M73" s="147"/>
      <c r="N73" s="147"/>
      <c r="O73" s="147"/>
      <c r="P73" s="147"/>
      <c r="Q73" s="147"/>
      <c r="R73" s="147"/>
      <c r="S73" s="147"/>
      <c r="T73" s="147"/>
      <c r="U73" s="147"/>
      <c r="V73" s="147"/>
      <c r="W73" s="147"/>
      <c r="X73" s="147"/>
      <c r="Y73" s="147"/>
      <c r="Z73" s="147"/>
    </row>
    <row r="74" spans="1:26" s="3" customFormat="1" ht="13.2">
      <c r="A74" s="229" t="s">
        <v>996</v>
      </c>
      <c r="B74" s="238" t="str">
        <f>IF(B68&gt;=INDEX('1. Assumptions'!$G:$G,MATCH("ARR 'Start Conversations' Milestone ($)",'1. Assumptions'!$B:$B,0)),"Start Conversations","Not Yet")</f>
        <v>Start Conversations</v>
      </c>
      <c r="C74" s="196"/>
      <c r="D74" s="196"/>
      <c r="E74" s="196"/>
      <c r="F74" s="196"/>
      <c r="G74" s="147"/>
      <c r="H74" s="147"/>
      <c r="I74" s="147"/>
      <c r="J74" s="147"/>
      <c r="K74" s="147"/>
      <c r="L74" s="147"/>
      <c r="M74" s="147"/>
      <c r="N74" s="147"/>
      <c r="O74" s="147"/>
      <c r="P74" s="147"/>
      <c r="Q74" s="147"/>
      <c r="R74" s="147"/>
      <c r="S74" s="147"/>
      <c r="T74" s="147"/>
      <c r="U74" s="147"/>
      <c r="V74" s="147"/>
      <c r="W74" s="147"/>
      <c r="X74" s="147"/>
      <c r="Y74" s="147"/>
      <c r="Z74" s="147"/>
    </row>
    <row r="75" spans="1:26" s="3" customFormat="1" ht="13.2">
      <c r="A75" s="229" t="s">
        <v>997</v>
      </c>
      <c r="B75" s="238" t="str">
        <f>IF(B68&gt;=INDEX('1. Assumptions'!$G:$G,MATCH("More Credible Series A ARR Range ($)",'1. Assumptions'!$B:$B,0)),"Series A Ready","Not Yet")</f>
        <v>Not Yet</v>
      </c>
      <c r="C75" s="196"/>
      <c r="D75" s="196"/>
      <c r="E75" s="196"/>
      <c r="F75" s="196"/>
      <c r="G75" s="147"/>
      <c r="H75" s="147"/>
      <c r="I75" s="147"/>
      <c r="J75" s="147"/>
      <c r="K75" s="147"/>
      <c r="L75" s="147"/>
      <c r="M75" s="147"/>
      <c r="N75" s="147"/>
      <c r="O75" s="147"/>
      <c r="P75" s="147"/>
      <c r="Q75" s="147"/>
      <c r="R75" s="147"/>
      <c r="S75" s="147"/>
      <c r="T75" s="147"/>
      <c r="U75" s="147"/>
      <c r="V75" s="147"/>
      <c r="W75" s="147"/>
      <c r="X75" s="147"/>
      <c r="Y75" s="147"/>
      <c r="Z75" s="147"/>
    </row>
    <row r="76" spans="1:26" s="3" customFormat="1" ht="13.2">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s="3" customFormat="1" ht="13.2">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s="3" customFormat="1" ht="13.2">
      <c r="A78" s="105" t="s">
        <v>998</v>
      </c>
      <c r="B78" s="105"/>
      <c r="C78" s="209"/>
      <c r="D78" s="209"/>
      <c r="E78" s="209"/>
      <c r="F78" s="209"/>
      <c r="G78" s="147"/>
      <c r="H78" s="147"/>
      <c r="I78" s="147"/>
      <c r="J78" s="147"/>
      <c r="K78" s="147"/>
      <c r="L78" s="147"/>
      <c r="M78" s="147"/>
      <c r="N78" s="147"/>
      <c r="O78" s="147"/>
      <c r="P78" s="147"/>
      <c r="Q78" s="147"/>
      <c r="R78" s="147"/>
      <c r="S78" s="147"/>
      <c r="T78" s="147"/>
      <c r="U78" s="147"/>
      <c r="V78" s="147"/>
      <c r="W78" s="147"/>
      <c r="X78" s="147"/>
      <c r="Y78" s="147"/>
      <c r="Z78" s="147"/>
    </row>
    <row r="79" spans="1:26" s="3" customFormat="1" ht="13.2">
      <c r="A79" s="104" t="s">
        <v>1011</v>
      </c>
      <c r="B79" s="104" t="s">
        <v>785</v>
      </c>
      <c r="C79" s="210"/>
      <c r="D79" s="210"/>
      <c r="E79" s="210"/>
      <c r="F79" s="210"/>
      <c r="G79" s="147"/>
      <c r="H79" s="147"/>
      <c r="I79" s="147"/>
      <c r="J79" s="147"/>
      <c r="K79" s="147"/>
      <c r="L79" s="147"/>
      <c r="M79" s="147"/>
      <c r="N79" s="147"/>
      <c r="O79" s="147"/>
      <c r="P79" s="147"/>
      <c r="Q79" s="147"/>
      <c r="R79" s="147"/>
      <c r="S79" s="147"/>
      <c r="T79" s="147"/>
      <c r="U79" s="147"/>
      <c r="V79" s="147"/>
      <c r="W79" s="147"/>
      <c r="X79" s="147"/>
      <c r="Y79" s="147"/>
      <c r="Z79" s="147"/>
    </row>
    <row r="80" spans="1:26" s="3" customFormat="1" ht="13.2">
      <c r="A80" s="229" t="s">
        <v>1005</v>
      </c>
      <c r="B80" s="239" t="str">
        <f>IF(MIN(INDEX('1. Assumptions'!$G:$G,MATCH("Starter Monthly Churn",'1. Assumptions'!$B:$B,0)),INDEX('1. Assumptions'!$G:$G,MATCH("Growth Monthly Churn",'1. Assumptions'!$B:$B,0)),INDEX('1. Assumptions'!$G:$G,MATCH("Enterprise Monthly Churn (converted)",'1. Assumptions'!$B:$B,0)))&gt;0,"OK","Check")</f>
        <v>OK</v>
      </c>
      <c r="C80" s="210"/>
      <c r="D80" s="210"/>
      <c r="E80" s="210"/>
      <c r="F80" s="210"/>
      <c r="G80" s="147"/>
      <c r="H80" s="147"/>
      <c r="I80" s="147"/>
      <c r="J80" s="147"/>
      <c r="K80" s="147"/>
      <c r="L80" s="147"/>
      <c r="M80" s="147"/>
      <c r="N80" s="147"/>
      <c r="O80" s="147"/>
      <c r="P80" s="147"/>
      <c r="Q80" s="147"/>
      <c r="R80" s="147"/>
      <c r="S80" s="147"/>
      <c r="T80" s="147"/>
      <c r="U80" s="147"/>
      <c r="V80" s="147"/>
      <c r="W80" s="147"/>
      <c r="X80" s="147"/>
      <c r="Y80" s="147"/>
      <c r="Z80" s="147"/>
    </row>
    <row r="81" spans="1:26" s="3" customFormat="1" ht="13.2">
      <c r="A81" s="229" t="s">
        <v>999</v>
      </c>
      <c r="B81" s="239" t="str">
        <f>IF(AND(ISNUMBER($C$27),$C$27&gt;0),"OK","Check")</f>
        <v>OK</v>
      </c>
      <c r="C81" s="196"/>
      <c r="D81" s="196"/>
      <c r="E81" s="196"/>
      <c r="F81" s="196"/>
      <c r="G81" s="147"/>
      <c r="H81" s="147"/>
      <c r="I81" s="147"/>
      <c r="J81" s="147"/>
      <c r="K81" s="147"/>
      <c r="L81" s="147"/>
      <c r="M81" s="147"/>
      <c r="N81" s="147"/>
      <c r="O81" s="147"/>
      <c r="P81" s="147"/>
      <c r="Q81" s="147"/>
      <c r="R81" s="147"/>
      <c r="S81" s="147"/>
      <c r="T81" s="147"/>
      <c r="U81" s="147"/>
      <c r="V81" s="147"/>
      <c r="W81" s="147"/>
      <c r="X81" s="147"/>
      <c r="Y81" s="147"/>
      <c r="Z81" s="147"/>
    </row>
    <row r="82" spans="1:26" s="3" customFormat="1" ht="13.2">
      <c r="A82" s="229" t="s">
        <v>1006</v>
      </c>
      <c r="B82" s="239" t="str">
        <f>IF(COUNTIF($B$55:$Y$55,"&gt;0")=COUNTIF($B$51:$Y$51,"&gt;0"),"OK","Check")</f>
        <v>OK</v>
      </c>
      <c r="C82" s="196"/>
      <c r="D82" s="196"/>
      <c r="E82" s="196"/>
      <c r="F82" s="196"/>
      <c r="G82" s="147"/>
      <c r="H82" s="147"/>
      <c r="I82" s="147"/>
      <c r="J82" s="147"/>
      <c r="K82" s="147"/>
      <c r="L82" s="147"/>
      <c r="M82" s="147"/>
      <c r="N82" s="147"/>
      <c r="O82" s="147"/>
      <c r="P82" s="147"/>
      <c r="Q82" s="147"/>
      <c r="R82" s="147"/>
      <c r="S82" s="147"/>
      <c r="T82" s="147"/>
      <c r="U82" s="147"/>
      <c r="V82" s="147"/>
      <c r="W82" s="147"/>
      <c r="X82" s="147"/>
      <c r="Y82" s="147"/>
      <c r="Z82" s="147"/>
    </row>
    <row r="83" spans="1:26" s="3" customFormat="1" ht="13.2">
      <c r="A83" s="229" t="s">
        <v>1007</v>
      </c>
      <c r="B83" s="239" t="str">
        <f>IF(COUNTIF($B$62:$Y$62,"")=0,"OK","Check")</f>
        <v>OK</v>
      </c>
      <c r="C83" s="196"/>
      <c r="D83" s="196"/>
      <c r="E83" s="196"/>
      <c r="F83" s="196"/>
      <c r="G83" s="147"/>
      <c r="H83" s="147"/>
      <c r="I83" s="147"/>
      <c r="J83" s="147"/>
      <c r="K83" s="147"/>
      <c r="L83" s="147"/>
      <c r="M83" s="147"/>
      <c r="N83" s="147"/>
      <c r="O83" s="147"/>
      <c r="P83" s="147"/>
      <c r="Q83" s="147"/>
      <c r="R83" s="147"/>
      <c r="S83" s="147"/>
      <c r="T83" s="147"/>
      <c r="U83" s="147"/>
      <c r="V83" s="147"/>
      <c r="W83" s="147"/>
      <c r="X83" s="147"/>
      <c r="Y83" s="147"/>
      <c r="Z83" s="147"/>
    </row>
    <row r="84" spans="1:26" s="3" customFormat="1" ht="13.2">
      <c r="A84" s="229" t="s">
        <v>1000</v>
      </c>
      <c r="B84" s="239" t="str">
        <f>IF(INDEX('1. Assumptions'!$G:$G,MATCH("ARR 'Start Conversations' Milestone ($)",'1. Assumptions'!$B:$B,0))&lt;INDEX('1. Assumptions'!$G:$G,MATCH("More Credible Series A ARR Range ($)",'1. Assumptions'!$B:$B,0)),"OK","Check")</f>
        <v>OK</v>
      </c>
      <c r="C84" s="196"/>
      <c r="D84" s="196"/>
      <c r="E84" s="196"/>
      <c r="F84" s="196"/>
      <c r="G84" s="147"/>
      <c r="H84" s="147"/>
      <c r="I84" s="147"/>
      <c r="J84" s="147"/>
      <c r="K84" s="147"/>
      <c r="L84" s="147"/>
      <c r="M84" s="147"/>
      <c r="N84" s="147"/>
      <c r="O84" s="147"/>
      <c r="P84" s="147"/>
      <c r="Q84" s="147"/>
      <c r="R84" s="147"/>
      <c r="S84" s="147"/>
      <c r="T84" s="147"/>
      <c r="U84" s="147"/>
      <c r="V84" s="147"/>
      <c r="W84" s="147"/>
      <c r="X84" s="147"/>
      <c r="Y84" s="147"/>
      <c r="Z84" s="147"/>
    </row>
    <row r="85" spans="1:26" s="3" customFormat="1" ht="13.2">
      <c r="A85" s="229" t="s">
        <v>1001</v>
      </c>
      <c r="B85" s="239" t="str" cm="1">
        <f t="array" ref="B85">IF(OR(SUMPRODUCT(--ISERROR($B$55:$Y$61))&gt;0,COUNTIF($B$55:$Y$55,0)&gt;0,COUNTIF($B$61:$Y$61,0)&gt;0),"Check","OK")</f>
        <v>OK</v>
      </c>
      <c r="C85" s="196"/>
      <c r="D85" s="196"/>
      <c r="E85" s="196"/>
      <c r="F85" s="196"/>
      <c r="G85" s="147"/>
      <c r="H85" s="147"/>
      <c r="I85" s="147"/>
      <c r="J85" s="147"/>
      <c r="K85" s="147"/>
      <c r="L85" s="147"/>
      <c r="M85" s="147"/>
      <c r="N85" s="147"/>
      <c r="O85" s="147"/>
      <c r="P85" s="147"/>
      <c r="Q85" s="147"/>
      <c r="R85" s="147"/>
      <c r="S85" s="147"/>
      <c r="T85" s="147"/>
      <c r="U85" s="147"/>
      <c r="V85" s="147"/>
      <c r="W85" s="147"/>
      <c r="X85" s="147"/>
      <c r="Y85" s="147"/>
      <c r="Z85" s="147"/>
    </row>
  </sheetData>
  <mergeCells count="1">
    <mergeCell ref="A8:D8"/>
  </mergeCells>
  <conditionalFormatting sqref="B80:B85">
    <cfRule type="expression" dxfId="12" priority="2">
      <formula>B80="OK"</formula>
    </cfRule>
    <cfRule type="expression" dxfId="11" priority="3">
      <formula>B80="Review"</formula>
    </cfRule>
    <cfRule type="expression" dxfId="10" priority="4">
      <formula>B80="Pending"</formula>
    </cfRule>
  </conditionalFormatting>
  <conditionalFormatting sqref="C44:D44 B45:D45">
    <cfRule type="expression" dxfId="9" priority="6">
      <formula>B46="Check"</formula>
    </cfRule>
  </conditionalFormatting>
  <conditionalFormatting sqref="D43">
    <cfRule type="expression" dxfId="8" priority="1">
      <formula>D44="Check"</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583B9-ED0D-42EE-8A43-76059FB51917}">
  <dimension ref="A1:AD102"/>
  <sheetViews>
    <sheetView showGridLines="0" workbookViewId="0">
      <pane xSplit="3" ySplit="3" topLeftCell="AA14" activePane="bottomRight" state="frozen"/>
      <selection pane="topRight" activeCell="D1" sqref="D1"/>
      <selection pane="bottomLeft" activeCell="A4" sqref="A4"/>
      <selection pane="bottomRight" activeCell="AB37" sqref="AB37"/>
    </sheetView>
  </sheetViews>
  <sheetFormatPr defaultColWidth="9.109375" defaultRowHeight="14.4"/>
  <cols>
    <col min="1" max="1" width="23.88671875" style="47" customWidth="1"/>
    <col min="2" max="2" width="36.33203125" style="45" customWidth="1"/>
    <col min="3" max="3" width="10.44140625" style="47" bestFit="1" customWidth="1"/>
    <col min="4" max="4" width="13.33203125" style="47" bestFit="1" customWidth="1"/>
    <col min="5" max="5" width="11.6640625" style="47" bestFit="1" customWidth="1"/>
    <col min="6" max="11" width="12.21875" style="47" bestFit="1" customWidth="1"/>
    <col min="12" max="12" width="11.6640625" style="47" bestFit="1" customWidth="1"/>
    <col min="13" max="16" width="12.21875" style="47" bestFit="1" customWidth="1"/>
    <col min="17" max="17" width="12.6640625" style="47" bestFit="1" customWidth="1"/>
    <col min="18" max="22" width="12.21875" style="47" bestFit="1" customWidth="1"/>
    <col min="23" max="24" width="11.6640625" style="47" bestFit="1" customWidth="1"/>
    <col min="25" max="25" width="12.21875" style="47" bestFit="1" customWidth="1"/>
    <col min="26" max="26" width="17.109375" style="47" bestFit="1" customWidth="1"/>
    <col min="27" max="27" width="12.21875" style="47" bestFit="1" customWidth="1"/>
    <col min="28" max="28" width="23.88671875" style="47" customWidth="1"/>
    <col min="29" max="29" width="24" style="47" customWidth="1"/>
    <col min="30" max="16384" width="9.109375" style="47"/>
  </cols>
  <sheetData>
    <row r="1" spans="1:30" ht="17.399999999999999">
      <c r="A1" s="60" t="s">
        <v>1322</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1"/>
    </row>
    <row r="3" spans="1:30" s="207" customFormat="1" ht="13.2">
      <c r="A3" s="104" t="s">
        <v>662</v>
      </c>
      <c r="B3" s="104" t="s">
        <v>663</v>
      </c>
      <c r="C3" s="104" t="s">
        <v>32</v>
      </c>
      <c r="D3" s="104" t="str">
        <f>+'3. Revenue Model'!D2</f>
        <v>Month 1</v>
      </c>
      <c r="E3" s="104" t="str">
        <f>+'3. Revenue Model'!E2</f>
        <v>Month 2</v>
      </c>
      <c r="F3" s="104" t="str">
        <f>+'3. Revenue Model'!F2</f>
        <v>Month 3</v>
      </c>
      <c r="G3" s="104" t="str">
        <f>+'3. Revenue Model'!G2</f>
        <v>Month 4</v>
      </c>
      <c r="H3" s="104" t="str">
        <f>+'3. Revenue Model'!H2</f>
        <v>Month 5</v>
      </c>
      <c r="I3" s="104" t="str">
        <f>+'3. Revenue Model'!I2</f>
        <v>Month 6</v>
      </c>
      <c r="J3" s="104" t="str">
        <f>+'3. Revenue Model'!J2</f>
        <v>Month 7</v>
      </c>
      <c r="K3" s="104" t="str">
        <f>+'3. Revenue Model'!K2</f>
        <v>Month 8</v>
      </c>
      <c r="L3" s="104" t="str">
        <f>+'3. Revenue Model'!L2</f>
        <v>Month 9</v>
      </c>
      <c r="M3" s="104" t="str">
        <f>+'3. Revenue Model'!M2</f>
        <v>Month 10</v>
      </c>
      <c r="N3" s="104" t="str">
        <f>+'3. Revenue Model'!N2</f>
        <v>Month 11</v>
      </c>
      <c r="O3" s="104" t="str">
        <f>+'3. Revenue Model'!O2</f>
        <v>Month 12</v>
      </c>
      <c r="P3" s="104" t="str">
        <f>+'3. Revenue Model'!P2</f>
        <v>Month 13</v>
      </c>
      <c r="Q3" s="104" t="str">
        <f>+'3. Revenue Model'!Q2</f>
        <v>Month 14</v>
      </c>
      <c r="R3" s="104" t="str">
        <f>+'3. Revenue Model'!R2</f>
        <v>Month 15</v>
      </c>
      <c r="S3" s="104" t="str">
        <f>+'3. Revenue Model'!S2</f>
        <v>Month 16</v>
      </c>
      <c r="T3" s="104" t="str">
        <f>+'3. Revenue Model'!T2</f>
        <v>Month 17</v>
      </c>
      <c r="U3" s="104" t="str">
        <f>+'3. Revenue Model'!U2</f>
        <v>Month 18</v>
      </c>
      <c r="V3" s="104" t="str">
        <f>+'3. Revenue Model'!V2</f>
        <v>Month 19</v>
      </c>
      <c r="W3" s="104" t="str">
        <f>+'3. Revenue Model'!W2</f>
        <v>Month 20</v>
      </c>
      <c r="X3" s="104" t="str">
        <f>+'3. Revenue Model'!X2</f>
        <v>Month 21</v>
      </c>
      <c r="Y3" s="104" t="str">
        <f>+'3. Revenue Model'!Y2</f>
        <v>Month 22</v>
      </c>
      <c r="Z3" s="104" t="str">
        <f>+'3. Revenue Model'!Z2</f>
        <v>Month 23</v>
      </c>
      <c r="AA3" s="104" t="str">
        <f>+'3. Revenue Model'!AA2</f>
        <v>Month 24</v>
      </c>
      <c r="AB3" s="104" t="str">
        <f>+'3. Revenue Model'!AB2</f>
        <v>Notes / Formula Logic</v>
      </c>
      <c r="AC3" s="240" t="str">
        <f>+'3. Revenue Model'!AC2</f>
        <v>Check / Source</v>
      </c>
      <c r="AD3" s="241"/>
    </row>
    <row r="4" spans="1:30" s="207" customFormat="1" ht="13.2">
      <c r="A4" s="242" t="s">
        <v>818</v>
      </c>
      <c r="B4" s="243"/>
      <c r="C4" s="242"/>
      <c r="D4" s="242"/>
      <c r="E4" s="242"/>
      <c r="F4" s="242"/>
      <c r="G4" s="242"/>
      <c r="H4" s="242"/>
      <c r="I4" s="242"/>
      <c r="J4" s="242"/>
      <c r="K4" s="242"/>
      <c r="L4" s="242"/>
      <c r="M4" s="242"/>
      <c r="N4" s="242"/>
      <c r="O4" s="242"/>
      <c r="P4" s="242"/>
      <c r="Q4" s="242"/>
      <c r="R4" s="242"/>
      <c r="S4" s="242"/>
      <c r="T4" s="242"/>
      <c r="U4" s="242"/>
      <c r="V4" s="242"/>
      <c r="W4" s="242"/>
      <c r="X4" s="242"/>
      <c r="Y4" s="242"/>
      <c r="Z4" s="242"/>
      <c r="AA4" s="242"/>
    </row>
    <row r="5" spans="1:30" s="207" customFormat="1" ht="13.2">
      <c r="A5" s="244" t="s">
        <v>691</v>
      </c>
      <c r="B5" s="244" t="s">
        <v>38</v>
      </c>
      <c r="C5" s="244" t="s">
        <v>39</v>
      </c>
      <c r="D5" s="161" t="str">
        <f>INDEX('1. Assumptions'!$G:$G,MATCH("Selected Scenario",'1. Assumptions'!$B:$B,0))</f>
        <v>Base</v>
      </c>
      <c r="E5" s="161" t="str">
        <f>INDEX('1. Assumptions'!$G:$G,MATCH("Selected Scenario",'1. Assumptions'!$B:$B,0))</f>
        <v>Base</v>
      </c>
      <c r="F5" s="161" t="str">
        <f>INDEX('1. Assumptions'!$G:$G,MATCH("Selected Scenario",'1. Assumptions'!$B:$B,0))</f>
        <v>Base</v>
      </c>
      <c r="G5" s="161" t="str">
        <f>INDEX('1. Assumptions'!$G:$G,MATCH("Selected Scenario",'1. Assumptions'!$B:$B,0))</f>
        <v>Base</v>
      </c>
      <c r="H5" s="161" t="str">
        <f>INDEX('1. Assumptions'!$G:$G,MATCH("Selected Scenario",'1. Assumptions'!$B:$B,0))</f>
        <v>Base</v>
      </c>
      <c r="I5" s="161" t="str">
        <f>INDEX('1. Assumptions'!$G:$G,MATCH("Selected Scenario",'1. Assumptions'!$B:$B,0))</f>
        <v>Base</v>
      </c>
      <c r="J5" s="161" t="str">
        <f>INDEX('1. Assumptions'!$G:$G,MATCH("Selected Scenario",'1. Assumptions'!$B:$B,0))</f>
        <v>Base</v>
      </c>
      <c r="K5" s="161" t="str">
        <f>INDEX('1. Assumptions'!$G:$G,MATCH("Selected Scenario",'1. Assumptions'!$B:$B,0))</f>
        <v>Base</v>
      </c>
      <c r="L5" s="161" t="str">
        <f>INDEX('1. Assumptions'!$G:$G,MATCH("Selected Scenario",'1. Assumptions'!$B:$B,0))</f>
        <v>Base</v>
      </c>
      <c r="M5" s="161" t="str">
        <f>INDEX('1. Assumptions'!$G:$G,MATCH("Selected Scenario",'1. Assumptions'!$B:$B,0))</f>
        <v>Base</v>
      </c>
      <c r="N5" s="161" t="str">
        <f>INDEX('1. Assumptions'!$G:$G,MATCH("Selected Scenario",'1. Assumptions'!$B:$B,0))</f>
        <v>Base</v>
      </c>
      <c r="O5" s="161" t="str">
        <f>INDEX('1. Assumptions'!$G:$G,MATCH("Selected Scenario",'1. Assumptions'!$B:$B,0))</f>
        <v>Base</v>
      </c>
      <c r="P5" s="161" t="str">
        <f>INDEX('1. Assumptions'!$G:$G,MATCH("Selected Scenario",'1. Assumptions'!$B:$B,0))</f>
        <v>Base</v>
      </c>
      <c r="Q5" s="161" t="str">
        <f>INDEX('1. Assumptions'!$G:$G,MATCH("Selected Scenario",'1. Assumptions'!$B:$B,0))</f>
        <v>Base</v>
      </c>
      <c r="R5" s="161" t="str">
        <f>INDEX('1. Assumptions'!$G:$G,MATCH("Selected Scenario",'1. Assumptions'!$B:$B,0))</f>
        <v>Base</v>
      </c>
      <c r="S5" s="161" t="str">
        <f>INDEX('1. Assumptions'!$G:$G,MATCH("Selected Scenario",'1. Assumptions'!$B:$B,0))</f>
        <v>Base</v>
      </c>
      <c r="T5" s="161" t="str">
        <f>INDEX('1. Assumptions'!$G:$G,MATCH("Selected Scenario",'1. Assumptions'!$B:$B,0))</f>
        <v>Base</v>
      </c>
      <c r="U5" s="161" t="str">
        <f>INDEX('1. Assumptions'!$G:$G,MATCH("Selected Scenario",'1. Assumptions'!$B:$B,0))</f>
        <v>Base</v>
      </c>
      <c r="V5" s="161" t="str">
        <f>INDEX('1. Assumptions'!$G:$G,MATCH("Selected Scenario",'1. Assumptions'!$B:$B,0))</f>
        <v>Base</v>
      </c>
      <c r="W5" s="161" t="str">
        <f>INDEX('1. Assumptions'!$G:$G,MATCH("Selected Scenario",'1. Assumptions'!$B:$B,0))</f>
        <v>Base</v>
      </c>
      <c r="X5" s="161" t="str">
        <f>INDEX('1. Assumptions'!$G:$G,MATCH("Selected Scenario",'1. Assumptions'!$B:$B,0))</f>
        <v>Base</v>
      </c>
      <c r="Y5" s="161" t="str">
        <f>INDEX('1. Assumptions'!$G:$G,MATCH("Selected Scenario",'1. Assumptions'!$B:$B,0))</f>
        <v>Base</v>
      </c>
      <c r="Z5" s="161" t="str">
        <f>INDEX('1. Assumptions'!$G:$G,MATCH("Selected Scenario",'1. Assumptions'!$B:$B,0))</f>
        <v>Base</v>
      </c>
      <c r="AA5" s="161" t="str">
        <f>INDEX('1. Assumptions'!$G:$G,MATCH("Selected Scenario",'1. Assumptions'!$B:$B,0))</f>
        <v>Base</v>
      </c>
    </row>
    <row r="6" spans="1:30" s="207" customFormat="1" ht="13.2">
      <c r="A6" s="244" t="s">
        <v>693</v>
      </c>
      <c r="B6" s="244" t="s">
        <v>694</v>
      </c>
      <c r="C6" s="244" t="s">
        <v>159</v>
      </c>
      <c r="D6" s="245">
        <f>+'3. Revenue Model'!D5</f>
        <v>1</v>
      </c>
      <c r="E6" s="245">
        <f>+'3. Revenue Model'!E5</f>
        <v>2</v>
      </c>
      <c r="F6" s="245">
        <f>+'3. Revenue Model'!F5</f>
        <v>3</v>
      </c>
      <c r="G6" s="245">
        <f>+'3. Revenue Model'!G5</f>
        <v>4</v>
      </c>
      <c r="H6" s="245">
        <f>+'3. Revenue Model'!H5</f>
        <v>5</v>
      </c>
      <c r="I6" s="245">
        <f>+'3. Revenue Model'!I5</f>
        <v>6</v>
      </c>
      <c r="J6" s="245">
        <f>+'3. Revenue Model'!J5</f>
        <v>7</v>
      </c>
      <c r="K6" s="245">
        <f>+'3. Revenue Model'!K5</f>
        <v>8</v>
      </c>
      <c r="L6" s="245">
        <f>+'3. Revenue Model'!L5</f>
        <v>9</v>
      </c>
      <c r="M6" s="245">
        <f>+'3. Revenue Model'!M5</f>
        <v>10</v>
      </c>
      <c r="N6" s="245">
        <f>+'3. Revenue Model'!N5</f>
        <v>11</v>
      </c>
      <c r="O6" s="245">
        <f>+'3. Revenue Model'!O5</f>
        <v>12</v>
      </c>
      <c r="P6" s="245">
        <f>+'3. Revenue Model'!P5</f>
        <v>13</v>
      </c>
      <c r="Q6" s="245">
        <f>+'3. Revenue Model'!Q5</f>
        <v>14</v>
      </c>
      <c r="R6" s="245">
        <f>+'3. Revenue Model'!R5</f>
        <v>15</v>
      </c>
      <c r="S6" s="245">
        <f>+'3. Revenue Model'!S5</f>
        <v>16</v>
      </c>
      <c r="T6" s="245">
        <f>+'3. Revenue Model'!T5</f>
        <v>17</v>
      </c>
      <c r="U6" s="245">
        <f>+'3. Revenue Model'!U5</f>
        <v>18</v>
      </c>
      <c r="V6" s="245">
        <f>+'3. Revenue Model'!V5</f>
        <v>19</v>
      </c>
      <c r="W6" s="245">
        <f>+'3. Revenue Model'!W5</f>
        <v>20</v>
      </c>
      <c r="X6" s="245">
        <f>+'3. Revenue Model'!X5</f>
        <v>21</v>
      </c>
      <c r="Y6" s="245">
        <f>+'3. Revenue Model'!Y5</f>
        <v>22</v>
      </c>
      <c r="Z6" s="245">
        <f>+'3. Revenue Model'!Z5</f>
        <v>23</v>
      </c>
      <c r="AA6" s="245">
        <f>+'3. Revenue Model'!AA5</f>
        <v>24</v>
      </c>
    </row>
    <row r="7" spans="1:30" s="207" customFormat="1" ht="13.2">
      <c r="A7" s="244" t="s">
        <v>693</v>
      </c>
      <c r="B7" s="244" t="s">
        <v>695</v>
      </c>
      <c r="C7" s="244" t="s">
        <v>44</v>
      </c>
      <c r="D7" s="246">
        <f>+'3. Revenue Model'!D6</f>
        <v>46023</v>
      </c>
      <c r="E7" s="246">
        <f>+'3. Revenue Model'!E6</f>
        <v>46054</v>
      </c>
      <c r="F7" s="246">
        <f>+'3. Revenue Model'!F6</f>
        <v>46082</v>
      </c>
      <c r="G7" s="246">
        <f>+'3. Revenue Model'!G6</f>
        <v>46113</v>
      </c>
      <c r="H7" s="246">
        <f>+'3. Revenue Model'!H6</f>
        <v>46143</v>
      </c>
      <c r="I7" s="246">
        <f>+'3. Revenue Model'!I6</f>
        <v>46174</v>
      </c>
      <c r="J7" s="246">
        <f>+'3. Revenue Model'!J6</f>
        <v>46204</v>
      </c>
      <c r="K7" s="246">
        <f>+'3. Revenue Model'!K6</f>
        <v>46235</v>
      </c>
      <c r="L7" s="246">
        <f>+'3. Revenue Model'!L6</f>
        <v>46266</v>
      </c>
      <c r="M7" s="246">
        <f>+'3. Revenue Model'!M6</f>
        <v>46296</v>
      </c>
      <c r="N7" s="246">
        <f>+'3. Revenue Model'!N6</f>
        <v>46327</v>
      </c>
      <c r="O7" s="246">
        <f>+'3. Revenue Model'!O6</f>
        <v>46357</v>
      </c>
      <c r="P7" s="246">
        <f>+'3. Revenue Model'!P6</f>
        <v>46388</v>
      </c>
      <c r="Q7" s="246">
        <f>+'3. Revenue Model'!Q6</f>
        <v>46419</v>
      </c>
      <c r="R7" s="246">
        <f>+'3. Revenue Model'!R6</f>
        <v>46447</v>
      </c>
      <c r="S7" s="246">
        <f>+'3. Revenue Model'!S6</f>
        <v>46478</v>
      </c>
      <c r="T7" s="246">
        <f>+'3. Revenue Model'!T6</f>
        <v>46508</v>
      </c>
      <c r="U7" s="246">
        <f>+'3. Revenue Model'!U6</f>
        <v>46539</v>
      </c>
      <c r="V7" s="246">
        <f>+'3. Revenue Model'!V6</f>
        <v>46569</v>
      </c>
      <c r="W7" s="246">
        <f>+'3. Revenue Model'!W6</f>
        <v>46600</v>
      </c>
      <c r="X7" s="246">
        <f>+'3. Revenue Model'!X6</f>
        <v>46631</v>
      </c>
      <c r="Y7" s="246">
        <f>+'3. Revenue Model'!Y6</f>
        <v>46661</v>
      </c>
      <c r="Z7" s="246">
        <f>+'3. Revenue Model'!Z6</f>
        <v>46692</v>
      </c>
      <c r="AA7" s="246">
        <f>+'3. Revenue Model'!AA6</f>
        <v>46722</v>
      </c>
    </row>
    <row r="8" spans="1:30" s="207" customFormat="1" ht="13.2">
      <c r="A8" s="244"/>
      <c r="B8" s="244"/>
      <c r="C8" s="244"/>
      <c r="D8" s="247"/>
      <c r="E8" s="247"/>
      <c r="F8" s="247"/>
      <c r="G8" s="247"/>
      <c r="H8" s="247"/>
      <c r="I8" s="247"/>
      <c r="J8" s="247"/>
      <c r="K8" s="247"/>
      <c r="L8" s="247"/>
      <c r="M8" s="247"/>
      <c r="N8" s="247"/>
      <c r="O8" s="247"/>
      <c r="P8" s="247"/>
      <c r="Q8" s="247"/>
      <c r="R8" s="247"/>
      <c r="S8" s="247"/>
      <c r="T8" s="247"/>
      <c r="U8" s="247"/>
      <c r="V8" s="247"/>
      <c r="W8" s="247"/>
      <c r="X8" s="247"/>
      <c r="Y8" s="247"/>
      <c r="Z8" s="247"/>
      <c r="AA8" s="247"/>
    </row>
    <row r="9" spans="1:30" s="207" customFormat="1" ht="13.2">
      <c r="A9" s="242" t="s">
        <v>1012</v>
      </c>
      <c r="B9" s="243"/>
      <c r="C9" s="242"/>
      <c r="D9" s="242"/>
      <c r="E9" s="242"/>
      <c r="F9" s="242"/>
      <c r="G9" s="242"/>
      <c r="H9" s="242"/>
      <c r="I9" s="242"/>
      <c r="J9" s="242"/>
      <c r="K9" s="242"/>
      <c r="L9" s="242"/>
      <c r="M9" s="242"/>
      <c r="N9" s="242"/>
      <c r="O9" s="242"/>
      <c r="P9" s="242"/>
      <c r="Q9" s="242"/>
      <c r="R9" s="242"/>
      <c r="S9" s="242"/>
      <c r="T9" s="242"/>
      <c r="U9" s="242"/>
      <c r="V9" s="242"/>
      <c r="W9" s="242"/>
      <c r="X9" s="242"/>
      <c r="Y9" s="242"/>
      <c r="Z9" s="242"/>
      <c r="AA9" s="242"/>
    </row>
    <row r="10" spans="1:30" s="207" customFormat="1" ht="13.2">
      <c r="A10" s="244" t="s">
        <v>787</v>
      </c>
      <c r="B10" s="244" t="s">
        <v>750</v>
      </c>
      <c r="C10" s="244" t="s">
        <v>64</v>
      </c>
      <c r="D10" s="248">
        <f>INDEX('3. Revenue Model'!$D:$AA,MATCH("Ending Subscription MRR",'3. Revenue Model'!$B:$B,0),MATCH(D$3,'3. Revenue Model'!$D$2:$AA$2,0))</f>
        <v>44463.3</v>
      </c>
      <c r="E10" s="248">
        <f>INDEX('3. Revenue Model'!$D:$AA,MATCH("Ending Subscription MRR",'3. Revenue Model'!$B:$B,0),MATCH(E$3,'3. Revenue Model'!$D$2:$AA$2,0))</f>
        <v>46129.371027682952</v>
      </c>
      <c r="F10" s="248">
        <f>INDEX('3. Revenue Model'!$D:$AA,MATCH("Ending Subscription MRR",'3. Revenue Model'!$B:$B,0),MATCH(F$3,'3. Revenue Model'!$D$2:$AA$2,0))</f>
        <v>47841.764196183787</v>
      </c>
      <c r="G10" s="248">
        <f>INDEX('3. Revenue Model'!$D:$AA,MATCH("Ending Subscription MRR",'3. Revenue Model'!$B:$B,0),MATCH(G$3,'3. Revenue Model'!$D$2:$AA$2,0))</f>
        <v>49636.689580722785</v>
      </c>
      <c r="H10" s="248">
        <f>INDEX('3. Revenue Model'!$D:$AA,MATCH("Ending Subscription MRR",'3. Revenue Model'!$B:$B,0),MATCH(H$3,'3. Revenue Model'!$D$2:$AA$2,0))</f>
        <v>51546.579430354774</v>
      </c>
      <c r="I10" s="248">
        <f>INDEX('3. Revenue Model'!$D:$AA,MATCH("Ending Subscription MRR",'3. Revenue Model'!$B:$B,0),MATCH(I$3,'3. Revenue Model'!$D$2:$AA$2,0))</f>
        <v>54200.286326940695</v>
      </c>
      <c r="J10" s="248">
        <f>INDEX('3. Revenue Model'!$D:$AA,MATCH("Ending Subscription MRR",'3. Revenue Model'!$B:$B,0),MATCH(J$3,'3. Revenue Model'!$D$2:$AA$2,0))</f>
        <v>57054.935869718305</v>
      </c>
      <c r="K10" s="248">
        <f>INDEX('3. Revenue Model'!$D:$AA,MATCH("Ending Subscription MRR",'3. Revenue Model'!$B:$B,0),MATCH(K$3,'3. Revenue Model'!$D$2:$AA$2,0))</f>
        <v>60140.158808947861</v>
      </c>
      <c r="L10" s="248">
        <f>INDEX('3. Revenue Model'!$D:$AA,MATCH("Ending Subscription MRR",'3. Revenue Model'!$B:$B,0),MATCH(L$3,'3. Revenue Model'!$D$2:$AA$2,0))</f>
        <v>63485.58654313445</v>
      </c>
      <c r="M10" s="248">
        <f>INDEX('3. Revenue Model'!$D:$AA,MATCH("Ending Subscription MRR",'3. Revenue Model'!$B:$B,0),MATCH(M$3,'3. Revenue Model'!$D$2:$AA$2,0))</f>
        <v>67121.426222983791</v>
      </c>
      <c r="N10" s="248">
        <f>INDEX('3. Revenue Model'!$D:$AA,MATCH("Ending Subscription MRR",'3. Revenue Model'!$B:$B,0),MATCH(N$3,'3. Revenue Model'!$D$2:$AA$2,0))</f>
        <v>71078.963613337575</v>
      </c>
      <c r="O10" s="248">
        <f>INDEX('3. Revenue Model'!$D:$AA,MATCH("Ending Subscription MRR",'3. Revenue Model'!$B:$B,0),MATCH(O$3,'3. Revenue Model'!$D$2:$AA$2,0))</f>
        <v>75391.01465241886</v>
      </c>
      <c r="P10" s="248">
        <f>INDEX('3. Revenue Model'!$D:$AA,MATCH("Ending Subscription MRR",'3. Revenue Model'!$B:$B,0),MATCH(P$3,'3. Revenue Model'!$D$2:$AA$2,0))</f>
        <v>80092.342528908368</v>
      </c>
      <c r="Q10" s="248">
        <f>INDEX('3. Revenue Model'!$D:$AA,MATCH("Ending Subscription MRR",'3. Revenue Model'!$B:$B,0),MATCH(Q$3,'3. Revenue Model'!$D$2:$AA$2,0))</f>
        <v>85220.053931696762</v>
      </c>
      <c r="R10" s="248">
        <f>INDEX('3. Revenue Model'!$D:$AA,MATCH("Ending Subscription MRR",'3. Revenue Model'!$B:$B,0),MATCH(R$3,'3. Revenue Model'!$D$2:$AA$2,0))</f>
        <v>90813.985709536064</v>
      </c>
      <c r="S10" s="248">
        <f>INDEX('3. Revenue Model'!$D:$AA,MATCH("Ending Subscription MRR",'3. Revenue Model'!$B:$B,0),MATCH(S$3,'3. Revenue Model'!$D$2:$AA$2,0))</f>
        <v>96917.091348740316</v>
      </c>
      <c r="T10" s="248">
        <f>INDEX('3. Revenue Model'!$D:$AA,MATCH("Ending Subscription MRR",'3. Revenue Model'!$B:$B,0),MATCH(T$3,'3. Revenue Model'!$D$2:$AA$2,0))</f>
        <v>103575.83531264079</v>
      </c>
      <c r="U10" s="248">
        <f>INDEX('3. Revenue Model'!$D:$AA,MATCH("Ending Subscription MRR",'3. Revenue Model'!$B:$B,0),MATCH(U$3,'3. Revenue Model'!$D$2:$AA$2,0))</f>
        <v>110840.60229057564</v>
      </c>
      <c r="V10" s="248">
        <f>INDEX('3. Revenue Model'!$D:$AA,MATCH("Ending Subscription MRR",'3. Revenue Model'!$B:$B,0),MATCH(V$3,'3. Revenue Model'!$D$2:$AA$2,0))</f>
        <v>118766.12770242419</v>
      </c>
      <c r="W10" s="248">
        <f>INDEX('3. Revenue Model'!$D:$AA,MATCH("Ending Subscription MRR",'3. Revenue Model'!$B:$B,0),MATCH(W$3,'3. Revenue Model'!$D$2:$AA$2,0))</f>
        <v>127411.95533973681</v>
      </c>
      <c r="X10" s="248">
        <f>INDEX('3. Revenue Model'!$D:$AA,MATCH("Ending Subscription MRR",'3. Revenue Model'!$B:$B,0),MATCH(X$3,'3. Revenue Model'!$D$2:$AA$2,0))</f>
        <v>136842.92775236137</v>
      </c>
      <c r="Y10" s="248">
        <f>INDEX('3. Revenue Model'!$D:$AA,MATCH("Ending Subscription MRR",'3. Revenue Model'!$B:$B,0),MATCH(Y$3,'3. Revenue Model'!$D$2:$AA$2,0))</f>
        <v>147129.71487660302</v>
      </c>
      <c r="Z10" s="248">
        <f>INDEX('3. Revenue Model'!$D:$AA,MATCH("Ending Subscription MRR",'3. Revenue Model'!$B:$B,0),MATCH(Z$3,'3. Revenue Model'!$D$2:$AA$2,0))</f>
        <v>158349.3864221017</v>
      </c>
      <c r="AA10" s="248">
        <f>INDEX('3. Revenue Model'!$D:$AA,MATCH("Ending Subscription MRR",'3. Revenue Model'!$B:$B,0),MATCH(AA$3,'3. Revenue Model'!$D$2:$AA$2,0))</f>
        <v>170586.03367102746</v>
      </c>
    </row>
    <row r="11" spans="1:30" s="207" customFormat="1" ht="13.2">
      <c r="A11" s="244" t="s">
        <v>787</v>
      </c>
      <c r="B11" s="244" t="s">
        <v>144</v>
      </c>
      <c r="C11" s="244" t="s">
        <v>64</v>
      </c>
      <c r="D11" s="152">
        <f>INDEX('3. Revenue Model'!$D:$AA,MATCH("AI Usage Revenue",'3. Revenue Model'!$B:$B,0),MATCH(D$3,'3. Revenue Model'!$D$2:$AA$2,0))</f>
        <v>0</v>
      </c>
      <c r="E11" s="152">
        <f>INDEX('3. Revenue Model'!$D:$AA,MATCH("AI Usage Revenue",'3. Revenue Model'!$B:$B,0),MATCH(E$3,'3. Revenue Model'!$D$2:$AA$2,0))</f>
        <v>0</v>
      </c>
      <c r="F11" s="152">
        <f>INDEX('3. Revenue Model'!$D:$AA,MATCH("AI Usage Revenue",'3. Revenue Model'!$B:$B,0),MATCH(F$3,'3. Revenue Model'!$D$2:$AA$2,0))</f>
        <v>0</v>
      </c>
      <c r="G11" s="152">
        <f>INDEX('3. Revenue Model'!$D:$AA,MATCH("AI Usage Revenue",'3. Revenue Model'!$B:$B,0),MATCH(G$3,'3. Revenue Model'!$D$2:$AA$2,0))</f>
        <v>0</v>
      </c>
      <c r="H11" s="152">
        <f>INDEX('3. Revenue Model'!$D:$AA,MATCH("AI Usage Revenue",'3. Revenue Model'!$B:$B,0),MATCH(H$3,'3. Revenue Model'!$D$2:$AA$2,0))</f>
        <v>0</v>
      </c>
      <c r="I11" s="152">
        <f>INDEX('3. Revenue Model'!$D:$AA,MATCH("AI Usage Revenue",'3. Revenue Model'!$B:$B,0),MATCH(I$3,'3. Revenue Model'!$D$2:$AA$2,0))</f>
        <v>0</v>
      </c>
      <c r="J11" s="152">
        <f>INDEX('3. Revenue Model'!$D:$AA,MATCH("AI Usage Revenue",'3. Revenue Model'!$B:$B,0),MATCH(J$3,'3. Revenue Model'!$D$2:$AA$2,0))</f>
        <v>0</v>
      </c>
      <c r="K11" s="152">
        <f>INDEX('3. Revenue Model'!$D:$AA,MATCH("AI Usage Revenue",'3. Revenue Model'!$B:$B,0),MATCH(K$3,'3. Revenue Model'!$D$2:$AA$2,0))</f>
        <v>0</v>
      </c>
      <c r="L11" s="152">
        <f>INDEX('3. Revenue Model'!$D:$AA,MATCH("AI Usage Revenue",'3. Revenue Model'!$B:$B,0),MATCH(L$3,'3. Revenue Model'!$D$2:$AA$2,0))</f>
        <v>0</v>
      </c>
      <c r="M11" s="248">
        <f>INDEX('3. Revenue Model'!$D:$AA,MATCH("AI Usage Revenue",'3. Revenue Model'!$B:$B,0),MATCH(M$3,'3. Revenue Model'!$D$2:$AA$2,0))</f>
        <v>273.42919708299877</v>
      </c>
      <c r="N11" s="248">
        <f>INDEX('3. Revenue Model'!$D:$AA,MATCH("AI Usage Revenue",'3. Revenue Model'!$B:$B,0),MATCH(N$3,'3. Revenue Model'!$D$2:$AA$2,0))</f>
        <v>579.71732629125188</v>
      </c>
      <c r="O11" s="248">
        <f>INDEX('3. Revenue Model'!$D:$AA,MATCH("AI Usage Revenue",'3. Revenue Model'!$B:$B,0),MATCH(O$3,'3. Revenue Model'!$D$2:$AA$2,0))</f>
        <v>923.83577383415695</v>
      </c>
      <c r="P11" s="248">
        <f>INDEX('3. Revenue Model'!$D:$AA,MATCH("AI Usage Revenue",'3. Revenue Model'!$B:$B,0),MATCH(P$3,'3. Revenue Model'!$D$2:$AA$2,0))</f>
        <v>1311.4329209465036</v>
      </c>
      <c r="Q11" s="248">
        <f>INDEX('3. Revenue Model'!$D:$AA,MATCH("AI Usage Revenue",'3. Revenue Model'!$B:$B,0),MATCH(Q$3,'3. Revenue Model'!$D$2:$AA$2,0))</f>
        <v>1748.8859195766302</v>
      </c>
      <c r="R11" s="248">
        <f>INDEX('3. Revenue Model'!$D:$AA,MATCH("AI Usage Revenue",'3. Revenue Model'!$B:$B,0),MATCH(R$3,'3. Revenue Model'!$D$2:$AA$2,0))</f>
        <v>2243.3665284550329</v>
      </c>
      <c r="S11" s="248">
        <f>INDEX('3. Revenue Model'!$D:$AA,MATCH("AI Usage Revenue",'3. Revenue Model'!$B:$B,0),MATCH(S$3,'3. Revenue Model'!$D$2:$AA$2,0))</f>
        <v>2802.9204759061472</v>
      </c>
      <c r="T11" s="248">
        <f>INDEX('3. Revenue Model'!$D:$AA,MATCH("AI Usage Revenue",'3. Revenue Model'!$B:$B,0),MATCH(T$3,'3. Revenue Model'!$D$2:$AA$2,0))</f>
        <v>3436.560294323443</v>
      </c>
      <c r="U11" s="248">
        <f>INDEX('3. Revenue Model'!$D:$AA,MATCH("AI Usage Revenue",'3. Revenue Model'!$B:$B,0),MATCH(U$3,'3. Revenue Model'!$D$2:$AA$2,0))</f>
        <v>4154.3719691619608</v>
      </c>
      <c r="V11" s="248">
        <f>INDEX('3. Revenue Model'!$D:$AA,MATCH("AI Usage Revenue",'3. Revenue Model'!$B:$B,0),MATCH(V$3,'3. Revenue Model'!$D$2:$AA$2,0))</f>
        <v>4967.6360864753042</v>
      </c>
      <c r="W11" s="248">
        <f>INDEX('3. Revenue Model'!$D:$AA,MATCH("AI Usage Revenue",'3. Revenue Model'!$B:$B,0),MATCH(W$3,'3. Revenue Model'!$D$2:$AA$2,0))</f>
        <v>5888.9644659749738</v>
      </c>
      <c r="X11" s="248">
        <f>INDEX('3. Revenue Model'!$D:$AA,MATCH("AI Usage Revenue",'3. Revenue Model'!$B:$B,0),MATCH(X$3,'3. Revenue Model'!$D$2:$AA$2,0))</f>
        <v>6932.4535458616901</v>
      </c>
      <c r="Y11" s="248">
        <f>INDEX('3. Revenue Model'!$D:$AA,MATCH("AI Usage Revenue",'3. Revenue Model'!$B:$B,0),MATCH(Y$3,'3. Revenue Model'!$D$2:$AA$2,0))</f>
        <v>8113.8560528328962</v>
      </c>
      <c r="Z11" s="248">
        <f>INDEX('3. Revenue Model'!$D:$AA,MATCH("AI Usage Revenue",'3. Revenue Model'!$B:$B,0),MATCH(Z$3,'3. Revenue Model'!$D$2:$AA$2,0))</f>
        <v>9450.7727550681138</v>
      </c>
      <c r="AA11" s="248">
        <f>INDEX('3. Revenue Model'!$D:$AA,MATCH("AI Usage Revenue",'3. Revenue Model'!$B:$B,0),MATCH(AA$3,'3. Revenue Model'!$D$2:$AA$2,0))</f>
        <v>10962.866365391445</v>
      </c>
    </row>
    <row r="12" spans="1:30" s="207" customFormat="1" ht="13.2">
      <c r="A12" s="244" t="s">
        <v>787</v>
      </c>
      <c r="B12" s="244" t="s">
        <v>789</v>
      </c>
      <c r="C12" s="244" t="s">
        <v>64</v>
      </c>
      <c r="D12" s="152">
        <f>INDEX('3. Revenue Model'!$D:$AA,MATCH("Implementation Revenue (Non-Recurring)",'3. Revenue Model'!$B:$B,0),MATCH(D$3,'3. Revenue Model'!$D$2:$AA$2,0))</f>
        <v>0</v>
      </c>
      <c r="E12" s="152">
        <f>INDEX('3. Revenue Model'!$D:$AA,MATCH("Implementation Revenue (Non-Recurring)",'3. Revenue Model'!$B:$B,0),MATCH(E$3,'3. Revenue Model'!$D$2:$AA$2,0))</f>
        <v>0</v>
      </c>
      <c r="F12" s="152">
        <f>INDEX('3. Revenue Model'!$D:$AA,MATCH("Implementation Revenue (Non-Recurring)",'3. Revenue Model'!$B:$B,0),MATCH(F$3,'3. Revenue Model'!$D$2:$AA$2,0))</f>
        <v>0</v>
      </c>
      <c r="G12" s="152">
        <f>INDEX('3. Revenue Model'!$D:$AA,MATCH("Implementation Revenue (Non-Recurring)",'3. Revenue Model'!$B:$B,0),MATCH(G$3,'3. Revenue Model'!$D$2:$AA$2,0))</f>
        <v>0</v>
      </c>
      <c r="H12" s="152">
        <f>INDEX('3. Revenue Model'!$D:$AA,MATCH("Implementation Revenue (Non-Recurring)",'3. Revenue Model'!$B:$B,0),MATCH(H$3,'3. Revenue Model'!$D$2:$AA$2,0))</f>
        <v>0</v>
      </c>
      <c r="I12" s="248">
        <f>INDEX('3. Revenue Model'!$D:$AA,MATCH("Implementation Revenue (Non-Recurring)",'3. Revenue Model'!$B:$B,0),MATCH(I$3,'3. Revenue Model'!$D$2:$AA$2,0))</f>
        <v>1000</v>
      </c>
      <c r="J12" s="248">
        <f>INDEX('3. Revenue Model'!$D:$AA,MATCH("Implementation Revenue (Non-Recurring)",'3. Revenue Model'!$B:$B,0),MATCH(J$3,'3. Revenue Model'!$D$2:$AA$2,0))</f>
        <v>2070</v>
      </c>
      <c r="K12" s="248">
        <f>INDEX('3. Revenue Model'!$D:$AA,MATCH("Implementation Revenue (Non-Recurring)",'3. Revenue Model'!$B:$B,0),MATCH(K$3,'3. Revenue Model'!$D$2:$AA$2,0))</f>
        <v>3214.9</v>
      </c>
      <c r="L12" s="248">
        <f>INDEX('3. Revenue Model'!$D:$AA,MATCH("Implementation Revenue (Non-Recurring)",'3. Revenue Model'!$B:$B,0),MATCH(L$3,'3. Revenue Model'!$D$2:$AA$2,0))</f>
        <v>3439.9430000000007</v>
      </c>
      <c r="M12" s="248">
        <f>INDEX('3. Revenue Model'!$D:$AA,MATCH("Implementation Revenue (Non-Recurring)",'3. Revenue Model'!$B:$B,0),MATCH(M$3,'3. Revenue Model'!$D$2:$AA$2,0))</f>
        <v>3680.7390100000007</v>
      </c>
      <c r="N12" s="248">
        <f>INDEX('3. Revenue Model'!$D:$AA,MATCH("Implementation Revenue (Non-Recurring)",'3. Revenue Model'!$B:$B,0),MATCH(N$3,'3. Revenue Model'!$D$2:$AA$2,0))</f>
        <v>3938.3907407000006</v>
      </c>
      <c r="O12" s="248">
        <f>INDEX('3. Revenue Model'!$D:$AA,MATCH("Implementation Revenue (Non-Recurring)",'3. Revenue Model'!$B:$B,0),MATCH(O$3,'3. Revenue Model'!$D$2:$AA$2,0))</f>
        <v>4214.0780925490008</v>
      </c>
      <c r="P12" s="248">
        <f>INDEX('3. Revenue Model'!$D:$AA,MATCH("Implementation Revenue (Non-Recurring)",'3. Revenue Model'!$B:$B,0),MATCH(P$3,'3. Revenue Model'!$D$2:$AA$2,0))</f>
        <v>4509.0635590274305</v>
      </c>
      <c r="Q12" s="248">
        <f>INDEX('3. Revenue Model'!$D:$AA,MATCH("Implementation Revenue (Non-Recurring)",'3. Revenue Model'!$B:$B,0),MATCH(Q$3,'3. Revenue Model'!$D$2:$AA$2,0))</f>
        <v>4824.698008159351</v>
      </c>
      <c r="R12" s="248">
        <f>INDEX('3. Revenue Model'!$D:$AA,MATCH("Implementation Revenue (Non-Recurring)",'3. Revenue Model'!$B:$B,0),MATCH(R$3,'3. Revenue Model'!$D$2:$AA$2,0))</f>
        <v>5162.4268687305057</v>
      </c>
      <c r="S12" s="248">
        <f>INDEX('3. Revenue Model'!$D:$AA,MATCH("Implementation Revenue (Non-Recurring)",'3. Revenue Model'!$B:$B,0),MATCH(S$3,'3. Revenue Model'!$D$2:$AA$2,0))</f>
        <v>5523.7967495416406</v>
      </c>
      <c r="T12" s="248">
        <f>INDEX('3. Revenue Model'!$D:$AA,MATCH("Implementation Revenue (Non-Recurring)",'3. Revenue Model'!$B:$B,0),MATCH(T$3,'3. Revenue Model'!$D$2:$AA$2,0))</f>
        <v>5910.462522009555</v>
      </c>
      <c r="U12" s="248">
        <f>INDEX('3. Revenue Model'!$D:$AA,MATCH("Implementation Revenue (Non-Recurring)",'3. Revenue Model'!$B:$B,0),MATCH(U$3,'3. Revenue Model'!$D$2:$AA$2,0))</f>
        <v>6324.194898550224</v>
      </c>
      <c r="V12" s="248">
        <f>INDEX('3. Revenue Model'!$D:$AA,MATCH("Implementation Revenue (Non-Recurring)",'3. Revenue Model'!$B:$B,0),MATCH(V$3,'3. Revenue Model'!$D$2:$AA$2,0))</f>
        <v>6766.8885414487404</v>
      </c>
      <c r="W12" s="248">
        <f>INDEX('3. Revenue Model'!$D:$AA,MATCH("Implementation Revenue (Non-Recurring)",'3. Revenue Model'!$B:$B,0),MATCH(W$3,'3. Revenue Model'!$D$2:$AA$2,0))</f>
        <v>7240.5707393501516</v>
      </c>
      <c r="X12" s="248">
        <f>INDEX('3. Revenue Model'!$D:$AA,MATCH("Implementation Revenue (Non-Recurring)",'3. Revenue Model'!$B:$B,0),MATCH(X$3,'3. Revenue Model'!$D$2:$AA$2,0))</f>
        <v>7747.410691104662</v>
      </c>
      <c r="Y12" s="248">
        <f>INDEX('3. Revenue Model'!$D:$AA,MATCH("Implementation Revenue (Non-Recurring)",'3. Revenue Model'!$B:$B,0),MATCH(Y$3,'3. Revenue Model'!$D$2:$AA$2,0))</f>
        <v>8289.7294394819892</v>
      </c>
      <c r="Z12" s="248">
        <f>INDEX('3. Revenue Model'!$D:$AA,MATCH("Implementation Revenue (Non-Recurring)",'3. Revenue Model'!$B:$B,0),MATCH(Z$3,'3. Revenue Model'!$D$2:$AA$2,0))</f>
        <v>8870.0105002457276</v>
      </c>
      <c r="AA12" s="248">
        <f>INDEX('3. Revenue Model'!$D:$AA,MATCH("Implementation Revenue (Non-Recurring)",'3. Revenue Model'!$B:$B,0),MATCH(AA$3,'3. Revenue Model'!$D$2:$AA$2,0))</f>
        <v>9490.911235262929</v>
      </c>
    </row>
    <row r="13" spans="1:30" s="207" customFormat="1" ht="13.2">
      <c r="A13" s="244" t="s">
        <v>787</v>
      </c>
      <c r="B13" s="244" t="s">
        <v>790</v>
      </c>
      <c r="C13" s="244" t="s">
        <v>64</v>
      </c>
      <c r="D13" s="248">
        <f>INDEX('3. Revenue Model'!$D:$AA,MATCH("Total Monthly Revenue",'3. Revenue Model'!$B:$B,0),MATCH(D$3,'3. Revenue Model'!$D$2:$AA$2,0))</f>
        <v>44463.3</v>
      </c>
      <c r="E13" s="248">
        <f>INDEX('3. Revenue Model'!$D:$AA,MATCH("Total Monthly Revenue",'3. Revenue Model'!$B:$B,0),MATCH(E$3,'3. Revenue Model'!$D$2:$AA$2,0))</f>
        <v>46129.371027682952</v>
      </c>
      <c r="F13" s="248">
        <f>INDEX('3. Revenue Model'!$D:$AA,MATCH("Total Monthly Revenue",'3. Revenue Model'!$B:$B,0),MATCH(F$3,'3. Revenue Model'!$D$2:$AA$2,0))</f>
        <v>47841.764196183787</v>
      </c>
      <c r="G13" s="248">
        <f>INDEX('3. Revenue Model'!$D:$AA,MATCH("Total Monthly Revenue",'3. Revenue Model'!$B:$B,0),MATCH(G$3,'3. Revenue Model'!$D$2:$AA$2,0))</f>
        <v>49636.689580722785</v>
      </c>
      <c r="H13" s="248">
        <f>INDEX('3. Revenue Model'!$D:$AA,MATCH("Total Monthly Revenue",'3. Revenue Model'!$B:$B,0),MATCH(H$3,'3. Revenue Model'!$D$2:$AA$2,0))</f>
        <v>51546.579430354774</v>
      </c>
      <c r="I13" s="248">
        <f>INDEX('3. Revenue Model'!$D:$AA,MATCH("Total Monthly Revenue",'3. Revenue Model'!$B:$B,0),MATCH(I$3,'3. Revenue Model'!$D$2:$AA$2,0))</f>
        <v>55200.286326940695</v>
      </c>
      <c r="J13" s="248">
        <f>INDEX('3. Revenue Model'!$D:$AA,MATCH("Total Monthly Revenue",'3. Revenue Model'!$B:$B,0),MATCH(J$3,'3. Revenue Model'!$D$2:$AA$2,0))</f>
        <v>59124.935869718305</v>
      </c>
      <c r="K13" s="248">
        <f>INDEX('3. Revenue Model'!$D:$AA,MATCH("Total Monthly Revenue",'3. Revenue Model'!$B:$B,0),MATCH(K$3,'3. Revenue Model'!$D$2:$AA$2,0))</f>
        <v>63355.058808947862</v>
      </c>
      <c r="L13" s="248">
        <f>INDEX('3. Revenue Model'!$D:$AA,MATCH("Total Monthly Revenue",'3. Revenue Model'!$B:$B,0),MATCH(L$3,'3. Revenue Model'!$D$2:$AA$2,0))</f>
        <v>66925.529543134457</v>
      </c>
      <c r="M13" s="248">
        <f>INDEX('3. Revenue Model'!$D:$AA,MATCH("Total Monthly Revenue",'3. Revenue Model'!$B:$B,0),MATCH(M$3,'3. Revenue Model'!$D$2:$AA$2,0))</f>
        <v>71075.594430066791</v>
      </c>
      <c r="N13" s="248">
        <f>INDEX('3. Revenue Model'!$D:$AA,MATCH("Total Monthly Revenue",'3. Revenue Model'!$B:$B,0),MATCH(N$3,'3. Revenue Model'!$D$2:$AA$2,0))</f>
        <v>75597.071680328838</v>
      </c>
      <c r="O13" s="248">
        <f>INDEX('3. Revenue Model'!$D:$AA,MATCH("Total Monthly Revenue",'3. Revenue Model'!$B:$B,0),MATCH(O$3,'3. Revenue Model'!$D$2:$AA$2,0))</f>
        <v>80528.928518802015</v>
      </c>
      <c r="P13" s="248">
        <f>INDEX('3. Revenue Model'!$D:$AA,MATCH("Total Monthly Revenue",'3. Revenue Model'!$B:$B,0),MATCH(P$3,'3. Revenue Model'!$D$2:$AA$2,0))</f>
        <v>85912.839008882307</v>
      </c>
      <c r="Q13" s="248">
        <f>INDEX('3. Revenue Model'!$D:$AA,MATCH("Total Monthly Revenue",'3. Revenue Model'!$B:$B,0),MATCH(Q$3,'3. Revenue Model'!$D$2:$AA$2,0))</f>
        <v>91793.63785943274</v>
      </c>
      <c r="R13" s="248">
        <f>INDEX('3. Revenue Model'!$D:$AA,MATCH("Total Monthly Revenue",'3. Revenue Model'!$B:$B,0),MATCH(R$3,'3. Revenue Model'!$D$2:$AA$2,0))</f>
        <v>98219.779106721602</v>
      </c>
      <c r="S13" s="248">
        <f>INDEX('3. Revenue Model'!$D:$AA,MATCH("Total Monthly Revenue",'3. Revenue Model'!$B:$B,0),MATCH(S$3,'3. Revenue Model'!$D$2:$AA$2,0))</f>
        <v>105243.80857418811</v>
      </c>
      <c r="T13" s="248">
        <f>INDEX('3. Revenue Model'!$D:$AA,MATCH("Total Monthly Revenue",'3. Revenue Model'!$B:$B,0),MATCH(T$3,'3. Revenue Model'!$D$2:$AA$2,0))</f>
        <v>112922.85812897378</v>
      </c>
      <c r="U13" s="248">
        <f>INDEX('3. Revenue Model'!$D:$AA,MATCH("Total Monthly Revenue",'3. Revenue Model'!$B:$B,0),MATCH(U$3,'3. Revenue Model'!$D$2:$AA$2,0))</f>
        <v>121319.16915828783</v>
      </c>
      <c r="V13" s="248">
        <f>INDEX('3. Revenue Model'!$D:$AA,MATCH("Total Monthly Revenue",'3. Revenue Model'!$B:$B,0),MATCH(V$3,'3. Revenue Model'!$D$2:$AA$2,0))</f>
        <v>130500.65233034824</v>
      </c>
      <c r="W13" s="248">
        <f>INDEX('3. Revenue Model'!$D:$AA,MATCH("Total Monthly Revenue",'3. Revenue Model'!$B:$B,0),MATCH(W$3,'3. Revenue Model'!$D$2:$AA$2,0))</f>
        <v>140541.49054506194</v>
      </c>
      <c r="X13" s="248">
        <f>INDEX('3. Revenue Model'!$D:$AA,MATCH("Total Monthly Revenue",'3. Revenue Model'!$B:$B,0),MATCH(X$3,'3. Revenue Model'!$D$2:$AA$2,0))</f>
        <v>151522.79198932773</v>
      </c>
      <c r="Y13" s="248">
        <f>INDEX('3. Revenue Model'!$D:$AA,MATCH("Total Monthly Revenue",'3. Revenue Model'!$B:$B,0),MATCH(Y$3,'3. Revenue Model'!$D$2:$AA$2,0))</f>
        <v>163533.30036891787</v>
      </c>
      <c r="Z13" s="248">
        <f>INDEX('3. Revenue Model'!$D:$AA,MATCH("Total Monthly Revenue",'3. Revenue Model'!$B:$B,0),MATCH(Z$3,'3. Revenue Model'!$D$2:$AA$2,0))</f>
        <v>176670.16967741554</v>
      </c>
      <c r="AA13" s="248">
        <f>INDEX('3. Revenue Model'!$D:$AA,MATCH("Total Monthly Revenue",'3. Revenue Model'!$B:$B,0),MATCH(AA$3,'3. Revenue Model'!$D$2:$AA$2,0))</f>
        <v>191039.81127168183</v>
      </c>
    </row>
    <row r="14" spans="1:30" s="207" customFormat="1" ht="13.2">
      <c r="A14" s="244" t="s">
        <v>787</v>
      </c>
      <c r="B14" s="244" t="s">
        <v>791</v>
      </c>
      <c r="C14" s="244" t="s">
        <v>64</v>
      </c>
      <c r="D14" s="248">
        <f>INDEX('3. Revenue Model'!$D:$AA,MATCH("ARR (Recurring Only)",'3. Revenue Model'!$B:$B,0),MATCH(D$3,'3. Revenue Model'!$D$2:$AA$2,0))</f>
        <v>533559.60000000009</v>
      </c>
      <c r="E14" s="248">
        <f>INDEX('3. Revenue Model'!$D:$AA,MATCH("ARR (Recurring Only)",'3. Revenue Model'!$B:$B,0),MATCH(E$3,'3. Revenue Model'!$D$2:$AA$2,0))</f>
        <v>553552.45233219536</v>
      </c>
      <c r="F14" s="248">
        <f>INDEX('3. Revenue Model'!$D:$AA,MATCH("ARR (Recurring Only)",'3. Revenue Model'!$B:$B,0),MATCH(F$3,'3. Revenue Model'!$D$2:$AA$2,0))</f>
        <v>574101.17035420542</v>
      </c>
      <c r="G14" s="248">
        <f>INDEX('3. Revenue Model'!$D:$AA,MATCH("ARR (Recurring Only)",'3. Revenue Model'!$B:$B,0),MATCH(G$3,'3. Revenue Model'!$D$2:$AA$2,0))</f>
        <v>595640.27496867348</v>
      </c>
      <c r="H14" s="248">
        <f>INDEX('3. Revenue Model'!$D:$AA,MATCH("ARR (Recurring Only)",'3. Revenue Model'!$B:$B,0),MATCH(H$3,'3. Revenue Model'!$D$2:$AA$2,0))</f>
        <v>618558.95316425734</v>
      </c>
      <c r="I14" s="248">
        <f>INDEX('3. Revenue Model'!$D:$AA,MATCH("ARR (Recurring Only)",'3. Revenue Model'!$B:$B,0),MATCH(I$3,'3. Revenue Model'!$D$2:$AA$2,0))</f>
        <v>650403.43592328834</v>
      </c>
      <c r="J14" s="248">
        <f>INDEX('3. Revenue Model'!$D:$AA,MATCH("ARR (Recurring Only)",'3. Revenue Model'!$B:$B,0),MATCH(J$3,'3. Revenue Model'!$D$2:$AA$2,0))</f>
        <v>684659.2304366196</v>
      </c>
      <c r="K14" s="248">
        <f>INDEX('3. Revenue Model'!$D:$AA,MATCH("ARR (Recurring Only)",'3. Revenue Model'!$B:$B,0),MATCH(K$3,'3. Revenue Model'!$D$2:$AA$2,0))</f>
        <v>721681.90570737433</v>
      </c>
      <c r="L14" s="248">
        <f>INDEX('3. Revenue Model'!$D:$AA,MATCH("ARR (Recurring Only)",'3. Revenue Model'!$B:$B,0),MATCH(L$3,'3. Revenue Model'!$D$2:$AA$2,0))</f>
        <v>761827.03851761343</v>
      </c>
      <c r="M14" s="248">
        <f>INDEX('3. Revenue Model'!$D:$AA,MATCH("ARR (Recurring Only)",'3. Revenue Model'!$B:$B,0),MATCH(M$3,'3. Revenue Model'!$D$2:$AA$2,0))</f>
        <v>808738.26504080137</v>
      </c>
      <c r="N14" s="248">
        <f>INDEX('3. Revenue Model'!$D:$AA,MATCH("ARR (Recurring Only)",'3. Revenue Model'!$B:$B,0),MATCH(N$3,'3. Revenue Model'!$D$2:$AA$2,0))</f>
        <v>859904.17127554596</v>
      </c>
      <c r="O14" s="248">
        <f>INDEX('3. Revenue Model'!$D:$AA,MATCH("ARR (Recurring Only)",'3. Revenue Model'!$B:$B,0),MATCH(O$3,'3. Revenue Model'!$D$2:$AA$2,0))</f>
        <v>915778.20511503622</v>
      </c>
      <c r="P14" s="248">
        <f>INDEX('3. Revenue Model'!$D:$AA,MATCH("ARR (Recurring Only)",'3. Revenue Model'!$B:$B,0),MATCH(P$3,'3. Revenue Model'!$D$2:$AA$2,0))</f>
        <v>976845.3053982585</v>
      </c>
      <c r="Q14" s="248">
        <f>INDEX('3. Revenue Model'!$D:$AA,MATCH("ARR (Recurring Only)",'3. Revenue Model'!$B:$B,0),MATCH(Q$3,'3. Revenue Model'!$D$2:$AA$2,0))</f>
        <v>1043627.2782152807</v>
      </c>
      <c r="R14" s="248">
        <f>INDEX('3. Revenue Model'!$D:$AA,MATCH("ARR (Recurring Only)",'3. Revenue Model'!$B:$B,0),MATCH(R$3,'3. Revenue Model'!$D$2:$AA$2,0))</f>
        <v>1116688.2268558932</v>
      </c>
      <c r="S14" s="248">
        <f>INDEX('3. Revenue Model'!$D:$AA,MATCH("ARR (Recurring Only)",'3. Revenue Model'!$B:$B,0),MATCH(S$3,'3. Revenue Model'!$D$2:$AA$2,0))</f>
        <v>1196640.1418957575</v>
      </c>
      <c r="T14" s="248">
        <f>INDEX('3. Revenue Model'!$D:$AA,MATCH("ARR (Recurring Only)",'3. Revenue Model'!$B:$B,0),MATCH(T$3,'3. Revenue Model'!$D$2:$AA$2,0))</f>
        <v>1284148.7472835707</v>
      </c>
      <c r="U14" s="248">
        <f>INDEX('3. Revenue Model'!$D:$AA,MATCH("ARR (Recurring Only)",'3. Revenue Model'!$B:$B,0),MATCH(U$3,'3. Revenue Model'!$D$2:$AA$2,0))</f>
        <v>1379939.6911168513</v>
      </c>
      <c r="V14" s="248">
        <f>INDEX('3. Revenue Model'!$D:$AA,MATCH("ARR (Recurring Only)",'3. Revenue Model'!$B:$B,0),MATCH(V$3,'3. Revenue Model'!$D$2:$AA$2,0))</f>
        <v>1484805.1654667938</v>
      </c>
      <c r="W14" s="248">
        <f>INDEX('3. Revenue Model'!$D:$AA,MATCH("ARR (Recurring Only)",'3. Revenue Model'!$B:$B,0),MATCH(W$3,'3. Revenue Model'!$D$2:$AA$2,0))</f>
        <v>1599611.0376685413</v>
      </c>
      <c r="X14" s="248">
        <f>INDEX('3. Revenue Model'!$D:$AA,MATCH("ARR (Recurring Only)",'3. Revenue Model'!$B:$B,0),MATCH(X$3,'3. Revenue Model'!$D$2:$AA$2,0))</f>
        <v>1725304.575578677</v>
      </c>
      <c r="Y14" s="248">
        <f>INDEX('3. Revenue Model'!$D:$AA,MATCH("ARR (Recurring Only)",'3. Revenue Model'!$B:$B,0),MATCH(Y$3,'3. Revenue Model'!$D$2:$AA$2,0))</f>
        <v>1862922.8511532308</v>
      </c>
      <c r="Z14" s="248">
        <f>INDEX('3. Revenue Model'!$D:$AA,MATCH("ARR (Recurring Only)",'3. Revenue Model'!$B:$B,0),MATCH(Z$3,'3. Revenue Model'!$D$2:$AA$2,0))</f>
        <v>2013601.9101260379</v>
      </c>
      <c r="AA14" s="248">
        <f>INDEX('3. Revenue Model'!$D:$AA,MATCH("ARR (Recurring Only)",'3. Revenue Model'!$B:$B,0),MATCH(AA$3,'3. Revenue Model'!$D$2:$AA$2,0))</f>
        <v>2178586.8004370267</v>
      </c>
    </row>
    <row r="15" spans="1:30" s="207" customFormat="1" ht="13.2">
      <c r="A15" s="244" t="s">
        <v>787</v>
      </c>
      <c r="B15" s="244" t="s">
        <v>800</v>
      </c>
      <c r="C15" s="244" t="s">
        <v>290</v>
      </c>
      <c r="D15" s="248">
        <f>INDEX('3. Revenue Model'!$D:$AA,MATCH("ARPU (Total Recurring)",'3. Revenue Model'!$B:$B,0),MATCH(D$3,'3. Revenue Model'!$D$2:$AA$2,0))</f>
        <v>84.853625954198478</v>
      </c>
      <c r="E15" s="248">
        <f>INDEX('3. Revenue Model'!$D:$AA,MATCH("ARPU (Total Recurring)",'3. Revenue Model'!$B:$B,0),MATCH(E$3,'3. Revenue Model'!$D$2:$AA$2,0))</f>
        <v>83.857069305090178</v>
      </c>
      <c r="F15" s="248">
        <f>INDEX('3. Revenue Model'!$D:$AA,MATCH("ARPU (Total Recurring)",'3. Revenue Model'!$B:$B,0),MATCH(F$3,'3. Revenue Model'!$D$2:$AA$2,0))</f>
        <v>83.01756854899584</v>
      </c>
      <c r="G15" s="248">
        <f>INDEX('3. Revenue Model'!$D:$AA,MATCH("ARPU (Total Recurring)",'3. Revenue Model'!$B:$B,0),MATCH(G$3,'3. Revenue Model'!$D$2:$AA$2,0))</f>
        <v>82.27403052170348</v>
      </c>
      <c r="H15" s="248">
        <f>INDEX('3. Revenue Model'!$D:$AA,MATCH("ARPU (Total Recurring)",'3. Revenue Model'!$B:$B,0),MATCH(H$3,'3. Revenue Model'!$D$2:$AA$2,0))</f>
        <v>81.586049806267397</v>
      </c>
      <c r="I15" s="248">
        <f>INDEX('3. Revenue Model'!$D:$AA,MATCH("ARPU (Total Recurring)",'3. Revenue Model'!$B:$B,0),MATCH(I$3,'3. Revenue Model'!$D$2:$AA$2,0))</f>
        <v>81.708251946603482</v>
      </c>
      <c r="J15" s="248">
        <f>INDEX('3. Revenue Model'!$D:$AA,MATCH("ARPU (Total Recurring)",'3. Revenue Model'!$B:$B,0),MATCH(J$3,'3. Revenue Model'!$D$2:$AA$2,0))</f>
        <v>81.801888531075491</v>
      </c>
      <c r="K15" s="248">
        <f>INDEX('3. Revenue Model'!$D:$AA,MATCH("ARPU (Total Recurring)",'3. Revenue Model'!$B:$B,0),MATCH(K$3,'3. Revenue Model'!$D$2:$AA$2,0))</f>
        <v>81.856339199059903</v>
      </c>
      <c r="L15" s="248">
        <f>INDEX('3. Revenue Model'!$D:$AA,MATCH("ARPU (Total Recurring)",'3. Revenue Model'!$B:$B,0),MATCH(L$3,'3. Revenue Model'!$D$2:$AA$2,0))</f>
        <v>81.865503464256832</v>
      </c>
      <c r="M15" s="248">
        <f>INDEX('3. Revenue Model'!$D:$AA,MATCH("ARPU (Total Recurring)",'3. Revenue Model'!$B:$B,0),MATCH(M$3,'3. Revenue Model'!$D$2:$AA$2,0))</f>
        <v>82.16003282147571</v>
      </c>
      <c r="N15" s="248">
        <f>INDEX('3. Revenue Model'!$D:$AA,MATCH("ARPU (Total Recurring)",'3. Revenue Model'!$B:$B,0),MATCH(N$3,'3. Revenue Model'!$D$2:$AA$2,0))</f>
        <v>82.406462241481336</v>
      </c>
      <c r="O15" s="248">
        <f>INDEX('3. Revenue Model'!$D:$AA,MATCH("ARPU (Total Recurring)",'3. Revenue Model'!$B:$B,0),MATCH(O$3,'3. Revenue Model'!$D$2:$AA$2,0))</f>
        <v>82.606511446863237</v>
      </c>
      <c r="P15" s="248">
        <f>INDEX('3. Revenue Model'!$D:$AA,MATCH("ARPU (Total Recurring)",'3. Revenue Model'!$B:$B,0),MATCH(P$3,'3. Revenue Model'!$D$2:$AA$2,0))</f>
        <v>82.763186384048922</v>
      </c>
      <c r="Q15" s="248">
        <f>INDEX('3. Revenue Model'!$D:$AA,MATCH("ARPU (Total Recurring)",'3. Revenue Model'!$B:$B,0),MATCH(Q$3,'3. Revenue Model'!$D$2:$AA$2,0))</f>
        <v>82.880324818753564</v>
      </c>
      <c r="R15" s="248">
        <f>INDEX('3. Revenue Model'!$D:$AA,MATCH("ARPU (Total Recurring)",'3. Revenue Model'!$B:$B,0),MATCH(R$3,'3. Revenue Model'!$D$2:$AA$2,0))</f>
        <v>82.962236493809243</v>
      </c>
      <c r="S15" s="248">
        <f>INDEX('3. Revenue Model'!$D:$AA,MATCH("ARPU (Total Recurring)",'3. Revenue Model'!$B:$B,0),MATCH(S$3,'3. Revenue Model'!$D$2:$AA$2,0))</f>
        <v>83.013424601573618</v>
      </c>
      <c r="T15" s="248">
        <f>INDEX('3. Revenue Model'!$D:$AA,MATCH("ARPU (Total Recurring)",'3. Revenue Model'!$B:$B,0),MATCH(T$3,'3. Revenue Model'!$D$2:$AA$2,0))</f>
        <v>83.038376703766858</v>
      </c>
      <c r="U15" s="248">
        <f>INDEX('3. Revenue Model'!$D:$AA,MATCH("ARPU (Total Recurring)",'3. Revenue Model'!$B:$B,0),MATCH(U$3,'3. Revenue Model'!$D$2:$AA$2,0))</f>
        <v>83.041414042855877</v>
      </c>
      <c r="V15" s="248">
        <f>INDEX('3. Revenue Model'!$D:$AA,MATCH("ARPU (Total Recurring)",'3. Revenue Model'!$B:$B,0),MATCH(V$3,'3. Revenue Model'!$D$2:$AA$2,0))</f>
        <v>83.026588928130423</v>
      </c>
      <c r="W15" s="248">
        <f>INDEX('3. Revenue Model'!$D:$AA,MATCH("ARPU (Total Recurring)",'3. Revenue Model'!$B:$B,0),MATCH(W$3,'3. Revenue Model'!$D$2:$AA$2,0))</f>
        <v>82.997620738180046</v>
      </c>
      <c r="X15" s="248">
        <f>INDEX('3. Revenue Model'!$D:$AA,MATCH("ARPU (Total Recurring)",'3. Revenue Model'!$B:$B,0),MATCH(X$3,'3. Revenue Model'!$D$2:$AA$2,0))</f>
        <v>82.95786208855273</v>
      </c>
      <c r="Y15" s="248">
        <f>INDEX('3. Revenue Model'!$D:$AA,MATCH("ARPU (Total Recurring)",'3. Revenue Model'!$B:$B,0),MATCH(Y$3,'3. Revenue Model'!$D$2:$AA$2,0))</f>
        <v>82.910287822932972</v>
      </c>
      <c r="Z15" s="248">
        <f>INDEX('3. Revenue Model'!$D:$AA,MATCH("ARPU (Total Recurring)",'3. Revenue Model'!$B:$B,0),MATCH(Z$3,'3. Revenue Model'!$D$2:$AA$2,0))</f>
        <v>82.857500628562661</v>
      </c>
      <c r="AA15" s="248">
        <f>INDEX('3. Revenue Model'!$D:$AA,MATCH("ARPU (Total Recurring)",'3. Revenue Model'!$B:$B,0),MATCH(AA$3,'3. Revenue Model'!$D$2:$AA$2,0))</f>
        <v>82.801748185834271</v>
      </c>
    </row>
    <row r="16" spans="1:30" s="207" customFormat="1" ht="13.2">
      <c r="A16" s="244" t="s">
        <v>787</v>
      </c>
      <c r="B16" s="244" t="s">
        <v>802</v>
      </c>
      <c r="C16" s="244" t="s">
        <v>173</v>
      </c>
      <c r="D16" s="249">
        <f>INDEX('3. Revenue Model'!$D:$AA,MATCH("AI Usage % of Recurring MRR",'3. Revenue Model'!$B:$B,0),MATCH(D$3,'3. Revenue Model'!$D$2:$AA$2,0))</f>
        <v>0</v>
      </c>
      <c r="E16" s="249">
        <f>INDEX('3. Revenue Model'!$D:$AA,MATCH("AI Usage % of Recurring MRR",'3. Revenue Model'!$B:$B,0),MATCH(E$3,'3. Revenue Model'!$D$2:$AA$2,0))</f>
        <v>0</v>
      </c>
      <c r="F16" s="249">
        <f>INDEX('3. Revenue Model'!$D:$AA,MATCH("AI Usage % of Recurring MRR",'3. Revenue Model'!$B:$B,0),MATCH(F$3,'3. Revenue Model'!$D$2:$AA$2,0))</f>
        <v>0</v>
      </c>
      <c r="G16" s="249">
        <f>INDEX('3. Revenue Model'!$D:$AA,MATCH("AI Usage % of Recurring MRR",'3. Revenue Model'!$B:$B,0),MATCH(G$3,'3. Revenue Model'!$D$2:$AA$2,0))</f>
        <v>0</v>
      </c>
      <c r="H16" s="249">
        <f>INDEX('3. Revenue Model'!$D:$AA,MATCH("AI Usage % of Recurring MRR",'3. Revenue Model'!$B:$B,0),MATCH(H$3,'3. Revenue Model'!$D$2:$AA$2,0))</f>
        <v>0</v>
      </c>
      <c r="I16" s="249">
        <f>INDEX('3. Revenue Model'!$D:$AA,MATCH("AI Usage % of Recurring MRR",'3. Revenue Model'!$B:$B,0),MATCH(I$3,'3. Revenue Model'!$D$2:$AA$2,0))</f>
        <v>0</v>
      </c>
      <c r="J16" s="249">
        <f>INDEX('3. Revenue Model'!$D:$AA,MATCH("AI Usage % of Recurring MRR",'3. Revenue Model'!$B:$B,0),MATCH(J$3,'3. Revenue Model'!$D$2:$AA$2,0))</f>
        <v>0</v>
      </c>
      <c r="K16" s="249">
        <f>INDEX('3. Revenue Model'!$D:$AA,MATCH("AI Usage % of Recurring MRR",'3. Revenue Model'!$B:$B,0),MATCH(K$3,'3. Revenue Model'!$D$2:$AA$2,0))</f>
        <v>0</v>
      </c>
      <c r="L16" s="249">
        <f>INDEX('3. Revenue Model'!$D:$AA,MATCH("AI Usage % of Recurring MRR",'3. Revenue Model'!$B:$B,0),MATCH(L$3,'3. Revenue Model'!$D$2:$AA$2,0))</f>
        <v>0</v>
      </c>
      <c r="M16" s="250">
        <f>INDEX('3. Revenue Model'!$D:$AA,MATCH("AI Usage % of Recurring MRR",'3. Revenue Model'!$B:$B,0),MATCH(M$3,'3. Revenue Model'!$D$2:$AA$2,0))</f>
        <v>4.0571226895396734E-3</v>
      </c>
      <c r="N16" s="250">
        <f>INDEX('3. Revenue Model'!$D:$AA,MATCH("AI Usage % of Recurring MRR",'3. Revenue Model'!$B:$B,0),MATCH(N$3,'3. Revenue Model'!$D$2:$AA$2,0))</f>
        <v>8.0899804279073104E-3</v>
      </c>
      <c r="O16" s="250">
        <f>INDEX('3. Revenue Model'!$D:$AA,MATCH("AI Usage % of Recurring MRR",'3. Revenue Model'!$B:$B,0),MATCH(O$3,'3. Revenue Model'!$D$2:$AA$2,0))</f>
        <v>1.21055832341165E-2</v>
      </c>
      <c r="P16" s="250">
        <f>INDEX('3. Revenue Model'!$D:$AA,MATCH("AI Usage % of Recurring MRR",'3. Revenue Model'!$B:$B,0),MATCH(P$3,'3. Revenue Model'!$D$2:$AA$2,0))</f>
        <v>1.6110222329360543E-2</v>
      </c>
      <c r="Q16" s="250">
        <f>INDEX('3. Revenue Model'!$D:$AA,MATCH("AI Usage % of Recurring MRR",'3. Revenue Model'!$B:$B,0),MATCH(Q$3,'3. Revenue Model'!$D$2:$AA$2,0))</f>
        <v>2.0109316298064811E-2</v>
      </c>
      <c r="R16" s="250">
        <f>INDEX('3. Revenue Model'!$D:$AA,MATCH("AI Usage % of Recurring MRR",'3. Revenue Model'!$B:$B,0),MATCH(R$3,'3. Revenue Model'!$D$2:$AA$2,0))</f>
        <v>2.4107353954340945E-2</v>
      </c>
      <c r="S16" s="250">
        <f>INDEX('3. Revenue Model'!$D:$AA,MATCH("AI Usage % of Recurring MRR",'3. Revenue Model'!$B:$B,0),MATCH(S$3,'3. Revenue Model'!$D$2:$AA$2,0))</f>
        <v>2.8107903565384323E-2</v>
      </c>
      <c r="T16" s="250">
        <f>INDEX('3. Revenue Model'!$D:$AA,MATCH("AI Usage % of Recurring MRR",'3. Revenue Model'!$B:$B,0),MATCH(T$3,'3. Revenue Model'!$D$2:$AA$2,0))</f>
        <v>3.2113665663043953E-2</v>
      </c>
      <c r="U16" s="250">
        <f>INDEX('3. Revenue Model'!$D:$AA,MATCH("AI Usage % of Recurring MRR",'3. Revenue Model'!$B:$B,0),MATCH(U$3,'3. Revenue Model'!$D$2:$AA$2,0))</f>
        <v>3.6126552450705687E-2</v>
      </c>
      <c r="V16" s="250">
        <f>INDEX('3. Revenue Model'!$D:$AA,MATCH("AI Usage % of Recurring MRR",'3. Revenue Model'!$B:$B,0),MATCH(V$3,'3. Revenue Model'!$D$2:$AA$2,0))</f>
        <v>4.0147781287494987E-2</v>
      </c>
      <c r="W16" s="250">
        <f>INDEX('3. Revenue Model'!$D:$AA,MATCH("AI Usage % of Recurring MRR",'3. Revenue Model'!$B:$B,0),MATCH(W$3,'3. Revenue Model'!$D$2:$AA$2,0))</f>
        <v>4.4177973224477626E-2</v>
      </c>
      <c r="X16" s="250">
        <f>INDEX('3. Revenue Model'!$D:$AA,MATCH("AI Usage % of Recurring MRR",'3. Revenue Model'!$B:$B,0),MATCH(X$3,'3. Revenue Model'!$D$2:$AA$2,0))</f>
        <v>4.8217250291843733E-2</v>
      </c>
      <c r="Y16" s="250">
        <f>INDEX('3. Revenue Model'!$D:$AA,MATCH("AI Usage % of Recurring MRR",'3. Revenue Model'!$B:$B,0),MATCH(Y$3,'3. Revenue Model'!$D$2:$AA$2,0))</f>
        <v>5.2265327344994866E-2</v>
      </c>
      <c r="Z16" s="250">
        <f>INDEX('3. Revenue Model'!$D:$AA,MATCH("AI Usage % of Recurring MRR",'3. Revenue Model'!$B:$B,0),MATCH(Z$3,'3. Revenue Model'!$D$2:$AA$2,0))</f>
        <v>5.632159588769893E-2</v>
      </c>
      <c r="AA16" s="250">
        <f>INDEX('3. Revenue Model'!$D:$AA,MATCH("AI Usage % of Recurring MRR",'3. Revenue Model'!$B:$B,0),MATCH(AA$3,'3. Revenue Model'!$D$2:$AA$2,0))</f>
        <v>6.0385198495789744E-2</v>
      </c>
    </row>
    <row r="17" spans="1:27" s="207" customFormat="1" ht="13.2">
      <c r="A17" s="244"/>
      <c r="B17" s="244"/>
      <c r="C17" s="244"/>
      <c r="D17" s="251"/>
      <c r="E17" s="251"/>
      <c r="F17" s="251"/>
      <c r="G17" s="251"/>
      <c r="H17" s="251"/>
      <c r="I17" s="251"/>
      <c r="J17" s="251"/>
      <c r="K17" s="251"/>
      <c r="L17" s="251"/>
      <c r="M17" s="252"/>
      <c r="N17" s="252"/>
      <c r="O17" s="252"/>
      <c r="P17" s="252"/>
      <c r="Q17" s="252"/>
      <c r="R17" s="252"/>
      <c r="S17" s="252"/>
      <c r="T17" s="252"/>
      <c r="U17" s="252"/>
      <c r="V17" s="252"/>
      <c r="W17" s="252"/>
      <c r="X17" s="252"/>
      <c r="Y17" s="252"/>
      <c r="Z17" s="252"/>
      <c r="AA17" s="252"/>
    </row>
    <row r="18" spans="1:27" s="207" customFormat="1" ht="13.2">
      <c r="A18" s="242" t="s">
        <v>1013</v>
      </c>
      <c r="B18" s="243"/>
      <c r="C18" s="242"/>
      <c r="D18" s="242"/>
      <c r="E18" s="242"/>
      <c r="F18" s="242"/>
      <c r="G18" s="242"/>
      <c r="H18" s="242"/>
      <c r="I18" s="242"/>
      <c r="J18" s="242"/>
      <c r="K18" s="242"/>
      <c r="L18" s="242"/>
      <c r="M18" s="242"/>
      <c r="N18" s="242"/>
      <c r="O18" s="242"/>
      <c r="P18" s="242"/>
      <c r="Q18" s="242"/>
      <c r="R18" s="242"/>
      <c r="S18" s="242"/>
      <c r="T18" s="242"/>
      <c r="U18" s="242"/>
      <c r="V18" s="242"/>
      <c r="W18" s="242"/>
      <c r="X18" s="242"/>
      <c r="Y18" s="242"/>
      <c r="Z18" s="242"/>
      <c r="AA18" s="242"/>
    </row>
    <row r="19" spans="1:27" s="207" customFormat="1" ht="13.2">
      <c r="A19" s="244" t="s">
        <v>759</v>
      </c>
      <c r="B19" s="244" t="s">
        <v>5</v>
      </c>
      <c r="C19" s="244" t="s">
        <v>64</v>
      </c>
      <c r="D19" s="248">
        <f>INDEX('3. Revenue Model'!$D:$AA,MATCH("Beginning Subscription MRR",'3. Revenue Model'!$B:$B,0),MATCH(D$3,'3. Revenue Model'!$D$2:$AA$2,0))</f>
        <v>41520</v>
      </c>
      <c r="E19" s="248">
        <f>INDEX('3. Revenue Model'!$D:$AA,MATCH("Beginning Subscription MRR",'3. Revenue Model'!$B:$B,0),MATCH(E$3,'3. Revenue Model'!$D$2:$AA$2,0))</f>
        <v>44463.3</v>
      </c>
      <c r="F19" s="248">
        <f>INDEX('3. Revenue Model'!$D:$AA,MATCH("Beginning Subscription MRR",'3. Revenue Model'!$B:$B,0),MATCH(F$3,'3. Revenue Model'!$D$2:$AA$2,0))</f>
        <v>46129.371027682959</v>
      </c>
      <c r="G19" s="248">
        <f>INDEX('3. Revenue Model'!$D:$AA,MATCH("Beginning Subscription MRR",'3. Revenue Model'!$B:$B,0),MATCH(G$3,'3. Revenue Model'!$D$2:$AA$2,0))</f>
        <v>47841.764196183802</v>
      </c>
      <c r="H19" s="248">
        <f>INDEX('3. Revenue Model'!$D:$AA,MATCH("Beginning Subscription MRR",'3. Revenue Model'!$B:$B,0),MATCH(H$3,'3. Revenue Model'!$D$2:$AA$2,0))</f>
        <v>49636.689580722807</v>
      </c>
      <c r="I19" s="248">
        <f>INDEX('3. Revenue Model'!$D:$AA,MATCH("Beginning Subscription MRR",'3. Revenue Model'!$B:$B,0),MATCH(I$3,'3. Revenue Model'!$D$2:$AA$2,0))</f>
        <v>51546.579430354781</v>
      </c>
      <c r="J19" s="248">
        <f>INDEX('3. Revenue Model'!$D:$AA,MATCH("Beginning Subscription MRR",'3. Revenue Model'!$B:$B,0),MATCH(J$3,'3. Revenue Model'!$D$2:$AA$2,0))</f>
        <v>54200.286326940695</v>
      </c>
      <c r="K19" s="248">
        <f>INDEX('3. Revenue Model'!$D:$AA,MATCH("Beginning Subscription MRR",'3. Revenue Model'!$B:$B,0),MATCH(K$3,'3. Revenue Model'!$D$2:$AA$2,0))</f>
        <v>57054.935869718305</v>
      </c>
      <c r="L19" s="248">
        <f>INDEX('3. Revenue Model'!$D:$AA,MATCH("Beginning Subscription MRR",'3. Revenue Model'!$B:$B,0),MATCH(L$3,'3. Revenue Model'!$D$2:$AA$2,0))</f>
        <v>60140.158808947868</v>
      </c>
      <c r="M19" s="248">
        <f>INDEX('3. Revenue Model'!$D:$AA,MATCH("Beginning Subscription MRR",'3. Revenue Model'!$B:$B,0),MATCH(M$3,'3. Revenue Model'!$D$2:$AA$2,0))</f>
        <v>63485.58654313445</v>
      </c>
      <c r="N19" s="248">
        <f>INDEX('3. Revenue Model'!$D:$AA,MATCH("Beginning Subscription MRR",'3. Revenue Model'!$B:$B,0),MATCH(N$3,'3. Revenue Model'!$D$2:$AA$2,0))</f>
        <v>67121.426222983791</v>
      </c>
      <c r="O19" s="248">
        <f>INDEX('3. Revenue Model'!$D:$AA,MATCH("Beginning Subscription MRR",'3. Revenue Model'!$B:$B,0),MATCH(O$3,'3. Revenue Model'!$D$2:$AA$2,0))</f>
        <v>71078.963613337575</v>
      </c>
      <c r="P19" s="248">
        <f>INDEX('3. Revenue Model'!$D:$AA,MATCH("Beginning Subscription MRR",'3. Revenue Model'!$B:$B,0),MATCH(P$3,'3. Revenue Model'!$D$2:$AA$2,0))</f>
        <v>75391.014652418846</v>
      </c>
      <c r="Q19" s="248">
        <f>INDEX('3. Revenue Model'!$D:$AA,MATCH("Beginning Subscription MRR",'3. Revenue Model'!$B:$B,0),MATCH(Q$3,'3. Revenue Model'!$D$2:$AA$2,0))</f>
        <v>80092.342528908368</v>
      </c>
      <c r="R19" s="248">
        <f>INDEX('3. Revenue Model'!$D:$AA,MATCH("Beginning Subscription MRR",'3. Revenue Model'!$B:$B,0),MATCH(R$3,'3. Revenue Model'!$D$2:$AA$2,0))</f>
        <v>85220.053931696733</v>
      </c>
      <c r="S19" s="248">
        <f>INDEX('3. Revenue Model'!$D:$AA,MATCH("Beginning Subscription MRR",'3. Revenue Model'!$B:$B,0),MATCH(S$3,'3. Revenue Model'!$D$2:$AA$2,0))</f>
        <v>90813.985709536006</v>
      </c>
      <c r="T19" s="248">
        <f>INDEX('3. Revenue Model'!$D:$AA,MATCH("Beginning Subscription MRR",'3. Revenue Model'!$B:$B,0),MATCH(T$3,'3. Revenue Model'!$D$2:$AA$2,0))</f>
        <v>96917.091348740258</v>
      </c>
      <c r="U19" s="248">
        <f>INDEX('3. Revenue Model'!$D:$AA,MATCH("Beginning Subscription MRR",'3. Revenue Model'!$B:$B,0),MATCH(U$3,'3. Revenue Model'!$D$2:$AA$2,0))</f>
        <v>103575.83531264073</v>
      </c>
      <c r="V19" s="248">
        <f>INDEX('3. Revenue Model'!$D:$AA,MATCH("Beginning Subscription MRR",'3. Revenue Model'!$B:$B,0),MATCH(V$3,'3. Revenue Model'!$D$2:$AA$2,0))</f>
        <v>110840.60229057558</v>
      </c>
      <c r="W19" s="248">
        <f>INDEX('3. Revenue Model'!$D:$AA,MATCH("Beginning Subscription MRR",'3. Revenue Model'!$B:$B,0),MATCH(W$3,'3. Revenue Model'!$D$2:$AA$2,0))</f>
        <v>118766.12770242413</v>
      </c>
      <c r="X19" s="248">
        <f>INDEX('3. Revenue Model'!$D:$AA,MATCH("Beginning Subscription MRR",'3. Revenue Model'!$B:$B,0),MATCH(X$3,'3. Revenue Model'!$D$2:$AA$2,0))</f>
        <v>127411.95533973671</v>
      </c>
      <c r="Y19" s="248">
        <f>INDEX('3. Revenue Model'!$D:$AA,MATCH("Beginning Subscription MRR",'3. Revenue Model'!$B:$B,0),MATCH(Y$3,'3. Revenue Model'!$D$2:$AA$2,0))</f>
        <v>136842.92775236128</v>
      </c>
      <c r="Z19" s="248">
        <f>INDEX('3. Revenue Model'!$D:$AA,MATCH("Beginning Subscription MRR",'3. Revenue Model'!$B:$B,0),MATCH(Z$3,'3. Revenue Model'!$D$2:$AA$2,0))</f>
        <v>147129.71487660293</v>
      </c>
      <c r="AA19" s="248">
        <f>INDEX('3. Revenue Model'!$D:$AA,MATCH("Beginning Subscription MRR",'3. Revenue Model'!$B:$B,0),MATCH(AA$3,'3. Revenue Model'!$D$2:$AA$2,0))</f>
        <v>158349.38642210164</v>
      </c>
    </row>
    <row r="20" spans="1:27" s="207" customFormat="1" ht="13.2">
      <c r="A20" s="244" t="s">
        <v>759</v>
      </c>
      <c r="B20" s="244" t="s">
        <v>761</v>
      </c>
      <c r="C20" s="244" t="s">
        <v>64</v>
      </c>
      <c r="D20" s="248">
        <f>INDEX('3. Revenue Model'!$D:$AA,MATCH("New Logo MRR",'3. Revenue Model'!$B:$B,0),MATCH(D$3,'3. Revenue Model'!$D$2:$AA$2,0))</f>
        <v>988</v>
      </c>
      <c r="E20" s="248">
        <f>INDEX('3. Revenue Model'!$D:$AA,MATCH("New Logo MRR",'3. Revenue Model'!$B:$B,0),MATCH(E$3,'3. Revenue Model'!$D$2:$AA$2,0))</f>
        <v>1057.1600000000001</v>
      </c>
      <c r="F20" s="248">
        <f>INDEX('3. Revenue Model'!$D:$AA,MATCH("New Logo MRR",'3. Revenue Model'!$B:$B,0),MATCH(F$3,'3. Revenue Model'!$D$2:$AA$2,0))</f>
        <v>1131.1612</v>
      </c>
      <c r="G20" s="248">
        <f>INDEX('3. Revenue Model'!$D:$AA,MATCH("New Logo MRR",'3. Revenue Model'!$B:$B,0),MATCH(G$3,'3. Revenue Model'!$D$2:$AA$2,0))</f>
        <v>1210.342484</v>
      </c>
      <c r="H20" s="248">
        <f>INDEX('3. Revenue Model'!$D:$AA,MATCH("New Logo MRR",'3. Revenue Model'!$B:$B,0),MATCH(H$3,'3. Revenue Model'!$D$2:$AA$2,0))</f>
        <v>1295.0664578800001</v>
      </c>
      <c r="I20" s="248">
        <f>INDEX('3. Revenue Model'!$D:$AA,MATCH("New Logo MRR",'3. Revenue Model'!$B:$B,0),MATCH(I$3,'3. Revenue Model'!$D$2:$AA$2,0))</f>
        <v>1984.7211099316005</v>
      </c>
      <c r="J20" s="248">
        <f>INDEX('3. Revenue Model'!$D:$AA,MATCH("New Logo MRR",'3. Revenue Model'!$B:$B,0),MATCH(J$3,'3. Revenue Model'!$D$2:$AA$2,0))</f>
        <v>2123.6515876268122</v>
      </c>
      <c r="K20" s="248">
        <f>INDEX('3. Revenue Model'!$D:$AA,MATCH("New Logo MRR",'3. Revenue Model'!$B:$B,0),MATCH(K$3,'3. Revenue Model'!$D$2:$AA$2,0))</f>
        <v>2272.3071987606895</v>
      </c>
      <c r="L20" s="248">
        <f>INDEX('3. Revenue Model'!$D:$AA,MATCH("New Logo MRR",'3. Revenue Model'!$B:$B,0),MATCH(L$3,'3. Revenue Model'!$D$2:$AA$2,0))</f>
        <v>2431.3687026739376</v>
      </c>
      <c r="M20" s="248">
        <f>INDEX('3. Revenue Model'!$D:$AA,MATCH("New Logo MRR",'3. Revenue Model'!$B:$B,0),MATCH(M$3,'3. Revenue Model'!$D$2:$AA$2,0))</f>
        <v>2601.5645118611137</v>
      </c>
      <c r="N20" s="248">
        <f>INDEX('3. Revenue Model'!$D:$AA,MATCH("New Logo MRR",'3. Revenue Model'!$B:$B,0),MATCH(N$3,'3. Revenue Model'!$D$2:$AA$2,0))</f>
        <v>2783.674027691392</v>
      </c>
      <c r="O20" s="248">
        <f>INDEX('3. Revenue Model'!$D:$AA,MATCH("New Logo MRR",'3. Revenue Model'!$B:$B,0),MATCH(O$3,'3. Revenue Model'!$D$2:$AA$2,0))</f>
        <v>2978.5312096297894</v>
      </c>
      <c r="P20" s="248">
        <f>INDEX('3. Revenue Model'!$D:$AA,MATCH("New Logo MRR",'3. Revenue Model'!$B:$B,0),MATCH(P$3,'3. Revenue Model'!$D$2:$AA$2,0))</f>
        <v>3187.0283943038744</v>
      </c>
      <c r="Q20" s="248">
        <f>INDEX('3. Revenue Model'!$D:$AA,MATCH("New Logo MRR",'3. Revenue Model'!$B:$B,0),MATCH(Q$3,'3. Revenue Model'!$D$2:$AA$2,0))</f>
        <v>3410.1203819051461</v>
      </c>
      <c r="R20" s="248">
        <f>INDEX('3. Revenue Model'!$D:$AA,MATCH("New Logo MRR",'3. Revenue Model'!$B:$B,0),MATCH(R$3,'3. Revenue Model'!$D$2:$AA$2,0))</f>
        <v>3648.8288086385064</v>
      </c>
      <c r="S20" s="248">
        <f>INDEX('3. Revenue Model'!$D:$AA,MATCH("New Logo MRR",'3. Revenue Model'!$B:$B,0),MATCH(S$3,'3. Revenue Model'!$D$2:$AA$2,0))</f>
        <v>3904.2468252432022</v>
      </c>
      <c r="T20" s="248">
        <f>INDEX('3. Revenue Model'!$D:$AA,MATCH("New Logo MRR",'3. Revenue Model'!$B:$B,0),MATCH(T$3,'3. Revenue Model'!$D$2:$AA$2,0))</f>
        <v>4177.5441030102265</v>
      </c>
      <c r="U20" s="248">
        <f>INDEX('3. Revenue Model'!$D:$AA,MATCH("New Logo MRR",'3. Revenue Model'!$B:$B,0),MATCH(U$3,'3. Revenue Model'!$D$2:$AA$2,0))</f>
        <v>4469.972190220943</v>
      </c>
      <c r="V20" s="248">
        <f>INDEX('3. Revenue Model'!$D:$AA,MATCH("New Logo MRR",'3. Revenue Model'!$B:$B,0),MATCH(V$3,'3. Revenue Model'!$D$2:$AA$2,0))</f>
        <v>4782.8702435364094</v>
      </c>
      <c r="W20" s="248">
        <f>INDEX('3. Revenue Model'!$D:$AA,MATCH("New Logo MRR",'3. Revenue Model'!$B:$B,0),MATCH(W$3,'3. Revenue Model'!$D$2:$AA$2,0))</f>
        <v>5117.6711605839582</v>
      </c>
      <c r="X20" s="248">
        <f>INDEX('3. Revenue Model'!$D:$AA,MATCH("New Logo MRR",'3. Revenue Model'!$B:$B,0),MATCH(X$3,'3. Revenue Model'!$D$2:$AA$2,0))</f>
        <v>5475.9081418248352</v>
      </c>
      <c r="Y20" s="248">
        <f>INDEX('3. Revenue Model'!$D:$AA,MATCH("New Logo MRR",'3. Revenue Model'!$B:$B,0),MATCH(Y$3,'3. Revenue Model'!$D$2:$AA$2,0))</f>
        <v>5859.2217117525743</v>
      </c>
      <c r="Z20" s="248">
        <f>INDEX('3. Revenue Model'!$D:$AA,MATCH("New Logo MRR",'3. Revenue Model'!$B:$B,0),MATCH(Z$3,'3. Revenue Model'!$D$2:$AA$2,0))</f>
        <v>6269.3672315752547</v>
      </c>
      <c r="AA20" s="248">
        <f>INDEX('3. Revenue Model'!$D:$AA,MATCH("New Logo MRR",'3. Revenue Model'!$B:$B,0),MATCH(AA$3,'3. Revenue Model'!$D$2:$AA$2,0))</f>
        <v>6708.2229377855238</v>
      </c>
    </row>
    <row r="21" spans="1:27" s="207" customFormat="1" ht="13.2">
      <c r="A21" s="244" t="s">
        <v>759</v>
      </c>
      <c r="B21" s="244" t="s">
        <v>223</v>
      </c>
      <c r="C21" s="244" t="s">
        <v>64</v>
      </c>
      <c r="D21" s="248">
        <f>INDEX('3. Revenue Model'!$D:$AA,MATCH("Upgrade / Expansion MRR",'3. Revenue Model'!$B:$B,0),MATCH(D$3,'3. Revenue Model'!$D$2:$AA$2,0))</f>
        <v>802.5</v>
      </c>
      <c r="E21" s="248">
        <f>INDEX('3. Revenue Model'!$D:$AA,MATCH("Upgrade / Expansion MRR",'3. Revenue Model'!$B:$B,0),MATCH(E$3,'3. Revenue Model'!$D$2:$AA$2,0))</f>
        <v>881.24375000000009</v>
      </c>
      <c r="F21" s="248">
        <f>INDEX('3. Revenue Model'!$D:$AA,MATCH("Upgrade / Expansion MRR",'3. Revenue Model'!$B:$B,0),MATCH(F$3,'3. Revenue Model'!$D$2:$AA$2,0))</f>
        <v>927.46954687499999</v>
      </c>
      <c r="G21" s="248">
        <f>INDEX('3. Revenue Model'!$D:$AA,MATCH("Upgrade / Expansion MRR",'3. Revenue Model'!$B:$B,0),MATCH(G$3,'3. Revenue Model'!$D$2:$AA$2,0))</f>
        <v>973.39628433593759</v>
      </c>
      <c r="H21" s="248">
        <f>INDEX('3. Revenue Model'!$D:$AA,MATCH("Upgrade / Expansion MRR",'3. Revenue Model'!$B:$B,0),MATCH(H$3,'3. Revenue Model'!$D$2:$AA$2,0))</f>
        <v>1020.5049600166992</v>
      </c>
      <c r="I21" s="248">
        <f>INDEX('3. Revenue Model'!$D:$AA,MATCH("Upgrade / Expansion MRR",'3. Revenue Model'!$B:$B,0),MATCH(I$3,'3. Revenue Model'!$D$2:$AA$2,0))</f>
        <v>1070.0564964812399</v>
      </c>
      <c r="J21" s="248">
        <f>INDEX('3. Revenue Model'!$D:$AA,MATCH("Upgrade / Expansion MRR",'3. Revenue Model'!$B:$B,0),MATCH(J$3,'3. Revenue Model'!$D$2:$AA$2,0))</f>
        <v>1123.1516411083558</v>
      </c>
      <c r="K21" s="248">
        <f>INDEX('3. Revenue Model'!$D:$AA,MATCH("Upgrade / Expansion MRR",'3. Revenue Model'!$B:$B,0),MATCH(K$3,'3. Revenue Model'!$D$2:$AA$2,0))</f>
        <v>1180.7787097852024</v>
      </c>
      <c r="L21" s="248">
        <f>INDEX('3. Revenue Model'!$D:$AA,MATCH("Upgrade / Expansion MRR",'3. Revenue Model'!$B:$B,0),MATCH(L$3,'3. Revenue Model'!$D$2:$AA$2,0))</f>
        <v>1243.8519530999833</v>
      </c>
      <c r="M21" s="248">
        <f>INDEX('3. Revenue Model'!$D:$AA,MATCH("Upgrade / Expansion MRR",'3. Revenue Model'!$B:$B,0),MATCH(M$3,'3. Revenue Model'!$D$2:$AA$2,0))</f>
        <v>1313.2427223461982</v>
      </c>
      <c r="N21" s="248">
        <f>INDEX('3. Revenue Model'!$D:$AA,MATCH("Upgrade / Expansion MRR",'3. Revenue Model'!$B:$B,0),MATCH(N$3,'3. Revenue Model'!$D$2:$AA$2,0))</f>
        <v>1389.8051445731169</v>
      </c>
      <c r="O21" s="248">
        <f>INDEX('3. Revenue Model'!$D:$AA,MATCH("Upgrade / Expansion MRR",'3. Revenue Model'!$B:$B,0),MATCH(O$3,'3. Revenue Model'!$D$2:$AA$2,0))</f>
        <v>1474.397651911263</v>
      </c>
      <c r="P21" s="248">
        <f>INDEX('3. Revenue Model'!$D:$AA,MATCH("Upgrade / Expansion MRR",'3. Revenue Model'!$B:$B,0),MATCH(P$3,'3. Revenue Model'!$D$2:$AA$2,0))</f>
        <v>1567.9014276793703</v>
      </c>
      <c r="Q21" s="248">
        <f>INDEX('3. Revenue Model'!$D:$AA,MATCH("Upgrade / Expansion MRR",'3. Revenue Model'!$B:$B,0),MATCH(Q$3,'3. Revenue Model'!$D$2:$AA$2,0))</f>
        <v>1671.236612576168</v>
      </c>
      <c r="R21" s="248">
        <f>INDEX('3. Revenue Model'!$D:$AA,MATCH("Upgrade / Expansion MRR",'3. Revenue Model'!$B:$B,0),MATCH(R$3,'3. Revenue Model'!$D$2:$AA$2,0))</f>
        <v>1785.3769447322768</v>
      </c>
      <c r="S21" s="248">
        <f>INDEX('3. Revenue Model'!$D:$AA,MATCH("Upgrade / Expansion MRR",'3. Revenue Model'!$B:$B,0),MATCH(S$3,'3. Revenue Model'!$D$2:$AA$2,0))</f>
        <v>1911.363376758781</v>
      </c>
      <c r="T21" s="248">
        <f>INDEX('3. Revenue Model'!$D:$AA,MATCH("Upgrade / Expansion MRR",'3. Revenue Model'!$B:$B,0),MATCH(T$3,'3. Revenue Model'!$D$2:$AA$2,0))</f>
        <v>2050.3171127812448</v>
      </c>
      <c r="U21" s="248">
        <f>INDEX('3. Revenue Model'!$D:$AA,MATCH("Upgrade / Expansion MRR",'3. Revenue Model'!$B:$B,0),MATCH(U$3,'3. Revenue Model'!$D$2:$AA$2,0))</f>
        <v>2203.4524322558309</v>
      </c>
      <c r="V21" s="248">
        <f>INDEX('3. Revenue Model'!$D:$AA,MATCH("Upgrade / Expansion MRR",'3. Revenue Model'!$B:$B,0),MATCH(V$3,'3. Revenue Model'!$D$2:$AA$2,0))</f>
        <v>2372.0896100475879</v>
      </c>
      <c r="W21" s="248">
        <f>INDEX('3. Revenue Model'!$D:$AA,MATCH("Upgrade / Expansion MRR",'3. Revenue Model'!$B:$B,0),MATCH(W$3,'3. Revenue Model'!$D$2:$AA$2,0))</f>
        <v>2557.668199866268</v>
      </c>
      <c r="X21" s="248">
        <f>INDEX('3. Revenue Model'!$D:$AA,MATCH("Upgrade / Expansion MRR",'3. Revenue Model'!$B:$B,0),MATCH(X$3,'3. Revenue Model'!$D$2:$AA$2,0))</f>
        <v>2761.7609176469768</v>
      </c>
      <c r="Y21" s="248">
        <f>INDEX('3. Revenue Model'!$D:$AA,MATCH("Upgrade / Expansion MRR",'3. Revenue Model'!$B:$B,0),MATCH(Y$3,'3. Revenue Model'!$D$2:$AA$2,0))</f>
        <v>2986.0883404714073</v>
      </c>
      <c r="Z21" s="248">
        <f>INDEX('3. Revenue Model'!$D:$AA,MATCH("Upgrade / Expansion MRR",'3. Revenue Model'!$B:$B,0),MATCH(Z$3,'3. Revenue Model'!$D$2:$AA$2,0))</f>
        <v>3232.5346233345822</v>
      </c>
      <c r="AA21" s="248">
        <f>INDEX('3. Revenue Model'!$D:$AA,MATCH("Upgrade / Expansion MRR",'3. Revenue Model'!$B:$B,0),MATCH(AA$3,'3. Revenue Model'!$D$2:$AA$2,0))</f>
        <v>3503.1644290832842</v>
      </c>
    </row>
    <row r="22" spans="1:27" s="207" customFormat="1" ht="13.2">
      <c r="A22" s="244" t="s">
        <v>759</v>
      </c>
      <c r="B22" s="244" t="s">
        <v>755</v>
      </c>
      <c r="C22" s="244" t="s">
        <v>64</v>
      </c>
      <c r="D22" s="248">
        <f>INDEX('3. Revenue Model'!$D:$AA,MATCH("Contraction MRR",'3. Revenue Model'!$B:$B,0),MATCH(D$3,'3. Revenue Model'!$D$2:$AA$2,0))</f>
        <v>415.2</v>
      </c>
      <c r="E22" s="248">
        <f>INDEX('3. Revenue Model'!$D:$AA,MATCH("Contraction MRR",'3. Revenue Model'!$B:$B,0),MATCH(E$3,'3. Revenue Model'!$D$2:$AA$2,0))</f>
        <v>444.63300000000004</v>
      </c>
      <c r="F22" s="248">
        <f>INDEX('3. Revenue Model'!$D:$AA,MATCH("Contraction MRR",'3. Revenue Model'!$B:$B,0),MATCH(F$3,'3. Revenue Model'!$D$2:$AA$2,0))</f>
        <v>461.29371027682959</v>
      </c>
      <c r="G22" s="248">
        <f>INDEX('3. Revenue Model'!$D:$AA,MATCH("Contraction MRR",'3. Revenue Model'!$B:$B,0),MATCH(G$3,'3. Revenue Model'!$D$2:$AA$2,0))</f>
        <v>478.417641961838</v>
      </c>
      <c r="H22" s="248">
        <f>INDEX('3. Revenue Model'!$D:$AA,MATCH("Contraction MRR",'3. Revenue Model'!$B:$B,0),MATCH(H$3,'3. Revenue Model'!$D$2:$AA$2,0))</f>
        <v>496.3668958072281</v>
      </c>
      <c r="I22" s="248">
        <f>INDEX('3. Revenue Model'!$D:$AA,MATCH("Contraction MRR",'3. Revenue Model'!$B:$B,0),MATCH(I$3,'3. Revenue Model'!$D$2:$AA$2,0))</f>
        <v>515.4657943035478</v>
      </c>
      <c r="J22" s="248">
        <f>INDEX('3. Revenue Model'!$D:$AA,MATCH("Contraction MRR",'3. Revenue Model'!$B:$B,0),MATCH(J$3,'3. Revenue Model'!$D$2:$AA$2,0))</f>
        <v>542.00286326940693</v>
      </c>
      <c r="K22" s="248">
        <f>INDEX('3. Revenue Model'!$D:$AA,MATCH("Contraction MRR",'3. Revenue Model'!$B:$B,0),MATCH(K$3,'3. Revenue Model'!$D$2:$AA$2,0))</f>
        <v>570.54935869718304</v>
      </c>
      <c r="L22" s="248">
        <f>INDEX('3. Revenue Model'!$D:$AA,MATCH("Contraction MRR",'3. Revenue Model'!$B:$B,0),MATCH(L$3,'3. Revenue Model'!$D$2:$AA$2,0))</f>
        <v>601.40158808947865</v>
      </c>
      <c r="M22" s="248">
        <f>INDEX('3. Revenue Model'!$D:$AA,MATCH("Contraction MRR",'3. Revenue Model'!$B:$B,0),MATCH(M$3,'3. Revenue Model'!$D$2:$AA$2,0))</f>
        <v>634.85586543134457</v>
      </c>
      <c r="N22" s="248">
        <f>INDEX('3. Revenue Model'!$D:$AA,MATCH("Contraction MRR",'3. Revenue Model'!$B:$B,0),MATCH(N$3,'3. Revenue Model'!$D$2:$AA$2,0))</f>
        <v>671.21426222983791</v>
      </c>
      <c r="O22" s="248">
        <f>INDEX('3. Revenue Model'!$D:$AA,MATCH("Contraction MRR",'3. Revenue Model'!$B:$B,0),MATCH(O$3,'3. Revenue Model'!$D$2:$AA$2,0))</f>
        <v>710.78963613337578</v>
      </c>
      <c r="P22" s="248">
        <f>INDEX('3. Revenue Model'!$D:$AA,MATCH("Contraction MRR",'3. Revenue Model'!$B:$B,0),MATCH(P$3,'3. Revenue Model'!$D$2:$AA$2,0))</f>
        <v>753.91014652418846</v>
      </c>
      <c r="Q22" s="248">
        <f>INDEX('3. Revenue Model'!$D:$AA,MATCH("Contraction MRR",'3. Revenue Model'!$B:$B,0),MATCH(Q$3,'3. Revenue Model'!$D$2:$AA$2,0))</f>
        <v>800.92342528908375</v>
      </c>
      <c r="R22" s="248">
        <f>INDEX('3. Revenue Model'!$D:$AA,MATCH("Contraction MRR",'3. Revenue Model'!$B:$B,0),MATCH(R$3,'3. Revenue Model'!$D$2:$AA$2,0))</f>
        <v>852.20053931696737</v>
      </c>
      <c r="S22" s="248">
        <f>INDEX('3. Revenue Model'!$D:$AA,MATCH("Contraction MRR",'3. Revenue Model'!$B:$B,0),MATCH(S$3,'3. Revenue Model'!$D$2:$AA$2,0))</f>
        <v>908.13985709536007</v>
      </c>
      <c r="T22" s="248">
        <f>INDEX('3. Revenue Model'!$D:$AA,MATCH("Contraction MRR",'3. Revenue Model'!$B:$B,0),MATCH(T$3,'3. Revenue Model'!$D$2:$AA$2,0))</f>
        <v>969.17091348740257</v>
      </c>
      <c r="U22" s="248">
        <f>INDEX('3. Revenue Model'!$D:$AA,MATCH("Contraction MRR",'3. Revenue Model'!$B:$B,0),MATCH(U$3,'3. Revenue Model'!$D$2:$AA$2,0))</f>
        <v>1035.7583531264074</v>
      </c>
      <c r="V22" s="248">
        <f>INDEX('3. Revenue Model'!$D:$AA,MATCH("Contraction MRR",'3. Revenue Model'!$B:$B,0),MATCH(V$3,'3. Revenue Model'!$D$2:$AA$2,0))</f>
        <v>1108.4060229057559</v>
      </c>
      <c r="W22" s="248">
        <f>INDEX('3. Revenue Model'!$D:$AA,MATCH("Contraction MRR",'3. Revenue Model'!$B:$B,0),MATCH(W$3,'3. Revenue Model'!$D$2:$AA$2,0))</f>
        <v>1187.6612770242414</v>
      </c>
      <c r="X22" s="248">
        <f>INDEX('3. Revenue Model'!$D:$AA,MATCH("Contraction MRR",'3. Revenue Model'!$B:$B,0),MATCH(X$3,'3. Revenue Model'!$D$2:$AA$2,0))</f>
        <v>1274.1195533973671</v>
      </c>
      <c r="Y22" s="248">
        <f>INDEX('3. Revenue Model'!$D:$AA,MATCH("Contraction MRR",'3. Revenue Model'!$B:$B,0),MATCH(Y$3,'3. Revenue Model'!$D$2:$AA$2,0))</f>
        <v>1368.4292775236129</v>
      </c>
      <c r="Z22" s="248">
        <f>INDEX('3. Revenue Model'!$D:$AA,MATCH("Contraction MRR",'3. Revenue Model'!$B:$B,0),MATCH(Z$3,'3. Revenue Model'!$D$2:$AA$2,0))</f>
        <v>1471.2971487660293</v>
      </c>
      <c r="AA22" s="248">
        <f>INDEX('3. Revenue Model'!$D:$AA,MATCH("Contraction MRR",'3. Revenue Model'!$B:$B,0),MATCH(AA$3,'3. Revenue Model'!$D$2:$AA$2,0))</f>
        <v>1583.4938642210163</v>
      </c>
    </row>
    <row r="23" spans="1:27" s="207" customFormat="1" ht="13.2">
      <c r="A23" s="244" t="s">
        <v>759</v>
      </c>
      <c r="B23" s="244" t="s">
        <v>764</v>
      </c>
      <c r="C23" s="244" t="s">
        <v>64</v>
      </c>
      <c r="D23" s="152">
        <f>INDEX('3. Revenue Model'!$D:$AA,MATCH("Churned MRR",'3. Revenue Model'!$B:$B,0),MATCH(D$3,'3. Revenue Model'!$D$2:$AA$2,0))</f>
        <v>0</v>
      </c>
      <c r="E23" s="248">
        <f>INDEX('3. Revenue Model'!$D:$AA,MATCH("Churned MRR",'3. Revenue Model'!$B:$B,0),MATCH(E$3,'3. Revenue Model'!$D$2:$AA$2,0))</f>
        <v>1364.3397223170491</v>
      </c>
      <c r="F23" s="248">
        <f>INDEX('3. Revenue Model'!$D:$AA,MATCH("Churned MRR",'3. Revenue Model'!$B:$B,0),MATCH(F$3,'3. Revenue Model'!$D$2:$AA$2,0))</f>
        <v>1428.4830680973334</v>
      </c>
      <c r="G23" s="248">
        <f>INDEX('3. Revenue Model'!$D:$AA,MATCH("Churned MRR",'3. Revenue Model'!$B:$B,0),MATCH(G$3,'3. Revenue Model'!$D$2:$AA$2,0))</f>
        <v>1493.8123178350995</v>
      </c>
      <c r="H23" s="248">
        <f>INDEX('3. Revenue Model'!$D:$AA,MATCH("Churned MRR",'3. Revenue Model'!$B:$B,0),MATCH(H$3,'3. Revenue Model'!$D$2:$AA$2,0))</f>
        <v>1561.7812017374872</v>
      </c>
      <c r="I23" s="248">
        <f>INDEX('3. Revenue Model'!$D:$AA,MATCH("Churned MRR",'3. Revenue Model'!$B:$B,0),MATCH(I$3,'3. Revenue Model'!$D$2:$AA$2,0))</f>
        <v>1633.6705683617711</v>
      </c>
      <c r="J23" s="248">
        <f>INDEX('3. Revenue Model'!$D:$AA,MATCH("Churned MRR",'3. Revenue Model'!$B:$B,0),MATCH(J$3,'3. Revenue Model'!$D$2:$AA$2,0))</f>
        <v>1718.6979679021019</v>
      </c>
      <c r="K23" s="248">
        <f>INDEX('3. Revenue Model'!$D:$AA,MATCH("Churned MRR",'3. Revenue Model'!$B:$B,0),MATCH(K$3,'3. Revenue Model'!$D$2:$AA$2,0))</f>
        <v>1810.3419134860301</v>
      </c>
      <c r="L23" s="248">
        <f>INDEX('3. Revenue Model'!$D:$AA,MATCH("Churned MRR",'3. Revenue Model'!$B:$B,0),MATCH(L$3,'3. Revenue Model'!$D$2:$AA$2,0))</f>
        <v>1909.6710922940249</v>
      </c>
      <c r="M23" s="248">
        <f>INDEX('3. Revenue Model'!$D:$AA,MATCH("Churned MRR",'3. Revenue Model'!$B:$B,0),MATCH(M$3,'3. Revenue Model'!$D$2:$AA$2,0))</f>
        <v>2017.7393516036507</v>
      </c>
      <c r="N23" s="248">
        <f>INDEX('3. Revenue Model'!$D:$AA,MATCH("Churned MRR",'3. Revenue Model'!$B:$B,0),MATCH(N$3,'3. Revenue Model'!$D$2:$AA$2,0))</f>
        <v>2135.6094924665554</v>
      </c>
      <c r="O23" s="248">
        <f>INDEX('3. Revenue Model'!$D:$AA,MATCH("Churned MRR",'3. Revenue Model'!$B:$B,0),MATCH(O$3,'3. Revenue Model'!$D$2:$AA$2,0))</f>
        <v>2264.3737605865881</v>
      </c>
      <c r="P23" s="248">
        <f>INDEX('3. Revenue Model'!$D:$AA,MATCH("Churned MRR",'3. Revenue Model'!$B:$B,0),MATCH(P$3,'3. Revenue Model'!$D$2:$AA$2,0))</f>
        <v>2405.1719459285896</v>
      </c>
      <c r="Q23" s="248">
        <f>INDEX('3. Revenue Model'!$D:$AA,MATCH("Churned MRR",'3. Revenue Model'!$B:$B,0),MATCH(Q$3,'3. Revenue Model'!$D$2:$AA$2,0))</f>
        <v>2559.2078199716025</v>
      </c>
      <c r="R23" s="248">
        <f>INDEX('3. Revenue Model'!$D:$AA,MATCH("Churned MRR",'3. Revenue Model'!$B:$B,0),MATCH(R$3,'3. Revenue Model'!$D$2:$AA$2,0))</f>
        <v>2727.764498831059</v>
      </c>
      <c r="S23" s="248">
        <f>INDEX('3. Revenue Model'!$D:$AA,MATCH("Churned MRR",'3. Revenue Model'!$B:$B,0),MATCH(S$3,'3. Revenue Model'!$D$2:$AA$2,0))</f>
        <v>2912.2192126603068</v>
      </c>
      <c r="T23" s="248">
        <f>INDEX('3. Revenue Model'!$D:$AA,MATCH("Churned MRR",'3. Revenue Model'!$B:$B,0),MATCH(T$3,'3. Revenue Model'!$D$2:$AA$2,0))</f>
        <v>3114.0578797595372</v>
      </c>
      <c r="U23" s="248">
        <f>INDEX('3. Revenue Model'!$D:$AA,MATCH("Churned MRR",'3. Revenue Model'!$B:$B,0),MATCH(U$3,'3. Revenue Model'!$D$2:$AA$2,0))</f>
        <v>3334.8898221947798</v>
      </c>
      <c r="V23" s="248">
        <f>INDEX('3. Revenue Model'!$D:$AA,MATCH("Churned MRR",'3. Revenue Model'!$B:$B,0),MATCH(V$3,'3. Revenue Model'!$D$2:$AA$2,0))</f>
        <v>3576.4629142113054</v>
      </c>
      <c r="W23" s="248">
        <f>INDEX('3. Revenue Model'!$D:$AA,MATCH("Churned MRR",'3. Revenue Model'!$B:$B,0),MATCH(W$3,'3. Revenue Model'!$D$2:$AA$2,0))</f>
        <v>3840.6794220222091</v>
      </c>
      <c r="X23" s="248">
        <f>INDEX('3. Revenue Model'!$D:$AA,MATCH("Churned MRR",'3. Revenue Model'!$B:$B,0),MATCH(X$3,'3. Revenue Model'!$D$2:$AA$2,0))</f>
        <v>4129.6127711210383</v>
      </c>
      <c r="Y23" s="248">
        <f>INDEX('3. Revenue Model'!$D:$AA,MATCH("Churned MRR",'3. Revenue Model'!$B:$B,0),MATCH(Y$3,'3. Revenue Model'!$D$2:$AA$2,0))</f>
        <v>4445.5254631507514</v>
      </c>
      <c r="Z23" s="248">
        <f>INDEX('3. Revenue Model'!$D:$AA,MATCH("Churned MRR",'3. Revenue Model'!$B:$B,0),MATCH(Z$3,'3. Revenue Model'!$D$2:$AA$2,0))</f>
        <v>4790.8883570642392</v>
      </c>
      <c r="AA23" s="248">
        <f>INDEX('3. Revenue Model'!$D:$AA,MATCH("Churned MRR",'3. Revenue Model'!$B:$B,0),MATCH(AA$3,'3. Revenue Model'!$D$2:$AA$2,0))</f>
        <v>5168.4015277003136</v>
      </c>
    </row>
    <row r="24" spans="1:27" s="207" customFormat="1" ht="13.2">
      <c r="A24" s="244" t="s">
        <v>759</v>
      </c>
      <c r="B24" s="244" t="s">
        <v>805</v>
      </c>
      <c r="C24" s="244" t="s">
        <v>64</v>
      </c>
      <c r="D24" s="248">
        <f>D20+INDEX('3. Revenue Model'!$D:$AA,MATCH("Free Conversion MRR",'3. Revenue Model'!$B:$B,0),MATCH(D$3,'3. Revenue Model'!$D$2:$AA$2,0))+D21-D22-D23</f>
        <v>2943.3</v>
      </c>
      <c r="E24" s="248">
        <f>E20+INDEX('3. Revenue Model'!$D:$AA,MATCH("Free Conversion MRR",'3. Revenue Model'!$B:$B,0),MATCH(E$3,'3. Revenue Model'!$D$2:$AA$2,0))+E21-E22-E23</f>
        <v>1666.0710276829509</v>
      </c>
      <c r="F24" s="248">
        <f>F20+INDEX('3. Revenue Model'!$D:$AA,MATCH("Free Conversion MRR",'3. Revenue Model'!$B:$B,0),MATCH(F$3,'3. Revenue Model'!$D$2:$AA$2,0))+F21-F22-F23</f>
        <v>1712.3931685008372</v>
      </c>
      <c r="G24" s="248">
        <f>G20+INDEX('3. Revenue Model'!$D:$AA,MATCH("Free Conversion MRR",'3. Revenue Model'!$B:$B,0),MATCH(G$3,'3. Revenue Model'!$D$2:$AA$2,0))+G21-G22-G23</f>
        <v>1794.9253845390006</v>
      </c>
      <c r="H24" s="248">
        <f>H20+INDEX('3. Revenue Model'!$D:$AA,MATCH("Free Conversion MRR",'3. Revenue Model'!$B:$B,0),MATCH(H$3,'3. Revenue Model'!$D$2:$AA$2,0))+H21-H22-H23</f>
        <v>1909.8898496319848</v>
      </c>
      <c r="I24" s="248">
        <f>I20+INDEX('3. Revenue Model'!$D:$AA,MATCH("Free Conversion MRR",'3. Revenue Model'!$B:$B,0),MATCH(I$3,'3. Revenue Model'!$D$2:$AA$2,0))+I21-I22-I23</f>
        <v>2653.7068965859216</v>
      </c>
      <c r="J24" s="248">
        <f>J20+INDEX('3. Revenue Model'!$D:$AA,MATCH("Free Conversion MRR",'3. Revenue Model'!$B:$B,0),MATCH(J$3,'3. Revenue Model'!$D$2:$AA$2,0))+J21-J22-J23</f>
        <v>2854.6495427776122</v>
      </c>
      <c r="K24" s="248">
        <f>K20+INDEX('3. Revenue Model'!$D:$AA,MATCH("Free Conversion MRR",'3. Revenue Model'!$B:$B,0),MATCH(K$3,'3. Revenue Model'!$D$2:$AA$2,0))+K21-K22-K23</f>
        <v>3085.2229392295626</v>
      </c>
      <c r="L24" s="248">
        <f>L20+INDEX('3. Revenue Model'!$D:$AA,MATCH("Free Conversion MRR",'3. Revenue Model'!$B:$B,0),MATCH(L$3,'3. Revenue Model'!$D$2:$AA$2,0))+L21-L22-L23</f>
        <v>3345.4277341865882</v>
      </c>
      <c r="M24" s="248">
        <f>M20+INDEX('3. Revenue Model'!$D:$AA,MATCH("Free Conversion MRR",'3. Revenue Model'!$B:$B,0),MATCH(M$3,'3. Revenue Model'!$D$2:$AA$2,0))+M21-M22-M23</f>
        <v>3635.8396798493304</v>
      </c>
      <c r="N24" s="248">
        <f>N20+INDEX('3. Revenue Model'!$D:$AA,MATCH("Free Conversion MRR",'3. Revenue Model'!$B:$B,0),MATCH(N$3,'3. Revenue Model'!$D$2:$AA$2,0))+N21-N22-N23</f>
        <v>3957.537390353787</v>
      </c>
      <c r="O24" s="248">
        <f>O20+INDEX('3. Revenue Model'!$D:$AA,MATCH("Free Conversion MRR",'3. Revenue Model'!$B:$B,0),MATCH(O$3,'3. Revenue Model'!$D$2:$AA$2,0))+O21-O22-O23</f>
        <v>4312.0510390812733</v>
      </c>
      <c r="P24" s="248">
        <f>P20+INDEX('3. Revenue Model'!$D:$AA,MATCH("Free Conversion MRR",'3. Revenue Model'!$B:$B,0),MATCH(P$3,'3. Revenue Model'!$D$2:$AA$2,0))+P21-P22-P23</f>
        <v>4701.3278764895085</v>
      </c>
      <c r="Q24" s="248">
        <f>Q20+INDEX('3. Revenue Model'!$D:$AA,MATCH("Free Conversion MRR",'3. Revenue Model'!$B:$B,0),MATCH(Q$3,'3. Revenue Model'!$D$2:$AA$2,0))+Q21-Q22-Q23</f>
        <v>5127.7114027883863</v>
      </c>
      <c r="R24" s="248">
        <f>R20+INDEX('3. Revenue Model'!$D:$AA,MATCH("Free Conversion MRR",'3. Revenue Model'!$B:$B,0),MATCH(R$3,'3. Revenue Model'!$D$2:$AA$2,0))+R21-R22-R23</f>
        <v>5593.931777839287</v>
      </c>
      <c r="S24" s="248">
        <f>S20+INDEX('3. Revenue Model'!$D:$AA,MATCH("Free Conversion MRR",'3. Revenue Model'!$B:$B,0),MATCH(S$3,'3. Revenue Model'!$D$2:$AA$2,0))+S21-S22-S23</f>
        <v>6103.1056392042547</v>
      </c>
      <c r="T24" s="248">
        <f>T20+INDEX('3. Revenue Model'!$D:$AA,MATCH("Free Conversion MRR",'3. Revenue Model'!$B:$B,0),MATCH(T$3,'3. Revenue Model'!$D$2:$AA$2,0))+T21-T22-T23</f>
        <v>6658.7439639004751</v>
      </c>
      <c r="U24" s="248">
        <f>U20+INDEX('3. Revenue Model'!$D:$AA,MATCH("Free Conversion MRR",'3. Revenue Model'!$B:$B,0),MATCH(U$3,'3. Revenue Model'!$D$2:$AA$2,0))+U21-U22-U23</f>
        <v>7264.7669779348471</v>
      </c>
      <c r="V24" s="248">
        <f>V20+INDEX('3. Revenue Model'!$D:$AA,MATCH("Free Conversion MRR",'3. Revenue Model'!$B:$B,0),MATCH(V$3,'3. Revenue Model'!$D$2:$AA$2,0))+V21-V22-V23</f>
        <v>7925.5254118485436</v>
      </c>
      <c r="W24" s="248">
        <f>W20+INDEX('3. Revenue Model'!$D:$AA,MATCH("Free Conversion MRR",'3. Revenue Model'!$B:$B,0),MATCH(W$3,'3. Revenue Model'!$D$2:$AA$2,0))+W21-W22-W23</f>
        <v>8645.8276373125991</v>
      </c>
      <c r="X24" s="248">
        <f>X20+INDEX('3. Revenue Model'!$D:$AA,MATCH("Free Conversion MRR",'3. Revenue Model'!$B:$B,0),MATCH(X$3,'3. Revenue Model'!$D$2:$AA$2,0))+X21-X22-X23</f>
        <v>9430.972412624571</v>
      </c>
      <c r="Y24" s="248">
        <f>Y20+INDEX('3. Revenue Model'!$D:$AA,MATCH("Free Conversion MRR",'3. Revenue Model'!$B:$B,0),MATCH(Y$3,'3. Revenue Model'!$D$2:$AA$2,0))+Y21-Y22-Y23</f>
        <v>10286.787124241637</v>
      </c>
      <c r="Z24" s="248">
        <f>Z20+INDEX('3. Revenue Model'!$D:$AA,MATCH("Free Conversion MRR",'3. Revenue Model'!$B:$B,0),MATCH(Z$3,'3. Revenue Model'!$D$2:$AA$2,0))+Z21-Z22-Z23</f>
        <v>11219.671545498706</v>
      </c>
      <c r="AA24" s="248">
        <f>AA20+INDEX('3. Revenue Model'!$D:$AA,MATCH("Free Conversion MRR",'3. Revenue Model'!$B:$B,0),MATCH(AA$3,'3. Revenue Model'!$D$2:$AA$2,0))+AA21-AA22-AA23</f>
        <v>12236.647248925707</v>
      </c>
    </row>
    <row r="25" spans="1:27" s="207" customFormat="1" ht="13.2">
      <c r="A25" s="244" t="s">
        <v>759</v>
      </c>
      <c r="B25" s="244" t="s">
        <v>6</v>
      </c>
      <c r="C25" s="244" t="s">
        <v>64</v>
      </c>
      <c r="D25" s="154">
        <f>INDEX('3. Revenue Model'!$D:$AA,MATCH("Ending Subscription MRR (Bridge)",'3. Revenue Model'!$B:$B,0),MATCH(D$3,'3. Revenue Model'!$D$2:$AA$2,0))</f>
        <v>44463.3</v>
      </c>
      <c r="E25" s="154">
        <f>INDEX('3. Revenue Model'!$D:$AA,MATCH("Ending Subscription MRR (Bridge)",'3. Revenue Model'!$B:$B,0),MATCH(E$3,'3. Revenue Model'!$D$2:$AA$2,0))</f>
        <v>46129.371027682959</v>
      </c>
      <c r="F25" s="154">
        <f>INDEX('3. Revenue Model'!$D:$AA,MATCH("Ending Subscription MRR (Bridge)",'3. Revenue Model'!$B:$B,0),MATCH(F$3,'3. Revenue Model'!$D$2:$AA$2,0))</f>
        <v>47841.764196183802</v>
      </c>
      <c r="G25" s="154">
        <f>INDEX('3. Revenue Model'!$D:$AA,MATCH("Ending Subscription MRR (Bridge)",'3. Revenue Model'!$B:$B,0),MATCH(G$3,'3. Revenue Model'!$D$2:$AA$2,0))</f>
        <v>49636.689580722807</v>
      </c>
      <c r="H25" s="154">
        <f>INDEX('3. Revenue Model'!$D:$AA,MATCH("Ending Subscription MRR (Bridge)",'3. Revenue Model'!$B:$B,0),MATCH(H$3,'3. Revenue Model'!$D$2:$AA$2,0))</f>
        <v>51546.579430354781</v>
      </c>
      <c r="I25" s="154">
        <f>INDEX('3. Revenue Model'!$D:$AA,MATCH("Ending Subscription MRR (Bridge)",'3. Revenue Model'!$B:$B,0),MATCH(I$3,'3. Revenue Model'!$D$2:$AA$2,0))</f>
        <v>54200.286326940695</v>
      </c>
      <c r="J25" s="154">
        <f>INDEX('3. Revenue Model'!$D:$AA,MATCH("Ending Subscription MRR (Bridge)",'3. Revenue Model'!$B:$B,0),MATCH(J$3,'3. Revenue Model'!$D$2:$AA$2,0))</f>
        <v>57054.935869718305</v>
      </c>
      <c r="K25" s="154">
        <f>INDEX('3. Revenue Model'!$D:$AA,MATCH("Ending Subscription MRR (Bridge)",'3. Revenue Model'!$B:$B,0),MATCH(K$3,'3. Revenue Model'!$D$2:$AA$2,0))</f>
        <v>60140.158808947868</v>
      </c>
      <c r="L25" s="154">
        <f>INDEX('3. Revenue Model'!$D:$AA,MATCH("Ending Subscription MRR (Bridge)",'3. Revenue Model'!$B:$B,0),MATCH(L$3,'3. Revenue Model'!$D$2:$AA$2,0))</f>
        <v>63485.58654313445</v>
      </c>
      <c r="M25" s="154">
        <f>INDEX('3. Revenue Model'!$D:$AA,MATCH("Ending Subscription MRR (Bridge)",'3. Revenue Model'!$B:$B,0),MATCH(M$3,'3. Revenue Model'!$D$2:$AA$2,0))</f>
        <v>67121.426222983791</v>
      </c>
      <c r="N25" s="154">
        <f>INDEX('3. Revenue Model'!$D:$AA,MATCH("Ending Subscription MRR (Bridge)",'3. Revenue Model'!$B:$B,0),MATCH(N$3,'3. Revenue Model'!$D$2:$AA$2,0))</f>
        <v>71078.963613337575</v>
      </c>
      <c r="O25" s="154">
        <f>INDEX('3. Revenue Model'!$D:$AA,MATCH("Ending Subscription MRR (Bridge)",'3. Revenue Model'!$B:$B,0),MATCH(O$3,'3. Revenue Model'!$D$2:$AA$2,0))</f>
        <v>75391.014652418846</v>
      </c>
      <c r="P25" s="154">
        <f>INDEX('3. Revenue Model'!$D:$AA,MATCH("Ending Subscription MRR (Bridge)",'3. Revenue Model'!$B:$B,0),MATCH(P$3,'3. Revenue Model'!$D$2:$AA$2,0))</f>
        <v>80092.342528908368</v>
      </c>
      <c r="Q25" s="154">
        <f>INDEX('3. Revenue Model'!$D:$AA,MATCH("Ending Subscription MRR (Bridge)",'3. Revenue Model'!$B:$B,0),MATCH(Q$3,'3. Revenue Model'!$D$2:$AA$2,0))</f>
        <v>85220.053931696733</v>
      </c>
      <c r="R25" s="154">
        <f>INDEX('3. Revenue Model'!$D:$AA,MATCH("Ending Subscription MRR (Bridge)",'3. Revenue Model'!$B:$B,0),MATCH(R$3,'3. Revenue Model'!$D$2:$AA$2,0))</f>
        <v>90813.985709536006</v>
      </c>
      <c r="S25" s="154">
        <f>INDEX('3. Revenue Model'!$D:$AA,MATCH("Ending Subscription MRR (Bridge)",'3. Revenue Model'!$B:$B,0),MATCH(S$3,'3. Revenue Model'!$D$2:$AA$2,0))</f>
        <v>96917.091348740258</v>
      </c>
      <c r="T25" s="154">
        <f>INDEX('3. Revenue Model'!$D:$AA,MATCH("Ending Subscription MRR (Bridge)",'3. Revenue Model'!$B:$B,0),MATCH(T$3,'3. Revenue Model'!$D$2:$AA$2,0))</f>
        <v>103575.83531264073</v>
      </c>
      <c r="U25" s="154">
        <f>INDEX('3. Revenue Model'!$D:$AA,MATCH("Ending Subscription MRR (Bridge)",'3. Revenue Model'!$B:$B,0),MATCH(U$3,'3. Revenue Model'!$D$2:$AA$2,0))</f>
        <v>110840.60229057558</v>
      </c>
      <c r="V25" s="154">
        <f>INDEX('3. Revenue Model'!$D:$AA,MATCH("Ending Subscription MRR (Bridge)",'3. Revenue Model'!$B:$B,0),MATCH(V$3,'3. Revenue Model'!$D$2:$AA$2,0))</f>
        <v>118766.12770242413</v>
      </c>
      <c r="W25" s="154">
        <f>INDEX('3. Revenue Model'!$D:$AA,MATCH("Ending Subscription MRR (Bridge)",'3. Revenue Model'!$B:$B,0),MATCH(W$3,'3. Revenue Model'!$D$2:$AA$2,0))</f>
        <v>127411.95533973671</v>
      </c>
      <c r="X25" s="154">
        <f>INDEX('3. Revenue Model'!$D:$AA,MATCH("Ending Subscription MRR (Bridge)",'3. Revenue Model'!$B:$B,0),MATCH(X$3,'3. Revenue Model'!$D$2:$AA$2,0))</f>
        <v>136842.92775236128</v>
      </c>
      <c r="Y25" s="154">
        <f>INDEX('3. Revenue Model'!$D:$AA,MATCH("Ending Subscription MRR (Bridge)",'3. Revenue Model'!$B:$B,0),MATCH(Y$3,'3. Revenue Model'!$D$2:$AA$2,0))</f>
        <v>147129.71487660293</v>
      </c>
      <c r="Z25" s="154">
        <f>INDEX('3. Revenue Model'!$D:$AA,MATCH("Ending Subscription MRR (Bridge)",'3. Revenue Model'!$B:$B,0),MATCH(Z$3,'3. Revenue Model'!$D$2:$AA$2,0))</f>
        <v>158349.38642210164</v>
      </c>
      <c r="AA25" s="154">
        <f>INDEX('3. Revenue Model'!$D:$AA,MATCH("Ending Subscription MRR (Bridge)",'3. Revenue Model'!$B:$B,0),MATCH(AA$3,'3. Revenue Model'!$D$2:$AA$2,0))</f>
        <v>170586.03367102737</v>
      </c>
    </row>
    <row r="26" spans="1:27" s="207" customFormat="1" ht="13.2">
      <c r="A26" s="244" t="s">
        <v>759</v>
      </c>
      <c r="B26" s="244" t="s">
        <v>1014</v>
      </c>
      <c r="C26" s="244" t="s">
        <v>785</v>
      </c>
      <c r="D26" s="245" t="str">
        <f>IF(ROUND(D25-(D19+D24),0)=0,"OK","Check")</f>
        <v>OK</v>
      </c>
      <c r="E26" s="245" t="str">
        <f t="shared" ref="E26:AA26" si="0">IF(ROUND(E25-(E19+E24),0)=0,"OK","Check")</f>
        <v>OK</v>
      </c>
      <c r="F26" s="245" t="str">
        <f t="shared" si="0"/>
        <v>OK</v>
      </c>
      <c r="G26" s="245" t="str">
        <f t="shared" si="0"/>
        <v>OK</v>
      </c>
      <c r="H26" s="245" t="str">
        <f t="shared" si="0"/>
        <v>OK</v>
      </c>
      <c r="I26" s="245" t="str">
        <f t="shared" si="0"/>
        <v>OK</v>
      </c>
      <c r="J26" s="245" t="str">
        <f t="shared" si="0"/>
        <v>OK</v>
      </c>
      <c r="K26" s="245" t="str">
        <f t="shared" si="0"/>
        <v>OK</v>
      </c>
      <c r="L26" s="245" t="str">
        <f t="shared" si="0"/>
        <v>OK</v>
      </c>
      <c r="M26" s="245" t="str">
        <f t="shared" si="0"/>
        <v>OK</v>
      </c>
      <c r="N26" s="245" t="str">
        <f t="shared" si="0"/>
        <v>OK</v>
      </c>
      <c r="O26" s="245" t="str">
        <f t="shared" si="0"/>
        <v>OK</v>
      </c>
      <c r="P26" s="245" t="str">
        <f t="shared" si="0"/>
        <v>OK</v>
      </c>
      <c r="Q26" s="245" t="str">
        <f t="shared" si="0"/>
        <v>OK</v>
      </c>
      <c r="R26" s="245" t="str">
        <f t="shared" si="0"/>
        <v>OK</v>
      </c>
      <c r="S26" s="245" t="str">
        <f t="shared" si="0"/>
        <v>OK</v>
      </c>
      <c r="T26" s="245" t="str">
        <f t="shared" si="0"/>
        <v>OK</v>
      </c>
      <c r="U26" s="245" t="str">
        <f t="shared" si="0"/>
        <v>OK</v>
      </c>
      <c r="V26" s="245" t="str">
        <f t="shared" si="0"/>
        <v>OK</v>
      </c>
      <c r="W26" s="245" t="str">
        <f t="shared" si="0"/>
        <v>OK</v>
      </c>
      <c r="X26" s="245" t="str">
        <f t="shared" si="0"/>
        <v>OK</v>
      </c>
      <c r="Y26" s="245" t="str">
        <f t="shared" si="0"/>
        <v>OK</v>
      </c>
      <c r="Z26" s="245" t="str">
        <f t="shared" si="0"/>
        <v>OK</v>
      </c>
      <c r="AA26" s="245" t="str">
        <f t="shared" si="0"/>
        <v>OK</v>
      </c>
    </row>
    <row r="27" spans="1:27" s="207" customFormat="1" ht="13.2">
      <c r="A27" s="244"/>
      <c r="B27" s="244"/>
      <c r="C27" s="244"/>
    </row>
    <row r="28" spans="1:27" s="207" customFormat="1" ht="13.2">
      <c r="A28" s="242" t="s">
        <v>1015</v>
      </c>
      <c r="B28" s="243"/>
      <c r="C28" s="242"/>
      <c r="D28" s="242"/>
      <c r="E28" s="242"/>
      <c r="F28" s="242"/>
      <c r="G28" s="242"/>
      <c r="H28" s="242"/>
      <c r="I28" s="242"/>
      <c r="J28" s="242"/>
      <c r="K28" s="242"/>
      <c r="L28" s="242"/>
      <c r="M28" s="242"/>
      <c r="N28" s="242"/>
      <c r="O28" s="242"/>
      <c r="P28" s="242"/>
      <c r="Q28" s="242"/>
      <c r="R28" s="242"/>
      <c r="S28" s="242"/>
      <c r="T28" s="242"/>
      <c r="U28" s="242"/>
      <c r="V28" s="242"/>
      <c r="W28" s="242"/>
      <c r="X28" s="242"/>
      <c r="Y28" s="242"/>
      <c r="Z28" s="242"/>
      <c r="AA28" s="242"/>
    </row>
    <row r="29" spans="1:27" s="207" customFormat="1" ht="13.2">
      <c r="A29" s="244" t="s">
        <v>9</v>
      </c>
      <c r="B29" s="244" t="s">
        <v>1016</v>
      </c>
      <c r="C29" s="244" t="s">
        <v>64</v>
      </c>
      <c r="D29" s="152">
        <f>INDEX('5. COGS '!$D:$AA,MATCH("AI Compute COGS",'5. COGS '!$B:$B,0),MATCH('7. P&amp;L + cash'!D$3,'5. COGS '!$D$3:$AA$3,0))</f>
        <v>0</v>
      </c>
      <c r="E29" s="152">
        <f>INDEX('5. COGS '!$D:$AA,MATCH("AI Compute COGS",'5. COGS '!$B:$B,0),MATCH('7. P&amp;L + cash'!E$3,'5. COGS '!$D$3:$AA$3,0))</f>
        <v>0</v>
      </c>
      <c r="F29" s="152">
        <f>INDEX('5. COGS '!$D:$AA,MATCH("AI Compute COGS",'5. COGS '!$B:$B,0),MATCH('7. P&amp;L + cash'!F$3,'5. COGS '!$D$3:$AA$3,0))</f>
        <v>0</v>
      </c>
      <c r="G29" s="152">
        <f>INDEX('5. COGS '!$D:$AA,MATCH("AI Compute COGS",'5. COGS '!$B:$B,0),MATCH('7. P&amp;L + cash'!G$3,'5. COGS '!$D$3:$AA$3,0))</f>
        <v>0</v>
      </c>
      <c r="H29" s="152">
        <f>INDEX('5. COGS '!$D:$AA,MATCH("AI Compute COGS",'5. COGS '!$B:$B,0),MATCH('7. P&amp;L + cash'!H$3,'5. COGS '!$D$3:$AA$3,0))</f>
        <v>0</v>
      </c>
      <c r="I29" s="152">
        <f>INDEX('5. COGS '!$D:$AA,MATCH("AI Compute COGS",'5. COGS '!$B:$B,0),MATCH('7. P&amp;L + cash'!I$3,'5. COGS '!$D$3:$AA$3,0))</f>
        <v>0</v>
      </c>
      <c r="J29" s="152">
        <f>INDEX('5. COGS '!$D:$AA,MATCH("AI Compute COGS",'5. COGS '!$B:$B,0),MATCH('7. P&amp;L + cash'!J$3,'5. COGS '!$D$3:$AA$3,0))</f>
        <v>0</v>
      </c>
      <c r="K29" s="152">
        <f>INDEX('5. COGS '!$D:$AA,MATCH("AI Compute COGS",'5. COGS '!$B:$B,0),MATCH('7. P&amp;L + cash'!K$3,'5. COGS '!$D$3:$AA$3,0))</f>
        <v>0</v>
      </c>
      <c r="L29" s="152">
        <f>INDEX('5. COGS '!$D:$AA,MATCH("AI Compute COGS",'5. COGS '!$B:$B,0),MATCH('7. P&amp;L + cash'!L$3,'5. COGS '!$D$3:$AA$3,0))</f>
        <v>0</v>
      </c>
      <c r="M29" s="248">
        <f>INDEX('5. COGS '!$D:$AA,MATCH("AI Compute COGS",'5. COGS '!$B:$B,0),MATCH('7. P&amp;L + cash'!M$3,'5. COGS '!$D$3:$AA$3,0))</f>
        <v>85.000815614932222</v>
      </c>
      <c r="N29" s="248">
        <f>INDEX('5. COGS '!$D:$AA,MATCH("AI Compute COGS",'5. COGS '!$B:$B,0),MATCH('7. P&amp;L + cash'!N$3,'5. COGS '!$D$3:$AA$3,0))</f>
        <v>177.69596305884025</v>
      </c>
      <c r="O29" s="248">
        <f>INDEX('5. COGS '!$D:$AA,MATCH("AI Compute COGS",'5. COGS '!$B:$B,0),MATCH('7. P&amp;L + cash'!O$3,'5. COGS '!$D$3:$AA$3,0))</f>
        <v>279.15907078901699</v>
      </c>
      <c r="P29" s="248">
        <f>INDEX('5. COGS '!$D:$AA,MATCH("AI Compute COGS",'5. COGS '!$B:$B,0),MATCH('7. P&amp;L + cash'!P$3,'5. COGS '!$D$3:$AA$3,0))</f>
        <v>390.57893515145867</v>
      </c>
      <c r="Q29" s="248">
        <f>INDEX('5. COGS '!$D:$AA,MATCH("AI Compute COGS",'5. COGS '!$B:$B,0),MATCH('7. P&amp;L + cash'!Q$3,'5. COGS '!$D$3:$AA$3,0))</f>
        <v>513.25999813661963</v>
      </c>
      <c r="R29" s="248">
        <f>INDEX('5. COGS '!$D:$AA,MATCH("AI Compute COGS",'5. COGS '!$B:$B,0),MATCH('7. P&amp;L + cash'!R$3,'5. COGS '!$D$3:$AA$3,0))</f>
        <v>648.62553974895513</v>
      </c>
      <c r="S29" s="248">
        <f>INDEX('5. COGS '!$D:$AA,MATCH("AI Compute COGS",'5. COGS '!$B:$B,0),MATCH('7. P&amp;L + cash'!S$3,'5. COGS '!$D$3:$AA$3,0))</f>
        <v>798.22300509501156</v>
      </c>
      <c r="T29" s="248">
        <f>INDEX('5. COGS '!$D:$AA,MATCH("AI Compute COGS",'5. COGS '!$B:$B,0),MATCH('7. P&amp;L + cash'!T$3,'5. COGS '!$D$3:$AA$3,0))</f>
        <v>963.73103906026984</v>
      </c>
      <c r="U29" s="248">
        <f>INDEX('5. COGS '!$D:$AA,MATCH("AI Compute COGS",'5. COGS '!$B:$B,0),MATCH('7. P&amp;L + cash'!U$3,'5. COGS '!$D$3:$AA$3,0))</f>
        <v>1146.9679132251499</v>
      </c>
      <c r="V29" s="248">
        <f>INDEX('5. COGS '!$D:$AA,MATCH("AI Compute COGS",'5. COGS '!$B:$B,0),MATCH('7. P&amp;L + cash'!V$3,'5. COGS '!$D$3:$AA$3,0))</f>
        <v>1349.9011104552455</v>
      </c>
      <c r="W29" s="248">
        <f>INDEX('5. COGS '!$D:$AA,MATCH("AI Compute COGS",'5. COGS '!$B:$B,0),MATCH('7. P&amp;L + cash'!W$3,'5. COGS '!$D$3:$AA$3,0))</f>
        <v>1574.6578898150474</v>
      </c>
      <c r="X29" s="248">
        <f>INDEX('5. COGS '!$D:$AA,MATCH("AI Compute COGS",'5. COGS '!$B:$B,0),MATCH('7. P&amp;L + cash'!X$3,'5. COGS '!$D$3:$AA$3,0))</f>
        <v>1823.5366935853574</v>
      </c>
      <c r="Y29" s="248">
        <f>INDEX('5. COGS '!$D:$AA,MATCH("AI Compute COGS",'5. COGS '!$B:$B,0),MATCH('7. P&amp;L + cash'!Y$3,'5. COGS '!$D$3:$AA$3,0))</f>
        <v>2099.019283232858</v>
      </c>
      <c r="Z29" s="248">
        <f>INDEX('5. COGS '!$D:$AA,MATCH("AI Compute COGS",'5. COGS '!$B:$B,0),MATCH('7. P&amp;L + cash'!Z$3,'5. COGS '!$D$3:$AA$3,0))</f>
        <v>2403.7835050934113</v>
      </c>
      <c r="AA29" s="248">
        <f>INDEX('5. COGS '!$D:$AA,MATCH("AI Compute COGS",'5. COGS '!$B:$B,0),MATCH('7. P&amp;L + cash'!AA$3,'5. COGS '!$D$3:$AA$3,0))</f>
        <v>2740.7165913478611</v>
      </c>
    </row>
    <row r="30" spans="1:27" s="207" customFormat="1" ht="13.2">
      <c r="A30" s="244" t="s">
        <v>9</v>
      </c>
      <c r="B30" s="244" t="s">
        <v>892</v>
      </c>
      <c r="C30" s="244" t="s">
        <v>64</v>
      </c>
      <c r="D30" s="248">
        <f>INDEX('5. COGS '!$D:$AA,MATCH("Cloud Hosting COGS",'5. COGS '!$B:$B,0),MATCH('7. P&amp;L + cash'!D$3,'5. COGS '!$D$3:$AA$3,0))</f>
        <v>5144</v>
      </c>
      <c r="E30" s="248">
        <f>INDEX('5. COGS '!$D:$AA,MATCH("Cloud Hosting COGS",'5. COGS '!$B:$B,0),MATCH('7. P&amp;L + cash'!E$3,'5. COGS '!$D$3:$AA$3,0))</f>
        <v>5300.5711797430686</v>
      </c>
      <c r="F30" s="248">
        <f>INDEX('5. COGS '!$D:$AA,MATCH("Cloud Hosting COGS",'5. COGS '!$B:$B,0),MATCH('7. P&amp;L + cash'!F$3,'5. COGS '!$D$3:$AA$3,0))</f>
        <v>5457.7088945659661</v>
      </c>
      <c r="G30" s="248">
        <f>INDEX('5. COGS '!$D:$AA,MATCH("Cloud Hosting COGS",'5. COGS '!$B:$B,0),MATCH('7. P&amp;L + cash'!G$3,'5. COGS '!$D$3:$AA$3,0))</f>
        <v>5619.8559326174409</v>
      </c>
      <c r="H30" s="248">
        <f>INDEX('5. COGS '!$D:$AA,MATCH("Cloud Hosting COGS",'5. COGS '!$B:$B,0),MATCH('7. P&amp;L + cash'!H$3,'5. COGS '!$D$3:$AA$3,0))</f>
        <v>5790.8377390073119</v>
      </c>
      <c r="I30" s="248">
        <f>INDEX('5. COGS '!$D:$AA,MATCH("Cloud Hosting COGS",'5. COGS '!$B:$B,0),MATCH('7. P&amp;L + cash'!I$3,'5. COGS '!$D$3:$AA$3,0))</f>
        <v>5980.0351887856341</v>
      </c>
      <c r="J30" s="248">
        <f>INDEX('5. COGS '!$D:$AA,MATCH("Cloud Hosting COGS",'5. COGS '!$B:$B,0),MATCH('7. P&amp;L + cash'!J$3,'5. COGS '!$D$3:$AA$3,0))</f>
        <v>6184.8620046010701</v>
      </c>
      <c r="K30" s="248">
        <f>INDEX('5. COGS '!$D:$AA,MATCH("Cloud Hosting COGS",'5. COGS '!$B:$B,0),MATCH('7. P&amp;L + cash'!K$3,'5. COGS '!$D$3:$AA$3,0))</f>
        <v>6408.2224588151548</v>
      </c>
      <c r="L30" s="248">
        <f>INDEX('5. COGS '!$D:$AA,MATCH("Cloud Hosting COGS",'5. COGS '!$B:$B,0),MATCH('7. P&amp;L + cash'!L$3,'5. COGS '!$D$3:$AA$3,0))</f>
        <v>6652.9185449292045</v>
      </c>
      <c r="M30" s="248">
        <f>INDEX('5. COGS '!$D:$AA,MATCH("Cloud Hosting COGS",'5. COGS '!$B:$B,0),MATCH('7. P&amp;L + cash'!M$3,'5. COGS '!$D$3:$AA$3,0))</f>
        <v>6921.7255474939775</v>
      </c>
      <c r="N30" s="248">
        <f>INDEX('5. COGS '!$D:$AA,MATCH("Cloud Hosting COGS",'5. COGS '!$B:$B,0),MATCH('7. P&amp;L + cash'!N$3,'5. COGS '!$D$3:$AA$3,0))</f>
        <v>7217.4559366212661</v>
      </c>
      <c r="O30" s="248">
        <f>INDEX('5. COGS '!$D:$AA,MATCH("Cloud Hosting COGS",'5. COGS '!$B:$B,0),MATCH('7. P&amp;L + cash'!O$3,'5. COGS '!$D$3:$AA$3,0))</f>
        <v>7543.0146430049399</v>
      </c>
      <c r="P30" s="248">
        <f>INDEX('5. COGS '!$D:$AA,MATCH("Cloud Hosting COGS",'5. COGS '!$B:$B,0),MATCH('7. P&amp;L + cash'!P$3,'5. COGS '!$D$3:$AA$3,0))</f>
        <v>7901.448144259266</v>
      </c>
      <c r="Q30" s="248">
        <f>INDEX('5. COGS '!$D:$AA,MATCH("Cloud Hosting COGS",'5. COGS '!$B:$B,0),MATCH('7. P&amp;L + cash'!Q$3,'5. COGS '!$D$3:$AA$3,0))</f>
        <v>8295.9893104758703</v>
      </c>
      <c r="R30" s="248">
        <f>INDEX('5. COGS '!$D:$AA,MATCH("Cloud Hosting COGS",'5. COGS '!$B:$B,0),MATCH('7. P&amp;L + cash'!R$3,'5. COGS '!$D$3:$AA$3,0))</f>
        <v>8730.0995853650966</v>
      </c>
      <c r="S30" s="248">
        <f>INDEX('5. COGS '!$D:$AA,MATCH("Cloud Hosting COGS",'5. COGS '!$B:$B,0),MATCH('7. P&amp;L + cash'!S$3,'5. COGS '!$D$3:$AA$3,0))</f>
        <v>9207.509795187234</v>
      </c>
      <c r="T30" s="248">
        <f>INDEX('5. COGS '!$D:$AA,MATCH("Cloud Hosting COGS",'5. COGS '!$B:$B,0),MATCH('7. P&amp;L + cash'!T$3,'5. COGS '!$D$3:$AA$3,0))</f>
        <v>9732.2606622277453</v>
      </c>
      <c r="U30" s="248">
        <f>INDEX('5. COGS '!$D:$AA,MATCH("Cloud Hosting COGS",'5. COGS '!$B:$B,0),MATCH('7. P&amp;L + cash'!U$3,'5. COGS '!$D$3:$AA$3,0))</f>
        <v>10308.74393832392</v>
      </c>
      <c r="V30" s="248">
        <f>INDEX('5. COGS '!$D:$AA,MATCH("Cloud Hosting COGS",'5. COGS '!$B:$B,0),MATCH('7. P&amp;L + cash'!V$3,'5. COGS '!$D$3:$AA$3,0))</f>
        <v>10941.744955655548</v>
      </c>
      <c r="W30" s="248">
        <f>INDEX('5. COGS '!$D:$AA,MATCH("Cloud Hosting COGS",'5. COGS '!$B:$B,0),MATCH('7. P&amp;L + cash'!W$3,'5. COGS '!$D$3:$AA$3,0))</f>
        <v>11636.487307959047</v>
      </c>
      <c r="X30" s="248">
        <f>INDEX('5. COGS '!$D:$AA,MATCH("Cloud Hosting COGS",'5. COGS '!$B:$B,0),MATCH('7. P&amp;L + cash'!X$3,'5. COGS '!$D$3:$AA$3,0))</f>
        <v>12398.680318792532</v>
      </c>
      <c r="Y30" s="248">
        <f>INDEX('5. COGS '!$D:$AA,MATCH("Cloud Hosting COGS",'5. COGS '!$B:$B,0),MATCH('7. P&amp;L + cash'!Y$3,'5. COGS '!$D$3:$AA$3,0))</f>
        <v>13234.569919307087</v>
      </c>
      <c r="Z30" s="248">
        <f>INDEX('5. COGS '!$D:$AA,MATCH("Cloud Hosting COGS",'5. COGS '!$B:$B,0),MATCH('7. P&amp;L + cash'!Z$3,'5. COGS '!$D$3:$AA$3,0))</f>
        <v>14150.993542230433</v>
      </c>
      <c r="AA30" s="248">
        <f>INDEX('5. COGS '!$D:$AA,MATCH("Cloud Hosting COGS",'5. COGS '!$B:$B,0),MATCH('7. P&amp;L + cash'!AA$3,'5. COGS '!$D$3:$AA$3,0))</f>
        <v>15155.439638469732</v>
      </c>
    </row>
    <row r="31" spans="1:27" s="207" customFormat="1" ht="13.2">
      <c r="A31" s="244" t="s">
        <v>9</v>
      </c>
      <c r="B31" s="244" t="s">
        <v>902</v>
      </c>
      <c r="C31" s="244" t="s">
        <v>64</v>
      </c>
      <c r="D31" s="248">
        <f>INDEX('5. COGS '!$D:$AA,MATCH("Payment Processing COGS",'5. COGS '!$B:$B,0),MATCH('7. P&amp;L + cash'!D$3,'5. COGS '!$D$3:$AA$3,0))</f>
        <v>1293.6595500000001</v>
      </c>
      <c r="E31" s="248">
        <f>INDEX('5. COGS '!$D:$AA,MATCH("Payment Processing COGS",'5. COGS '!$B:$B,0),MATCH('7. P&amp;L + cash'!E$3,'5. COGS '!$D$3:$AA$3,0))</f>
        <v>1346.743437375</v>
      </c>
      <c r="F31" s="248">
        <f>INDEX('5. COGS '!$D:$AA,MATCH("Payment Processing COGS",'5. COGS '!$B:$B,0),MATCH('7. P&amp;L + cash'!F$3,'5. COGS '!$D$3:$AA$3,0))</f>
        <v>1401.5135509471877</v>
      </c>
      <c r="G31" s="248">
        <f>INDEX('5. COGS '!$D:$AA,MATCH("Payment Processing COGS",'5. COGS '!$B:$B,0),MATCH('7. P&amp;L + cash'!G$3,'5. COGS '!$D$3:$AA$3,0))</f>
        <v>1459.0118894961399</v>
      </c>
      <c r="H31" s="248">
        <f>INDEX('5. COGS '!$D:$AA,MATCH("Payment Processing COGS",'5. COGS '!$B:$B,0),MATCH('7. P&amp;L + cash'!H$3,'5. COGS '!$D$3:$AA$3,0))</f>
        <v>1520.1818117399359</v>
      </c>
      <c r="I31" s="248">
        <f>INDEX('5. COGS '!$D:$AA,MATCH("Payment Processing COGS",'5. COGS '!$B:$B,0),MATCH('7. P&amp;L + cash'!I$3,'5. COGS '!$D$3:$AA$3,0))</f>
        <v>1585.9009699685948</v>
      </c>
      <c r="J31" s="248">
        <f>INDEX('5. COGS '!$D:$AA,MATCH("Payment Processing COGS",'5. COGS '!$B:$B,0),MATCH('7. P&amp;L + cash'!J$3,'5. COGS '!$D$3:$AA$3,0))</f>
        <v>1657.0081145011184</v>
      </c>
      <c r="K31" s="248">
        <f>INDEX('5. COGS '!$D:$AA,MATCH("Payment Processing COGS",'5. COGS '!$B:$B,0),MATCH('7. P&amp;L + cash'!K$3,'5. COGS '!$D$3:$AA$3,0))</f>
        <v>1734.325219718768</v>
      </c>
      <c r="L31" s="248">
        <f>INDEX('5. COGS '!$D:$AA,MATCH("Payment Processing COGS",'5. COGS '!$B:$B,0),MATCH('7. P&amp;L + cash'!L$3,'5. COGS '!$D$3:$AA$3,0))</f>
        <v>1818.6760734149318</v>
      </c>
      <c r="M31" s="248">
        <f>INDEX('5. COGS '!$D:$AA,MATCH("Payment Processing COGS",'5. COGS '!$B:$B,0),MATCH('7. P&amp;L + cash'!M$3,'5. COGS '!$D$3:$AA$3,0))</f>
        <v>1910.9022311467095</v>
      </c>
      <c r="N31" s="248">
        <f>INDEX('5. COGS '!$D:$AA,MATCH("Payment Processing COGS",'5. COGS '!$B:$B,0),MATCH('7. P&amp;L + cash'!N$3,'5. COGS '!$D$3:$AA$3,0))</f>
        <v>2011.8770511013586</v>
      </c>
      <c r="O31" s="248">
        <f>INDEX('5. COGS '!$D:$AA,MATCH("Payment Processing COGS",'5. COGS '!$B:$B,0),MATCH('7. P&amp;L + cash'!O$3,'5. COGS '!$D$3:$AA$3,0))</f>
        <v>2122.5183809538476</v>
      </c>
      <c r="P31" s="248">
        <f>INDEX('5. COGS '!$D:$AA,MATCH("Payment Processing COGS",'5. COGS '!$B:$B,0),MATCH('7. P&amp;L + cash'!P$3,'5. COGS '!$D$3:$AA$3,0))</f>
        <v>2243.8003571369509</v>
      </c>
      <c r="Q31" s="248">
        <f>INDEX('5. COGS '!$D:$AA,MATCH("Payment Processing COGS",'5. COGS '!$B:$B,0),MATCH('7. P&amp;L + cash'!Q$3,'5. COGS '!$D$3:$AA$3,0))</f>
        <v>2376.7646917445977</v>
      </c>
      <c r="R31" s="248">
        <f>INDEX('5. COGS '!$D:$AA,MATCH("Payment Processing COGS",'5. COGS '!$B:$B,0),MATCH('7. P&amp;L + cash'!R$3,'5. COGS '!$D$3:$AA$3,0))</f>
        <v>2522.5317573954426</v>
      </c>
      <c r="S31" s="248">
        <f>INDEX('5. COGS '!$D:$AA,MATCH("Payment Processing COGS",'5. COGS '!$B:$B,0),MATCH('7. P&amp;L + cash'!S$3,'5. COGS '!$D$3:$AA$3,0))</f>
        <v>2682.3117314838942</v>
      </c>
      <c r="T31" s="248">
        <f>INDEX('5. COGS '!$D:$AA,MATCH("Payment Processing COGS",'5. COGS '!$B:$B,0),MATCH('7. P&amp;L + cash'!T$3,'5. COGS '!$D$3:$AA$3,0))</f>
        <v>2857.416024991323</v>
      </c>
      <c r="U31" s="248">
        <f>INDEX('5. COGS '!$D:$AA,MATCH("Payment Processing COGS",'5. COGS '!$B:$B,0),MATCH('7. P&amp;L + cash'!U$3,'5. COGS '!$D$3:$AA$3,0))</f>
        <v>3049.2691948255265</v>
      </c>
      <c r="V31" s="248">
        <f>INDEX('5. COGS '!$D:$AA,MATCH("Payment Processing COGS",'5. COGS '!$B:$B,0),MATCH('7. P&amp;L + cash'!V$3,'5. COGS '!$D$3:$AA$3,0))</f>
        <v>3259.4215204958587</v>
      </c>
      <c r="W31" s="248">
        <f>INDEX('5. COGS '!$D:$AA,MATCH("Payment Processing COGS",'5. COGS '!$B:$B,0),MATCH('7. P&amp;L + cash'!W$3,'5. COGS '!$D$3:$AA$3,0))</f>
        <v>3489.5624142703341</v>
      </c>
      <c r="X31" s="248">
        <f>INDEX('5. COGS '!$D:$AA,MATCH("Payment Processing COGS",'5. COGS '!$B:$B,0),MATCH('7. P&amp;L + cash'!X$3,'5. COGS '!$D$3:$AA$3,0))</f>
        <v>3741.5348276172444</v>
      </c>
      <c r="Y31" s="248">
        <f>INDEX('5. COGS '!$D:$AA,MATCH("Payment Processing COGS",'5. COGS '!$B:$B,0),MATCH('7. P&amp;L + cash'!Y$3,'5. COGS '!$D$3:$AA$3,0))</f>
        <v>4017.3508148095798</v>
      </c>
      <c r="Z31" s="248">
        <f>INDEX('5. COGS '!$D:$AA,MATCH("Payment Processing COGS",'5. COGS '!$B:$B,0),MATCH('7. P&amp;L + cash'!Z$3,'5. COGS '!$D$3:$AA$3,0))</f>
        <v>4319.2084163925729</v>
      </c>
      <c r="AA31" s="248">
        <f>INDEX('5. COGS '!$D:$AA,MATCH("Payment Processing COGS",'5. COGS '!$B:$B,0),MATCH('7. P&amp;L + cash'!AA$3,'5. COGS '!$D$3:$AA$3,0))</f>
        <v>4649.5100302874471</v>
      </c>
    </row>
    <row r="32" spans="1:27" s="207" customFormat="1" ht="13.2">
      <c r="A32" s="244" t="s">
        <v>9</v>
      </c>
      <c r="B32" s="244" t="s">
        <v>909</v>
      </c>
      <c r="C32" s="244" t="s">
        <v>64</v>
      </c>
      <c r="D32" s="248">
        <f>INDEX('5. COGS '!$D:$AA,MATCH("Support Tool COGS",'5. COGS '!$B:$B,0),MATCH('7. P&amp;L + cash'!D$3,'5. COGS '!$D$3:$AA$3,0))</f>
        <v>1572</v>
      </c>
      <c r="E32" s="248">
        <f>INDEX('5. COGS '!$D:$AA,MATCH("Support Tool COGS",'5. COGS '!$B:$B,0),MATCH('7. P&amp;L + cash'!E$3,'5. COGS '!$D$3:$AA$3,0))</f>
        <v>1650.2855898715341</v>
      </c>
      <c r="F32" s="248">
        <f>INDEX('5. COGS '!$D:$AA,MATCH("Support Tool COGS",'5. COGS '!$B:$B,0),MATCH('7. P&amp;L + cash'!F$3,'5. COGS '!$D$3:$AA$3,0))</f>
        <v>1728.8544472829831</v>
      </c>
      <c r="G32" s="248">
        <f>INDEX('5. COGS '!$D:$AA,MATCH("Support Tool COGS",'5. COGS '!$B:$B,0),MATCH('7. P&amp;L + cash'!G$3,'5. COGS '!$D$3:$AA$3,0))</f>
        <v>1809.9279663087204</v>
      </c>
      <c r="H32" s="248">
        <f>INDEX('5. COGS '!$D:$AA,MATCH("Support Tool COGS",'5. COGS '!$B:$B,0),MATCH('7. P&amp;L + cash'!H$3,'5. COGS '!$D$3:$AA$3,0))</f>
        <v>1895.418869503656</v>
      </c>
      <c r="I32" s="248">
        <f>INDEX('5. COGS '!$D:$AA,MATCH("Support Tool COGS",'5. COGS '!$B:$B,0),MATCH('7. P&amp;L + cash'!I$3,'5. COGS '!$D$3:$AA$3,0))</f>
        <v>1990.017594392817</v>
      </c>
      <c r="J32" s="248">
        <f>INDEX('5. COGS '!$D:$AA,MATCH("Support Tool COGS",'5. COGS '!$B:$B,0),MATCH('7. P&amp;L + cash'!J$3,'5. COGS '!$D$3:$AA$3,0))</f>
        <v>2092.4310023005351</v>
      </c>
      <c r="K32" s="248">
        <f>INDEX('5. COGS '!$D:$AA,MATCH("Support Tool COGS",'5. COGS '!$B:$B,0),MATCH('7. P&amp;L + cash'!K$3,'5. COGS '!$D$3:$AA$3,0))</f>
        <v>2204.1112294075774</v>
      </c>
      <c r="L32" s="248">
        <f>INDEX('5. COGS '!$D:$AA,MATCH("Support Tool COGS",'5. COGS '!$B:$B,0),MATCH('7. P&amp;L + cash'!L$3,'5. COGS '!$D$3:$AA$3,0))</f>
        <v>2326.4592724646022</v>
      </c>
      <c r="M32" s="248">
        <f>INDEX('5. COGS '!$D:$AA,MATCH("Support Tool COGS",'5. COGS '!$B:$B,0),MATCH('7. P&amp;L + cash'!M$3,'5. COGS '!$D$3:$AA$3,0))</f>
        <v>2460.8627737469888</v>
      </c>
      <c r="N32" s="248">
        <f>INDEX('5. COGS '!$D:$AA,MATCH("Support Tool COGS",'5. COGS '!$B:$B,0),MATCH('7. P&amp;L + cash'!N$3,'5. COGS '!$D$3:$AA$3,0))</f>
        <v>2608.7279683106331</v>
      </c>
      <c r="O32" s="248">
        <f>INDEX('5. COGS '!$D:$AA,MATCH("Support Tool COGS",'5. COGS '!$B:$B,0),MATCH('7. P&amp;L + cash'!O$3,'5. COGS '!$D$3:$AA$3,0))</f>
        <v>2771.5073215024699</v>
      </c>
      <c r="P32" s="248">
        <f>INDEX('5. COGS '!$D:$AA,MATCH("Support Tool COGS",'5. COGS '!$B:$B,0),MATCH('7. P&amp;L + cash'!P$3,'5. COGS '!$D$3:$AA$3,0))</f>
        <v>2950.724072129633</v>
      </c>
      <c r="Q32" s="248">
        <f>INDEX('5. COGS '!$D:$AA,MATCH("Support Tool COGS",'5. COGS '!$B:$B,0),MATCH('7. P&amp;L + cash'!Q$3,'5. COGS '!$D$3:$AA$3,0))</f>
        <v>3147.9946552379347</v>
      </c>
      <c r="R32" s="248">
        <f>INDEX('5. COGS '!$D:$AA,MATCH("Support Tool COGS",'5. COGS '!$B:$B,0),MATCH('7. P&amp;L + cash'!R$3,'5. COGS '!$D$3:$AA$3,0))</f>
        <v>3365.0497926825483</v>
      </c>
      <c r="S32" s="248">
        <f>INDEX('5. COGS '!$D:$AA,MATCH("Support Tool COGS",'5. COGS '!$B:$B,0),MATCH('7. P&amp;L + cash'!S$3,'5. COGS '!$D$3:$AA$3,0))</f>
        <v>3603.7548975936174</v>
      </c>
      <c r="T32" s="248">
        <f>INDEX('5. COGS '!$D:$AA,MATCH("Support Tool COGS",'5. COGS '!$B:$B,0),MATCH('7. P&amp;L + cash'!T$3,'5. COGS '!$D$3:$AA$3,0))</f>
        <v>3866.1303311138727</v>
      </c>
      <c r="U32" s="248">
        <f>INDEX('5. COGS '!$D:$AA,MATCH("Support Tool COGS",'5. COGS '!$B:$B,0),MATCH('7. P&amp;L + cash'!U$3,'5. COGS '!$D$3:$AA$3,0))</f>
        <v>4154.3719691619599</v>
      </c>
      <c r="V32" s="248">
        <f>INDEX('5. COGS '!$D:$AA,MATCH("Support Tool COGS",'5. COGS '!$B:$B,0),MATCH('7. P&amp;L + cash'!V$3,'5. COGS '!$D$3:$AA$3,0))</f>
        <v>4470.8724778277738</v>
      </c>
      <c r="W32" s="248">
        <f>INDEX('5. COGS '!$D:$AA,MATCH("Support Tool COGS",'5. COGS '!$B:$B,0),MATCH('7. P&amp;L + cash'!W$3,'5. COGS '!$D$3:$AA$3,0))</f>
        <v>4818.2436539795235</v>
      </c>
      <c r="X32" s="248">
        <f>INDEX('5. COGS '!$D:$AA,MATCH("Support Tool COGS",'5. COGS '!$B:$B,0),MATCH('7. P&amp;L + cash'!X$3,'5. COGS '!$D$3:$AA$3,0))</f>
        <v>5199.3401593962662</v>
      </c>
      <c r="Y32" s="248">
        <f>INDEX('5. COGS '!$D:$AA,MATCH("Support Tool COGS",'5. COGS '!$B:$B,0),MATCH('7. P&amp;L + cash'!Y$3,'5. COGS '!$D$3:$AA$3,0))</f>
        <v>5617.2849596535434</v>
      </c>
      <c r="Z32" s="248">
        <f>INDEX('5. COGS '!$D:$AA,MATCH("Support Tool COGS",'5. COGS '!$B:$B,0),MATCH('7. P&amp;L + cash'!Z$3,'5. COGS '!$D$3:$AA$3,0))</f>
        <v>6075.4967711152167</v>
      </c>
      <c r="AA32" s="248">
        <f>INDEX('5. COGS '!$D:$AA,MATCH("Support Tool COGS",'5. COGS '!$B:$B,0),MATCH('7. P&amp;L + cash'!AA$3,'5. COGS '!$D$3:$AA$3,0))</f>
        <v>6577.719819234866</v>
      </c>
    </row>
    <row r="33" spans="1:27" s="207" customFormat="1" ht="13.2">
      <c r="A33" s="244" t="s">
        <v>9</v>
      </c>
      <c r="B33" s="244" t="s">
        <v>1017</v>
      </c>
      <c r="C33" s="244" t="s">
        <v>64</v>
      </c>
      <c r="D33" s="152">
        <f>INDEX('5. COGS '!$D:$AA,MATCH("Customer Success Payroll COGS",'5. COGS '!$B:$B,0),MATCH('7. P&amp;L + cash'!D$3,'5. COGS '!$D$3:$AA$3,0))</f>
        <v>0</v>
      </c>
      <c r="E33" s="152">
        <f>INDEX('5. COGS '!$D:$AA,MATCH("Customer Success Payroll COGS",'5. COGS '!$B:$B,0),MATCH('7. P&amp;L + cash'!E$3,'5. COGS '!$D$3:$AA$3,0))</f>
        <v>0</v>
      </c>
      <c r="F33" s="152">
        <f>INDEX('5. COGS '!$D:$AA,MATCH("Customer Success Payroll COGS",'5. COGS '!$B:$B,0),MATCH('7. P&amp;L + cash'!F$3,'5. COGS '!$D$3:$AA$3,0))</f>
        <v>0</v>
      </c>
      <c r="G33" s="152">
        <f>INDEX('5. COGS '!$D:$AA,MATCH("Customer Success Payroll COGS",'5. COGS '!$B:$B,0),MATCH('7. P&amp;L + cash'!G$3,'5. COGS '!$D$3:$AA$3,0))</f>
        <v>0</v>
      </c>
      <c r="H33" s="152">
        <f>INDEX('5. COGS '!$D:$AA,MATCH("Customer Success Payroll COGS",'5. COGS '!$B:$B,0),MATCH('7. P&amp;L + cash'!H$3,'5. COGS '!$D$3:$AA$3,0))</f>
        <v>0</v>
      </c>
      <c r="I33" s="152">
        <f>INDEX('5. COGS '!$D:$AA,MATCH("Customer Success Payroll COGS",'5. COGS '!$B:$B,0),MATCH('7. P&amp;L + cash'!I$3,'5. COGS '!$D$3:$AA$3,0))</f>
        <v>0</v>
      </c>
      <c r="J33" s="152">
        <f>INDEX('5. COGS '!$D:$AA,MATCH("Customer Success Payroll COGS",'5. COGS '!$B:$B,0),MATCH('7. P&amp;L + cash'!J$3,'5. COGS '!$D$3:$AA$3,0))</f>
        <v>0</v>
      </c>
      <c r="K33" s="248">
        <f>INDEX('5. COGS '!$D:$AA,MATCH("Customer Success Payroll COGS",'5. COGS '!$B:$B,0),MATCH('7. P&amp;L + cash'!K$3,'5. COGS '!$D$3:$AA$3,0))</f>
        <v>8666.6666666666661</v>
      </c>
      <c r="L33" s="248">
        <f>INDEX('5. COGS '!$D:$AA,MATCH("Customer Success Payroll COGS",'5. COGS '!$B:$B,0),MATCH('7. P&amp;L + cash'!L$3,'5. COGS '!$D$3:$AA$3,0))</f>
        <v>8666.6666666666661</v>
      </c>
      <c r="M33" s="248">
        <f>INDEX('5. COGS '!$D:$AA,MATCH("Customer Success Payroll COGS",'5. COGS '!$B:$B,0),MATCH('7. P&amp;L + cash'!M$3,'5. COGS '!$D$3:$AA$3,0))</f>
        <v>8666.6666666666661</v>
      </c>
      <c r="N33" s="248">
        <f>INDEX('5. COGS '!$D:$AA,MATCH("Customer Success Payroll COGS",'5. COGS '!$B:$B,0),MATCH('7. P&amp;L + cash'!N$3,'5. COGS '!$D$3:$AA$3,0))</f>
        <v>8666.6666666666661</v>
      </c>
      <c r="O33" s="248">
        <f>INDEX('5. COGS '!$D:$AA,MATCH("Customer Success Payroll COGS",'5. COGS '!$B:$B,0),MATCH('7. P&amp;L + cash'!O$3,'5. COGS '!$D$3:$AA$3,0))</f>
        <v>8666.6666666666661</v>
      </c>
      <c r="P33" s="248">
        <f>INDEX('5. COGS '!$D:$AA,MATCH("Customer Success Payroll COGS",'5. COGS '!$B:$B,0),MATCH('7. P&amp;L + cash'!P$3,'5. COGS '!$D$3:$AA$3,0))</f>
        <v>8666.6666666666661</v>
      </c>
      <c r="Q33" s="248">
        <f>INDEX('5. COGS '!$D:$AA,MATCH("Customer Success Payroll COGS",'5. COGS '!$B:$B,0),MATCH('7. P&amp;L + cash'!Q$3,'5. COGS '!$D$3:$AA$3,0))</f>
        <v>8666.6666666666661</v>
      </c>
      <c r="R33" s="248">
        <f>INDEX('5. COGS '!$D:$AA,MATCH("Customer Success Payroll COGS",'5. COGS '!$B:$B,0),MATCH('7. P&amp;L + cash'!R$3,'5. COGS '!$D$3:$AA$3,0))</f>
        <v>8666.6666666666661</v>
      </c>
      <c r="S33" s="248">
        <f>INDEX('5. COGS '!$D:$AA,MATCH("Customer Success Payroll COGS",'5. COGS '!$B:$B,0),MATCH('7. P&amp;L + cash'!S$3,'5. COGS '!$D$3:$AA$3,0))</f>
        <v>17333.333333333332</v>
      </c>
      <c r="T33" s="248">
        <f>INDEX('5. COGS '!$D:$AA,MATCH("Customer Success Payroll COGS",'5. COGS '!$B:$B,0),MATCH('7. P&amp;L + cash'!T$3,'5. COGS '!$D$3:$AA$3,0))</f>
        <v>17333.333333333332</v>
      </c>
      <c r="U33" s="248">
        <f>INDEX('5. COGS '!$D:$AA,MATCH("Customer Success Payroll COGS",'5. COGS '!$B:$B,0),MATCH('7. P&amp;L + cash'!U$3,'5. COGS '!$D$3:$AA$3,0))</f>
        <v>17333.333333333332</v>
      </c>
      <c r="V33" s="248">
        <f>INDEX('5. COGS '!$D:$AA,MATCH("Customer Success Payroll COGS",'5. COGS '!$B:$B,0),MATCH('7. P&amp;L + cash'!V$3,'5. COGS '!$D$3:$AA$3,0))</f>
        <v>17333.333333333332</v>
      </c>
      <c r="W33" s="248">
        <f>INDEX('5. COGS '!$D:$AA,MATCH("Customer Success Payroll COGS",'5. COGS '!$B:$B,0),MATCH('7. P&amp;L + cash'!W$3,'5. COGS '!$D$3:$AA$3,0))</f>
        <v>17333.333333333332</v>
      </c>
      <c r="X33" s="248">
        <f>INDEX('5. COGS '!$D:$AA,MATCH("Customer Success Payroll COGS",'5. COGS '!$B:$B,0),MATCH('7. P&amp;L + cash'!X$3,'5. COGS '!$D$3:$AA$3,0))</f>
        <v>17333.333333333332</v>
      </c>
      <c r="Y33" s="248">
        <f>INDEX('5. COGS '!$D:$AA,MATCH("Customer Success Payroll COGS",'5. COGS '!$B:$B,0),MATCH('7. P&amp;L + cash'!Y$3,'5. COGS '!$D$3:$AA$3,0))</f>
        <v>17333.333333333332</v>
      </c>
      <c r="Z33" s="248">
        <f>INDEX('5. COGS '!$D:$AA,MATCH("Customer Success Payroll COGS",'5. COGS '!$B:$B,0),MATCH('7. P&amp;L + cash'!Z$3,'5. COGS '!$D$3:$AA$3,0))</f>
        <v>17333.333333333332</v>
      </c>
      <c r="AA33" s="248">
        <f>INDEX('5. COGS '!$D:$AA,MATCH("Customer Success Payroll COGS",'5. COGS '!$B:$B,0),MATCH('7. P&amp;L + cash'!AA$3,'5. COGS '!$D$3:$AA$3,0))</f>
        <v>17333.333333333332</v>
      </c>
    </row>
    <row r="34" spans="1:27" s="207" customFormat="1" ht="13.2">
      <c r="A34" s="244" t="s">
        <v>9</v>
      </c>
      <c r="B34" s="244" t="s">
        <v>1018</v>
      </c>
      <c r="C34" s="244" t="s">
        <v>64</v>
      </c>
      <c r="D34" s="152">
        <f>INDEX('5. COGS '!$D:$AA,MATCH("Implementation COGS",'5. COGS '!$B:$B,0),MATCH('7. P&amp;L + cash'!D$3,'5. COGS '!$D$3:$AA$3,0))</f>
        <v>0</v>
      </c>
      <c r="E34" s="152">
        <f>INDEX('5. COGS '!$D:$AA,MATCH("Implementation COGS",'5. COGS '!$B:$B,0),MATCH('7. P&amp;L + cash'!E$3,'5. COGS '!$D$3:$AA$3,0))</f>
        <v>0</v>
      </c>
      <c r="F34" s="152">
        <f>INDEX('5. COGS '!$D:$AA,MATCH("Implementation COGS",'5. COGS '!$B:$B,0),MATCH('7. P&amp;L + cash'!F$3,'5. COGS '!$D$3:$AA$3,0))</f>
        <v>0</v>
      </c>
      <c r="G34" s="152">
        <f>INDEX('5. COGS '!$D:$AA,MATCH("Implementation COGS",'5. COGS '!$B:$B,0),MATCH('7. P&amp;L + cash'!G$3,'5. COGS '!$D$3:$AA$3,0))</f>
        <v>0</v>
      </c>
      <c r="H34" s="152">
        <f>INDEX('5. COGS '!$D:$AA,MATCH("Implementation COGS",'5. COGS '!$B:$B,0),MATCH('7. P&amp;L + cash'!H$3,'5. COGS '!$D$3:$AA$3,0))</f>
        <v>0</v>
      </c>
      <c r="I34" s="248">
        <f>INDEX('5. COGS '!$D:$AA,MATCH("Implementation COGS",'5. COGS '!$B:$B,0),MATCH('7. P&amp;L + cash'!I$3,'5. COGS '!$D$3:$AA$3,0))</f>
        <v>400</v>
      </c>
      <c r="J34" s="248">
        <f>INDEX('5. COGS '!$D:$AA,MATCH("Implementation COGS",'5. COGS '!$B:$B,0),MATCH('7. P&amp;L + cash'!J$3,'5. COGS '!$D$3:$AA$3,0))</f>
        <v>828</v>
      </c>
      <c r="K34" s="248">
        <f>INDEX('5. COGS '!$D:$AA,MATCH("Implementation COGS",'5. COGS '!$B:$B,0),MATCH('7. P&amp;L + cash'!K$3,'5. COGS '!$D$3:$AA$3,0))</f>
        <v>1285.96</v>
      </c>
      <c r="L34" s="248">
        <f>INDEX('5. COGS '!$D:$AA,MATCH("Implementation COGS",'5. COGS '!$B:$B,0),MATCH('7. P&amp;L + cash'!L$3,'5. COGS '!$D$3:$AA$3,0))</f>
        <v>1375.9772</v>
      </c>
      <c r="M34" s="248">
        <f>INDEX('5. COGS '!$D:$AA,MATCH("Implementation COGS",'5. COGS '!$B:$B,0),MATCH('7. P&amp;L + cash'!M$3,'5. COGS '!$D$3:$AA$3,0))</f>
        <v>1472.2956040000001</v>
      </c>
      <c r="N34" s="248">
        <f>INDEX('5. COGS '!$D:$AA,MATCH("Implementation COGS",'5. COGS '!$B:$B,0),MATCH('7. P&amp;L + cash'!N$3,'5. COGS '!$D$3:$AA$3,0))</f>
        <v>1575.3562962800004</v>
      </c>
      <c r="O34" s="248">
        <f>INDEX('5. COGS '!$D:$AA,MATCH("Implementation COGS",'5. COGS '!$B:$B,0),MATCH('7. P&amp;L + cash'!O$3,'5. COGS '!$D$3:$AA$3,0))</f>
        <v>1685.6312370196001</v>
      </c>
      <c r="P34" s="248">
        <f>INDEX('5. COGS '!$D:$AA,MATCH("Implementation COGS",'5. COGS '!$B:$B,0),MATCH('7. P&amp;L + cash'!P$3,'5. COGS '!$D$3:$AA$3,0))</f>
        <v>1803.6254236109723</v>
      </c>
      <c r="Q34" s="248">
        <f>INDEX('5. COGS '!$D:$AA,MATCH("Implementation COGS",'5. COGS '!$B:$B,0),MATCH('7. P&amp;L + cash'!Q$3,'5. COGS '!$D$3:$AA$3,0))</f>
        <v>1929.8792032637402</v>
      </c>
      <c r="R34" s="248">
        <f>INDEX('5. COGS '!$D:$AA,MATCH("Implementation COGS",'5. COGS '!$B:$B,0),MATCH('7. P&amp;L + cash'!R$3,'5. COGS '!$D$3:$AA$3,0))</f>
        <v>2064.970747492202</v>
      </c>
      <c r="S34" s="248">
        <f>INDEX('5. COGS '!$D:$AA,MATCH("Implementation COGS",'5. COGS '!$B:$B,0),MATCH('7. P&amp;L + cash'!S$3,'5. COGS '!$D$3:$AA$3,0))</f>
        <v>2209.518699816656</v>
      </c>
      <c r="T34" s="248">
        <f>INDEX('5. COGS '!$D:$AA,MATCH("Implementation COGS",'5. COGS '!$B:$B,0),MATCH('7. P&amp;L + cash'!T$3,'5. COGS '!$D$3:$AA$3,0))</f>
        <v>2364.1850088038223</v>
      </c>
      <c r="U34" s="248">
        <f>INDEX('5. COGS '!$D:$AA,MATCH("Implementation COGS",'5. COGS '!$B:$B,0),MATCH('7. P&amp;L + cash'!U$3,'5. COGS '!$D$3:$AA$3,0))</f>
        <v>2529.6779594200898</v>
      </c>
      <c r="V34" s="248">
        <f>INDEX('5. COGS '!$D:$AA,MATCH("Implementation COGS",'5. COGS '!$B:$B,0),MATCH('7. P&amp;L + cash'!V$3,'5. COGS '!$D$3:$AA$3,0))</f>
        <v>2706.7554165794963</v>
      </c>
      <c r="W34" s="248">
        <f>INDEX('5. COGS '!$D:$AA,MATCH("Implementation COGS",'5. COGS '!$B:$B,0),MATCH('7. P&amp;L + cash'!W$3,'5. COGS '!$D$3:$AA$3,0))</f>
        <v>2896.2282957400607</v>
      </c>
      <c r="X34" s="248">
        <f>INDEX('5. COGS '!$D:$AA,MATCH("Implementation COGS",'5. COGS '!$B:$B,0),MATCH('7. P&amp;L + cash'!X$3,'5. COGS '!$D$3:$AA$3,0))</f>
        <v>3098.9642764418654</v>
      </c>
      <c r="Y34" s="248">
        <f>INDEX('5. COGS '!$D:$AA,MATCH("Implementation COGS",'5. COGS '!$B:$B,0),MATCH('7. P&amp;L + cash'!Y$3,'5. COGS '!$D$3:$AA$3,0))</f>
        <v>3315.8917757927957</v>
      </c>
      <c r="Z34" s="248">
        <f>INDEX('5. COGS '!$D:$AA,MATCH("Implementation COGS",'5. COGS '!$B:$B,0),MATCH('7. P&amp;L + cash'!Z$3,'5. COGS '!$D$3:$AA$3,0))</f>
        <v>3548.0042000982917</v>
      </c>
      <c r="AA34" s="248">
        <f>INDEX('5. COGS '!$D:$AA,MATCH("Implementation COGS",'5. COGS '!$B:$B,0),MATCH('7. P&amp;L + cash'!AA$3,'5. COGS '!$D$3:$AA$3,0))</f>
        <v>3796.3644941051716</v>
      </c>
    </row>
    <row r="35" spans="1:27" s="207" customFormat="1" ht="13.2">
      <c r="A35" s="244" t="s">
        <v>9</v>
      </c>
      <c r="B35" s="244" t="s">
        <v>930</v>
      </c>
      <c r="C35" s="244" t="s">
        <v>64</v>
      </c>
      <c r="D35" s="154">
        <f>INDEX('5. COGS '!$D:$AA,MATCH("Total COGS",'5. COGS '!$B:$B,0),MATCH('7. P&amp;L + cash'!D$3,'5. COGS '!$D$3:$AA$3,0))</f>
        <v>8009.6595500000003</v>
      </c>
      <c r="E35" s="154">
        <f>INDEX('5. COGS '!$D:$AA,MATCH("Total COGS",'5. COGS '!$B:$B,0),MATCH('7. P&amp;L + cash'!E$3,'5. COGS '!$D$3:$AA$3,0))</f>
        <v>8297.6002069896022</v>
      </c>
      <c r="F35" s="154">
        <f>INDEX('5. COGS '!$D:$AA,MATCH("Total COGS",'5. COGS '!$B:$B,0),MATCH('7. P&amp;L + cash'!F$3,'5. COGS '!$D$3:$AA$3,0))</f>
        <v>8588.0768927961362</v>
      </c>
      <c r="G35" s="154">
        <f>INDEX('5. COGS '!$D:$AA,MATCH("Total COGS",'5. COGS '!$B:$B,0),MATCH('7. P&amp;L + cash'!G$3,'5. COGS '!$D$3:$AA$3,0))</f>
        <v>8888.7957884223015</v>
      </c>
      <c r="H35" s="154">
        <f>INDEX('5. COGS '!$D:$AA,MATCH("Total COGS",'5. COGS '!$B:$B,0),MATCH('7. P&amp;L + cash'!H$3,'5. COGS '!$D$3:$AA$3,0))</f>
        <v>9206.4384202509045</v>
      </c>
      <c r="I35" s="154">
        <f>INDEX('5. COGS '!$D:$AA,MATCH("Total COGS",'5. COGS '!$B:$B,0),MATCH('7. P&amp;L + cash'!I$3,'5. COGS '!$D$3:$AA$3,0))</f>
        <v>9955.9537531470451</v>
      </c>
      <c r="J35" s="154">
        <f>INDEX('5. COGS '!$D:$AA,MATCH("Total COGS",'5. COGS '!$B:$B,0),MATCH('7. P&amp;L + cash'!J$3,'5. COGS '!$D$3:$AA$3,0))</f>
        <v>10762.301121402723</v>
      </c>
      <c r="K35" s="154">
        <f>INDEX('5. COGS '!$D:$AA,MATCH("Total COGS",'5. COGS '!$B:$B,0),MATCH('7. P&amp;L + cash'!K$3,'5. COGS '!$D$3:$AA$3,0))</f>
        <v>20299.285574608166</v>
      </c>
      <c r="L35" s="154">
        <f>INDEX('5. COGS '!$D:$AA,MATCH("Total COGS",'5. COGS '!$B:$B,0),MATCH('7. P&amp;L + cash'!L$3,'5. COGS '!$D$3:$AA$3,0))</f>
        <v>20840.697757475406</v>
      </c>
      <c r="M35" s="154">
        <f>INDEX('5. COGS '!$D:$AA,MATCH("Total COGS",'5. COGS '!$B:$B,0),MATCH('7. P&amp;L + cash'!M$3,'5. COGS '!$D$3:$AA$3,0))</f>
        <v>21517.453638669274</v>
      </c>
      <c r="N35" s="154">
        <f>INDEX('5. COGS '!$D:$AA,MATCH("Total COGS",'5. COGS '!$B:$B,0),MATCH('7. P&amp;L + cash'!N$3,'5. COGS '!$D$3:$AA$3,0))</f>
        <v>22257.779882038765</v>
      </c>
      <c r="O35" s="154">
        <f>INDEX('5. COGS '!$D:$AA,MATCH("Total COGS",'5. COGS '!$B:$B,0),MATCH('7. P&amp;L + cash'!O$3,'5. COGS '!$D$3:$AA$3,0))</f>
        <v>23068.497319936541</v>
      </c>
      <c r="P35" s="154">
        <f>INDEX('5. COGS '!$D:$AA,MATCH("Total COGS",'5. COGS '!$B:$B,0),MATCH('7. P&amp;L + cash'!P$3,'5. COGS '!$D$3:$AA$3,0))</f>
        <v>23956.843598954947</v>
      </c>
      <c r="Q35" s="154">
        <f>INDEX('5. COGS '!$D:$AA,MATCH("Total COGS",'5. COGS '!$B:$B,0),MATCH('7. P&amp;L + cash'!Q$3,'5. COGS '!$D$3:$AA$3,0))</f>
        <v>24930.554525525429</v>
      </c>
      <c r="R35" s="154">
        <f>INDEX('5. COGS '!$D:$AA,MATCH("Total COGS",'5. COGS '!$B:$B,0),MATCH('7. P&amp;L + cash'!R$3,'5. COGS '!$D$3:$AA$3,0))</f>
        <v>25997.944089350909</v>
      </c>
      <c r="S35" s="154">
        <f>INDEX('5. COGS '!$D:$AA,MATCH("Total COGS",'5. COGS '!$B:$B,0),MATCH('7. P&amp;L + cash'!S$3,'5. COGS '!$D$3:$AA$3,0))</f>
        <v>35834.651462509748</v>
      </c>
      <c r="T35" s="154">
        <f>INDEX('5. COGS '!$D:$AA,MATCH("Total COGS",'5. COGS '!$B:$B,0),MATCH('7. P&amp;L + cash'!T$3,'5. COGS '!$D$3:$AA$3,0))</f>
        <v>37117.056399530367</v>
      </c>
      <c r="U35" s="154">
        <f>INDEX('5. COGS '!$D:$AA,MATCH("Total COGS",'5. COGS '!$B:$B,0),MATCH('7. P&amp;L + cash'!U$3,'5. COGS '!$D$3:$AA$3,0))</f>
        <v>38522.36430828998</v>
      </c>
      <c r="V35" s="154">
        <f>INDEX('5. COGS '!$D:$AA,MATCH("Total COGS",'5. COGS '!$B:$B,0),MATCH('7. P&amp;L + cash'!V$3,'5. COGS '!$D$3:$AA$3,0))</f>
        <v>40062.028814347257</v>
      </c>
      <c r="W35" s="154">
        <f>INDEX('5. COGS '!$D:$AA,MATCH("Total COGS",'5. COGS '!$B:$B,0),MATCH('7. P&amp;L + cash'!W$3,'5. COGS '!$D$3:$AA$3,0))</f>
        <v>41748.512895097345</v>
      </c>
      <c r="X35" s="154">
        <f>INDEX('5. COGS '!$D:$AA,MATCH("Total COGS",'5. COGS '!$B:$B,0),MATCH('7. P&amp;L + cash'!X$3,'5. COGS '!$D$3:$AA$3,0))</f>
        <v>43595.389609166596</v>
      </c>
      <c r="Y35" s="154">
        <f>INDEX('5. COGS '!$D:$AA,MATCH("Total COGS",'5. COGS '!$B:$B,0),MATCH('7. P&amp;L + cash'!Y$3,'5. COGS '!$D$3:$AA$3,0))</f>
        <v>45617.450086129189</v>
      </c>
      <c r="Z35" s="154">
        <f>INDEX('5. COGS '!$D:$AA,MATCH("Total COGS",'5. COGS '!$B:$B,0),MATCH('7. P&amp;L + cash'!Z$3,'5. COGS '!$D$3:$AA$3,0))</f>
        <v>47830.81976826326</v>
      </c>
      <c r="AA35" s="154">
        <f>INDEX('5. COGS '!$D:$AA,MATCH("Total COGS",'5. COGS '!$B:$B,0),MATCH('7. P&amp;L + cash'!AA$3,'5. COGS '!$D$3:$AA$3,0))</f>
        <v>50253.083906778411</v>
      </c>
    </row>
    <row r="36" spans="1:27" s="207" customFormat="1" ht="13.2">
      <c r="A36" s="244" t="s">
        <v>935</v>
      </c>
      <c r="B36" s="244" t="s">
        <v>935</v>
      </c>
      <c r="C36" s="244" t="s">
        <v>64</v>
      </c>
      <c r="D36" s="154">
        <f>INDEX('5. COGS '!$D:$AA,MATCH("Gross Profit",'5. COGS '!$B:$B,0),MATCH('7. P&amp;L + cash'!D$3,'5. COGS '!$D$3:$AA$3,0))</f>
        <v>36453.640450000006</v>
      </c>
      <c r="E36" s="154">
        <f>INDEX('5. COGS '!$D:$AA,MATCH("Gross Profit",'5. COGS '!$B:$B,0),MATCH('7. P&amp;L + cash'!E$3,'5. COGS '!$D$3:$AA$3,0))</f>
        <v>37831.770820693346</v>
      </c>
      <c r="F36" s="154">
        <f>INDEX('5. COGS '!$D:$AA,MATCH("Gross Profit",'5. COGS '!$B:$B,0),MATCH('7. P&amp;L + cash'!F$3,'5. COGS '!$D$3:$AA$3,0))</f>
        <v>39253.687303387647</v>
      </c>
      <c r="G36" s="154">
        <f>INDEX('5. COGS '!$D:$AA,MATCH("Gross Profit",'5. COGS '!$B:$B,0),MATCH('7. P&amp;L + cash'!G$3,'5. COGS '!$D$3:$AA$3,0))</f>
        <v>40747.893792300485</v>
      </c>
      <c r="H36" s="154">
        <f>INDEX('5. COGS '!$D:$AA,MATCH("Gross Profit",'5. COGS '!$B:$B,0),MATCH('7. P&amp;L + cash'!H$3,'5. COGS '!$D$3:$AA$3,0))</f>
        <v>42340.141010103871</v>
      </c>
      <c r="I36" s="154">
        <f>INDEX('5. COGS '!$D:$AA,MATCH("Gross Profit",'5. COGS '!$B:$B,0),MATCH('7. P&amp;L + cash'!I$3,'5. COGS '!$D$3:$AA$3,0))</f>
        <v>45244.332573793654</v>
      </c>
      <c r="J36" s="154">
        <f>INDEX('5. COGS '!$D:$AA,MATCH("Gross Profit",'5. COGS '!$B:$B,0),MATCH('7. P&amp;L + cash'!J$3,'5. COGS '!$D$3:$AA$3,0))</f>
        <v>48362.634748315584</v>
      </c>
      <c r="K36" s="154">
        <f>INDEX('5. COGS '!$D:$AA,MATCH("Gross Profit",'5. COGS '!$B:$B,0),MATCH('7. P&amp;L + cash'!K$3,'5. COGS '!$D$3:$AA$3,0))</f>
        <v>43055.773234339693</v>
      </c>
      <c r="L36" s="154">
        <f>INDEX('5. COGS '!$D:$AA,MATCH("Gross Profit",'5. COGS '!$B:$B,0),MATCH('7. P&amp;L + cash'!L$3,'5. COGS '!$D$3:$AA$3,0))</f>
        <v>46084.831785659051</v>
      </c>
      <c r="M36" s="154">
        <f>INDEX('5. COGS '!$D:$AA,MATCH("Gross Profit",'5. COGS '!$B:$B,0),MATCH('7. P&amp;L + cash'!M$3,'5. COGS '!$D$3:$AA$3,0))</f>
        <v>49558.140791397513</v>
      </c>
      <c r="N36" s="154">
        <f>INDEX('5. COGS '!$D:$AA,MATCH("Gross Profit",'5. COGS '!$B:$B,0),MATCH('7. P&amp;L + cash'!N$3,'5. COGS '!$D$3:$AA$3,0))</f>
        <v>53339.291798290069</v>
      </c>
      <c r="O36" s="154">
        <f>INDEX('5. COGS '!$D:$AA,MATCH("Gross Profit",'5. COGS '!$B:$B,0),MATCH('7. P&amp;L + cash'!O$3,'5. COGS '!$D$3:$AA$3,0))</f>
        <v>57460.431198865474</v>
      </c>
      <c r="P36" s="154">
        <f>INDEX('5. COGS '!$D:$AA,MATCH("Gross Profit",'5. COGS '!$B:$B,0),MATCH('7. P&amp;L + cash'!P$3,'5. COGS '!$D$3:$AA$3,0))</f>
        <v>61955.99540992736</v>
      </c>
      <c r="Q36" s="154">
        <f>INDEX('5. COGS '!$D:$AA,MATCH("Gross Profit",'5. COGS '!$B:$B,0),MATCH('7. P&amp;L + cash'!Q$3,'5. COGS '!$D$3:$AA$3,0))</f>
        <v>66863.083333907314</v>
      </c>
      <c r="R36" s="154">
        <f>INDEX('5. COGS '!$D:$AA,MATCH("Gross Profit",'5. COGS '!$B:$B,0),MATCH('7. P&amp;L + cash'!R$3,'5. COGS '!$D$3:$AA$3,0))</f>
        <v>72221.8350173707</v>
      </c>
      <c r="S36" s="154">
        <f>INDEX('5. COGS '!$D:$AA,MATCH("Gross Profit",'5. COGS '!$B:$B,0),MATCH('7. P&amp;L + cash'!S$3,'5. COGS '!$D$3:$AA$3,0))</f>
        <v>69409.15711167836</v>
      </c>
      <c r="T36" s="154">
        <f>INDEX('5. COGS '!$D:$AA,MATCH("Gross Profit",'5. COGS '!$B:$B,0),MATCH('7. P&amp;L + cash'!T$3,'5. COGS '!$D$3:$AA$3,0))</f>
        <v>75805.80172944341</v>
      </c>
      <c r="U36" s="154">
        <f>INDEX('5. COGS '!$D:$AA,MATCH("Gross Profit",'5. COGS '!$B:$B,0),MATCH('7. P&amp;L + cash'!U$3,'5. COGS '!$D$3:$AA$3,0))</f>
        <v>82796.804849997847</v>
      </c>
      <c r="V36" s="154">
        <f>INDEX('5. COGS '!$D:$AA,MATCH("Gross Profit",'5. COGS '!$B:$B,0),MATCH('7. P&amp;L + cash'!V$3,'5. COGS '!$D$3:$AA$3,0))</f>
        <v>90438.623516000982</v>
      </c>
      <c r="W36" s="154">
        <f>INDEX('5. COGS '!$D:$AA,MATCH("Gross Profit",'5. COGS '!$B:$B,0),MATCH('7. P&amp;L + cash'!W$3,'5. COGS '!$D$3:$AA$3,0))</f>
        <v>98792.977649964596</v>
      </c>
      <c r="X36" s="154">
        <f>INDEX('5. COGS '!$D:$AA,MATCH("Gross Profit",'5. COGS '!$B:$B,0),MATCH('7. P&amp;L + cash'!X$3,'5. COGS '!$D$3:$AA$3,0))</f>
        <v>107927.40238016113</v>
      </c>
      <c r="Y36" s="154">
        <f>INDEX('5. COGS '!$D:$AA,MATCH("Gross Profit",'5. COGS '!$B:$B,0),MATCH('7. P&amp;L + cash'!Y$3,'5. COGS '!$D$3:$AA$3,0))</f>
        <v>117915.85028278868</v>
      </c>
      <c r="Z36" s="154">
        <f>INDEX('5. COGS '!$D:$AA,MATCH("Gross Profit",'5. COGS '!$B:$B,0),MATCH('7. P&amp;L + cash'!Z$3,'5. COGS '!$D$3:$AA$3,0))</f>
        <v>128839.34990915228</v>
      </c>
      <c r="AA36" s="154">
        <f>INDEX('5. COGS '!$D:$AA,MATCH("Gross Profit",'5. COGS '!$B:$B,0),MATCH('7. P&amp;L + cash'!AA$3,'5. COGS '!$D$3:$AA$3,0))</f>
        <v>140786.72736490343</v>
      </c>
    </row>
    <row r="37" spans="1:27" s="207" customFormat="1" ht="13.2">
      <c r="A37" s="244" t="s">
        <v>935</v>
      </c>
      <c r="B37" s="244" t="s">
        <v>936</v>
      </c>
      <c r="C37" s="244" t="s">
        <v>173</v>
      </c>
      <c r="D37" s="253">
        <f>INDEX('5. COGS '!$D:$AA,MATCH("Gross Margin %",'5. COGS '!$B:$B,0),MATCH('7. P&amp;L + cash'!D$3,'5. COGS '!$D$3:$AA$3,0))</f>
        <v>0.81985908490822779</v>
      </c>
      <c r="E37" s="253">
        <f>INDEX('5. COGS '!$D:$AA,MATCH("Gross Margin %",'5. COGS '!$B:$B,0),MATCH('7. P&amp;L + cash'!E$3,'5. COGS '!$D$3:$AA$3,0))</f>
        <v>0.82012327456166512</v>
      </c>
      <c r="F37" s="253">
        <f>INDEX('5. COGS '!$D:$AA,MATCH("Gross Margin %",'5. COGS '!$B:$B,0),MATCH('7. P&amp;L + cash'!F$3,'5. COGS '!$D$3:$AA$3,0))</f>
        <v>0.82048996233543603</v>
      </c>
      <c r="G37" s="253">
        <f>INDEX('5. COGS '!$D:$AA,MATCH("Gross Margin %",'5. COGS '!$B:$B,0),MATCH('7. P&amp;L + cash'!G$3,'5. COGS '!$D$3:$AA$3,0))</f>
        <v>0.82092287250609863</v>
      </c>
      <c r="H37" s="253">
        <f>INDEX('5. COGS '!$D:$AA,MATCH("Gross Margin %",'5. COGS '!$B:$B,0),MATCH('7. P&amp;L + cash'!H$3,'5. COGS '!$D$3:$AA$3,0))</f>
        <v>0.82139574493609535</v>
      </c>
      <c r="I37" s="253">
        <f>INDEX('5. COGS '!$D:$AA,MATCH("Gross Margin %",'5. COGS '!$B:$B,0),MATCH('7. P&amp;L + cash'!I$3,'5. COGS '!$D$3:$AA$3,0))</f>
        <v>0.81963945450971321</v>
      </c>
      <c r="J37" s="253">
        <f>INDEX('5. COGS '!$D:$AA,MATCH("Gross Margin %",'5. COGS '!$B:$B,0),MATCH('7. P&amp;L + cash'!J$3,'5. COGS '!$D$3:$AA$3,0))</f>
        <v>0.8179735679524891</v>
      </c>
      <c r="K37" s="253">
        <f>INDEX('5. COGS '!$D:$AA,MATCH("Gross Margin %",'5. COGS '!$B:$B,0),MATCH('7. P&amp;L + cash'!K$3,'5. COGS '!$D$3:$AA$3,0))</f>
        <v>0.67959487440738942</v>
      </c>
      <c r="L37" s="253">
        <f>INDEX('5. COGS '!$D:$AA,MATCH("Gross Margin %",'5. COGS '!$B:$B,0),MATCH('7. P&amp;L + cash'!L$3,'5. COGS '!$D$3:$AA$3,0))</f>
        <v>0.68859868723125639</v>
      </c>
      <c r="M37" s="253">
        <f>INDEX('5. COGS '!$D:$AA,MATCH("Gross Margin %",'5. COGS '!$B:$B,0),MATCH('7. P&amp;L + cash'!M$3,'5. COGS '!$D$3:$AA$3,0))</f>
        <v>0.69725960350791172</v>
      </c>
      <c r="N37" s="253">
        <f>INDEX('5. COGS '!$D:$AA,MATCH("Gross Margin %",'5. COGS '!$B:$B,0),MATCH('7. P&amp;L + cash'!N$3,'5. COGS '!$D$3:$AA$3,0))</f>
        <v>0.70557351776589405</v>
      </c>
      <c r="O37" s="253">
        <f>INDEX('5. COGS '!$D:$AA,MATCH("Gross Margin %",'5. COGS '!$B:$B,0),MATCH('7. P&amp;L + cash'!O$3,'5. COGS '!$D$3:$AA$3,0))</f>
        <v>0.71353775911037398</v>
      </c>
      <c r="P37" s="253">
        <f>INDEX('5. COGS '!$D:$AA,MATCH("Gross Margin %",'5. COGS '!$B:$B,0),MATCH('7. P&amp;L + cash'!P$3,'5. COGS '!$D$3:$AA$3,0))</f>
        <v>0.72114943615728833</v>
      </c>
      <c r="Q37" s="253">
        <f>INDEX('5. COGS '!$D:$AA,MATCH("Gross Margin %",'5. COGS '!$B:$B,0),MATCH('7. P&amp;L + cash'!Q$3,'5. COGS '!$D$3:$AA$3,0))</f>
        <v>0.72840650935195994</v>
      </c>
      <c r="R37" s="253">
        <f>INDEX('5. COGS '!$D:$AA,MATCH("Gross Margin %",'5. COGS '!$B:$B,0),MATCH('7. P&amp;L + cash'!R$3,'5. COGS '!$D$3:$AA$3,0))</f>
        <v>0.73530846509945214</v>
      </c>
      <c r="S37" s="253">
        <f>INDEX('5. COGS '!$D:$AA,MATCH("Gross Margin %",'5. COGS '!$B:$B,0),MATCH('7. P&amp;L + cash'!S$3,'5. COGS '!$D$3:$AA$3,0))</f>
        <v>0.65950822240294249</v>
      </c>
      <c r="T37" s="253">
        <f>INDEX('5. COGS '!$D:$AA,MATCH("Gross Margin %",'5. COGS '!$B:$B,0),MATCH('7. P&amp;L + cash'!T$3,'5. COGS '!$D$3:$AA$3,0))</f>
        <v>0.67130608439668193</v>
      </c>
      <c r="U37" s="253">
        <f>INDEX('5. COGS '!$D:$AA,MATCH("Gross Margin %",'5. COGS '!$B:$B,0),MATCH('7. P&amp;L + cash'!U$3,'5. COGS '!$D$3:$AA$3,0))</f>
        <v>0.6824709188534831</v>
      </c>
      <c r="V37" s="253">
        <f>INDEX('5. COGS '!$D:$AA,MATCH("Gross Margin %",'5. COGS '!$B:$B,0),MATCH('7. P&amp;L + cash'!V$3,'5. COGS '!$D$3:$AA$3,0))</f>
        <v>0.6930128079901503</v>
      </c>
      <c r="W37" s="253">
        <f>INDEX('5. COGS '!$D:$AA,MATCH("Gross Margin %",'5. COGS '!$B:$B,0),MATCH('7. P&amp;L + cash'!W$3,'5. COGS '!$D$3:$AA$3,0))</f>
        <v>0.70294528161623926</v>
      </c>
      <c r="X37" s="253">
        <f>INDEX('5. COGS '!$D:$AA,MATCH("Gross Margin %",'5. COGS '!$B:$B,0),MATCH('7. P&amp;L + cash'!X$3,'5. COGS '!$D$3:$AA$3,0))</f>
        <v>0.71228493722424824</v>
      </c>
      <c r="Y37" s="253">
        <f>INDEX('5. COGS '!$D:$AA,MATCH("Gross Margin %",'5. COGS '!$B:$B,0),MATCH('7. P&amp;L + cash'!Y$3,'5. COGS '!$D$3:$AA$3,0))</f>
        <v>0.72105100317048632</v>
      </c>
      <c r="Z37" s="253">
        <f>INDEX('5. COGS '!$D:$AA,MATCH("Gross Margin %",'5. COGS '!$B:$B,0),MATCH('7. P&amp;L + cash'!Z$3,'5. COGS '!$D$3:$AA$3,0))</f>
        <v>0.72926487897986281</v>
      </c>
      <c r="AA37" s="253">
        <f>INDEX('5. COGS '!$D:$AA,MATCH("Gross Margin %",'5. COGS '!$B:$B,0),MATCH('7. P&amp;L + cash'!AA$3,'5. COGS '!$D$3:$AA$3,0))</f>
        <v>0.73694967780662013</v>
      </c>
    </row>
    <row r="38" spans="1:27" s="207" customFormat="1" ht="13.2">
      <c r="A38" s="244"/>
      <c r="B38" s="244"/>
      <c r="C38" s="244"/>
      <c r="D38" s="252"/>
      <c r="E38" s="252"/>
      <c r="F38" s="252"/>
      <c r="G38" s="252"/>
      <c r="H38" s="252"/>
      <c r="I38" s="252"/>
      <c r="J38" s="252"/>
      <c r="K38" s="252"/>
      <c r="L38" s="252"/>
      <c r="M38" s="252"/>
      <c r="N38" s="252"/>
      <c r="O38" s="252"/>
      <c r="P38" s="252"/>
      <c r="Q38" s="252"/>
      <c r="R38" s="252"/>
      <c r="S38" s="252"/>
      <c r="T38" s="252"/>
      <c r="U38" s="252"/>
      <c r="V38" s="252"/>
      <c r="W38" s="252"/>
      <c r="X38" s="252"/>
      <c r="Y38" s="252"/>
      <c r="Z38" s="252"/>
      <c r="AA38" s="252"/>
    </row>
    <row r="39" spans="1:27" s="207" customFormat="1" ht="13.2">
      <c r="A39" s="242" t="s">
        <v>1019</v>
      </c>
      <c r="B39" s="243"/>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c r="AA39" s="242"/>
    </row>
    <row r="40" spans="1:27" s="207" customFormat="1" ht="13.2">
      <c r="A40" s="244" t="s">
        <v>330</v>
      </c>
      <c r="B40" s="244" t="s">
        <v>1020</v>
      </c>
      <c r="C40" s="244" t="s">
        <v>88</v>
      </c>
      <c r="D40" s="245">
        <f>INDEX('4. Headcount'!$D:$AA,MATCH("R&amp;D FTE",'4. Headcount'!$B:$B,0),MATCH(D$3,'4. Headcount'!$D$3:$AA$3,0))</f>
        <v>1</v>
      </c>
      <c r="E40" s="245">
        <f>INDEX('4. Headcount'!$D:$AA,MATCH("R&amp;D FTE",'4. Headcount'!$B:$B,0),MATCH(E$3,'4. Headcount'!$D$3:$AA$3,0))</f>
        <v>1</v>
      </c>
      <c r="F40" s="245">
        <f>INDEX('4. Headcount'!$D:$AA,MATCH("R&amp;D FTE",'4. Headcount'!$B:$B,0),MATCH(F$3,'4. Headcount'!$D$3:$AA$3,0))</f>
        <v>2</v>
      </c>
      <c r="G40" s="245">
        <f>INDEX('4. Headcount'!$D:$AA,MATCH("R&amp;D FTE",'4. Headcount'!$B:$B,0),MATCH(G$3,'4. Headcount'!$D$3:$AA$3,0))</f>
        <v>2</v>
      </c>
      <c r="H40" s="245">
        <f>INDEX('4. Headcount'!$D:$AA,MATCH("R&amp;D FTE",'4. Headcount'!$B:$B,0),MATCH(H$3,'4. Headcount'!$D$3:$AA$3,0))</f>
        <v>2</v>
      </c>
      <c r="I40" s="245">
        <f>INDEX('4. Headcount'!$D:$AA,MATCH("R&amp;D FTE",'4. Headcount'!$B:$B,0),MATCH(I$3,'4. Headcount'!$D$3:$AA$3,0))</f>
        <v>3</v>
      </c>
      <c r="J40" s="245">
        <f>INDEX('4. Headcount'!$D:$AA,MATCH("R&amp;D FTE",'4. Headcount'!$B:$B,0),MATCH(J$3,'4. Headcount'!$D$3:$AA$3,0))</f>
        <v>3</v>
      </c>
      <c r="K40" s="245">
        <f>INDEX('4. Headcount'!$D:$AA,MATCH("R&amp;D FTE",'4. Headcount'!$B:$B,0),MATCH(K$3,'4. Headcount'!$D$3:$AA$3,0))</f>
        <v>3</v>
      </c>
      <c r="L40" s="245">
        <f>INDEX('4. Headcount'!$D:$AA,MATCH("R&amp;D FTE",'4. Headcount'!$B:$B,0),MATCH(L$3,'4. Headcount'!$D$3:$AA$3,0))</f>
        <v>3</v>
      </c>
      <c r="M40" s="245">
        <f>INDEX('4. Headcount'!$D:$AA,MATCH("R&amp;D FTE",'4. Headcount'!$B:$B,0),MATCH(M$3,'4. Headcount'!$D$3:$AA$3,0))</f>
        <v>4</v>
      </c>
      <c r="N40" s="245">
        <f>INDEX('4. Headcount'!$D:$AA,MATCH("R&amp;D FTE",'4. Headcount'!$B:$B,0),MATCH(N$3,'4. Headcount'!$D$3:$AA$3,0))</f>
        <v>4</v>
      </c>
      <c r="O40" s="245">
        <f>INDEX('4. Headcount'!$D:$AA,MATCH("R&amp;D FTE",'4. Headcount'!$B:$B,0),MATCH(O$3,'4. Headcount'!$D$3:$AA$3,0))</f>
        <v>5</v>
      </c>
      <c r="P40" s="245">
        <f>INDEX('4. Headcount'!$D:$AA,MATCH("R&amp;D FTE",'4. Headcount'!$B:$B,0),MATCH(P$3,'4. Headcount'!$D$3:$AA$3,0))</f>
        <v>5</v>
      </c>
      <c r="Q40" s="245">
        <f>INDEX('4. Headcount'!$D:$AA,MATCH("R&amp;D FTE",'4. Headcount'!$B:$B,0),MATCH(Q$3,'4. Headcount'!$D$3:$AA$3,0))</f>
        <v>5</v>
      </c>
      <c r="R40" s="245">
        <f>INDEX('4. Headcount'!$D:$AA,MATCH("R&amp;D FTE",'4. Headcount'!$B:$B,0),MATCH(R$3,'4. Headcount'!$D$3:$AA$3,0))</f>
        <v>5</v>
      </c>
      <c r="S40" s="245">
        <f>INDEX('4. Headcount'!$D:$AA,MATCH("R&amp;D FTE",'4. Headcount'!$B:$B,0),MATCH(S$3,'4. Headcount'!$D$3:$AA$3,0))</f>
        <v>5</v>
      </c>
      <c r="T40" s="245">
        <f>INDEX('4. Headcount'!$D:$AA,MATCH("R&amp;D FTE",'4. Headcount'!$B:$B,0),MATCH(T$3,'4. Headcount'!$D$3:$AA$3,0))</f>
        <v>5</v>
      </c>
      <c r="U40" s="245">
        <f>INDEX('4. Headcount'!$D:$AA,MATCH("R&amp;D FTE",'4. Headcount'!$B:$B,0),MATCH(U$3,'4. Headcount'!$D$3:$AA$3,0))</f>
        <v>5</v>
      </c>
      <c r="V40" s="245">
        <f>INDEX('4. Headcount'!$D:$AA,MATCH("R&amp;D FTE",'4. Headcount'!$B:$B,0),MATCH(V$3,'4. Headcount'!$D$3:$AA$3,0))</f>
        <v>5</v>
      </c>
      <c r="W40" s="245">
        <f>INDEX('4. Headcount'!$D:$AA,MATCH("R&amp;D FTE",'4. Headcount'!$B:$B,0),MATCH(W$3,'4. Headcount'!$D$3:$AA$3,0))</f>
        <v>5</v>
      </c>
      <c r="X40" s="245">
        <f>INDEX('4. Headcount'!$D:$AA,MATCH("R&amp;D FTE",'4. Headcount'!$B:$B,0),MATCH(X$3,'4. Headcount'!$D$3:$AA$3,0))</f>
        <v>5</v>
      </c>
      <c r="Y40" s="245">
        <f>INDEX('4. Headcount'!$D:$AA,MATCH("R&amp;D FTE",'4. Headcount'!$B:$B,0),MATCH(Y$3,'4. Headcount'!$D$3:$AA$3,0))</f>
        <v>5</v>
      </c>
      <c r="Z40" s="245">
        <f>INDEX('4. Headcount'!$D:$AA,MATCH("R&amp;D FTE",'4. Headcount'!$B:$B,0),MATCH(Z$3,'4. Headcount'!$D$3:$AA$3,0))</f>
        <v>5</v>
      </c>
      <c r="AA40" s="245">
        <f>INDEX('4. Headcount'!$D:$AA,MATCH("R&amp;D FTE",'4. Headcount'!$B:$B,0),MATCH(AA$3,'4. Headcount'!$D$3:$AA$3,0))</f>
        <v>5</v>
      </c>
    </row>
    <row r="41" spans="1:27" s="207" customFormat="1" ht="13.2">
      <c r="A41" s="244" t="s">
        <v>330</v>
      </c>
      <c r="B41" s="244" t="s">
        <v>1021</v>
      </c>
      <c r="C41" s="244" t="s">
        <v>88</v>
      </c>
      <c r="D41" s="245">
        <f>INDEX('4. Headcount'!$D:$AA,MATCH("Sales &amp; Marketing FTE",'4. Headcount'!$B:$B,0),MATCH(D$3,'4. Headcount'!$D$3:$AA$3,0))</f>
        <v>0</v>
      </c>
      <c r="E41" s="245">
        <f>INDEX('4. Headcount'!$D:$AA,MATCH("Sales &amp; Marketing FTE",'4. Headcount'!$B:$B,0),MATCH(E$3,'4. Headcount'!$D$3:$AA$3,0))</f>
        <v>0</v>
      </c>
      <c r="F41" s="245">
        <f>INDEX('4. Headcount'!$D:$AA,MATCH("Sales &amp; Marketing FTE",'4. Headcount'!$B:$B,0),MATCH(F$3,'4. Headcount'!$D$3:$AA$3,0))</f>
        <v>0</v>
      </c>
      <c r="G41" s="245">
        <f>INDEX('4. Headcount'!$D:$AA,MATCH("Sales &amp; Marketing FTE",'4. Headcount'!$B:$B,0),MATCH(G$3,'4. Headcount'!$D$3:$AA$3,0))</f>
        <v>1</v>
      </c>
      <c r="H41" s="245">
        <f>INDEX('4. Headcount'!$D:$AA,MATCH("Sales &amp; Marketing FTE",'4. Headcount'!$B:$B,0),MATCH(H$3,'4. Headcount'!$D$3:$AA$3,0))</f>
        <v>2</v>
      </c>
      <c r="I41" s="245">
        <f>INDEX('4. Headcount'!$D:$AA,MATCH("Sales &amp; Marketing FTE",'4. Headcount'!$B:$B,0),MATCH(I$3,'4. Headcount'!$D$3:$AA$3,0))</f>
        <v>2</v>
      </c>
      <c r="J41" s="245">
        <f>INDEX('4. Headcount'!$D:$AA,MATCH("Sales &amp; Marketing FTE",'4. Headcount'!$B:$B,0),MATCH(J$3,'4. Headcount'!$D$3:$AA$3,0))</f>
        <v>2</v>
      </c>
      <c r="K41" s="245">
        <f>INDEX('4. Headcount'!$D:$AA,MATCH("Sales &amp; Marketing FTE",'4. Headcount'!$B:$B,0),MATCH(K$3,'4. Headcount'!$D$3:$AA$3,0))</f>
        <v>2</v>
      </c>
      <c r="L41" s="245">
        <f>INDEX('4. Headcount'!$D:$AA,MATCH("Sales &amp; Marketing FTE",'4. Headcount'!$B:$B,0),MATCH(L$3,'4. Headcount'!$D$3:$AA$3,0))</f>
        <v>3</v>
      </c>
      <c r="M41" s="245">
        <f>INDEX('4. Headcount'!$D:$AA,MATCH("Sales &amp; Marketing FTE",'4. Headcount'!$B:$B,0),MATCH(M$3,'4. Headcount'!$D$3:$AA$3,0))</f>
        <v>3</v>
      </c>
      <c r="N41" s="245">
        <f>INDEX('4. Headcount'!$D:$AA,MATCH("Sales &amp; Marketing FTE",'4. Headcount'!$B:$B,0),MATCH(N$3,'4. Headcount'!$D$3:$AA$3,0))</f>
        <v>3</v>
      </c>
      <c r="O41" s="245">
        <f>INDEX('4. Headcount'!$D:$AA,MATCH("Sales &amp; Marketing FTE",'4. Headcount'!$B:$B,0),MATCH(O$3,'4. Headcount'!$D$3:$AA$3,0))</f>
        <v>3</v>
      </c>
      <c r="P41" s="245">
        <f>INDEX('4. Headcount'!$D:$AA,MATCH("Sales &amp; Marketing FTE",'4. Headcount'!$B:$B,0),MATCH(P$3,'4. Headcount'!$D$3:$AA$3,0))</f>
        <v>3</v>
      </c>
      <c r="Q41" s="245">
        <f>INDEX('4. Headcount'!$D:$AA,MATCH("Sales &amp; Marketing FTE",'4. Headcount'!$B:$B,0),MATCH(Q$3,'4. Headcount'!$D$3:$AA$3,0))</f>
        <v>4</v>
      </c>
      <c r="R41" s="245">
        <f>INDEX('4. Headcount'!$D:$AA,MATCH("Sales &amp; Marketing FTE",'4. Headcount'!$B:$B,0),MATCH(R$3,'4. Headcount'!$D$3:$AA$3,0))</f>
        <v>4</v>
      </c>
      <c r="S41" s="245">
        <f>INDEX('4. Headcount'!$D:$AA,MATCH("Sales &amp; Marketing FTE",'4. Headcount'!$B:$B,0),MATCH(S$3,'4. Headcount'!$D$3:$AA$3,0))</f>
        <v>4</v>
      </c>
      <c r="T41" s="245">
        <f>INDEX('4. Headcount'!$D:$AA,MATCH("Sales &amp; Marketing FTE",'4. Headcount'!$B:$B,0),MATCH(T$3,'4. Headcount'!$D$3:$AA$3,0))</f>
        <v>4</v>
      </c>
      <c r="U41" s="245">
        <f>INDEX('4. Headcount'!$D:$AA,MATCH("Sales &amp; Marketing FTE",'4. Headcount'!$B:$B,0),MATCH(U$3,'4. Headcount'!$D$3:$AA$3,0))</f>
        <v>4</v>
      </c>
      <c r="V41" s="245">
        <f>INDEX('4. Headcount'!$D:$AA,MATCH("Sales &amp; Marketing FTE",'4. Headcount'!$B:$B,0),MATCH(V$3,'4. Headcount'!$D$3:$AA$3,0))</f>
        <v>4</v>
      </c>
      <c r="W41" s="245">
        <f>INDEX('4. Headcount'!$D:$AA,MATCH("Sales &amp; Marketing FTE",'4. Headcount'!$B:$B,0),MATCH(W$3,'4. Headcount'!$D$3:$AA$3,0))</f>
        <v>4</v>
      </c>
      <c r="X41" s="245">
        <f>INDEX('4. Headcount'!$D:$AA,MATCH("Sales &amp; Marketing FTE",'4. Headcount'!$B:$B,0),MATCH(X$3,'4. Headcount'!$D$3:$AA$3,0))</f>
        <v>4</v>
      </c>
      <c r="Y41" s="245">
        <f>INDEX('4. Headcount'!$D:$AA,MATCH("Sales &amp; Marketing FTE",'4. Headcount'!$B:$B,0),MATCH(Y$3,'4. Headcount'!$D$3:$AA$3,0))</f>
        <v>4</v>
      </c>
      <c r="Z41" s="245">
        <f>INDEX('4. Headcount'!$D:$AA,MATCH("Sales &amp; Marketing FTE",'4. Headcount'!$B:$B,0),MATCH(Z$3,'4. Headcount'!$D$3:$AA$3,0))</f>
        <v>4</v>
      </c>
      <c r="AA41" s="245">
        <f>INDEX('4. Headcount'!$D:$AA,MATCH("Sales &amp; Marketing FTE",'4. Headcount'!$B:$B,0),MATCH(AA$3,'4. Headcount'!$D$3:$AA$3,0))</f>
        <v>4</v>
      </c>
    </row>
    <row r="42" spans="1:27" s="207" customFormat="1" ht="13.2">
      <c r="A42" s="244" t="s">
        <v>330</v>
      </c>
      <c r="B42" s="244" t="s">
        <v>1022</v>
      </c>
      <c r="C42" s="244" t="s">
        <v>88</v>
      </c>
      <c r="D42" s="245">
        <f>INDEX('4. Headcount'!$D:$AA,MATCH("COGS / Customer Success FTE",'4. Headcount'!$B:$B,0),MATCH(D$3,'4. Headcount'!$D$3:$AA$3,0))</f>
        <v>0</v>
      </c>
      <c r="E42" s="245">
        <f>INDEX('4. Headcount'!$D:$AA,MATCH("COGS / Customer Success FTE",'4. Headcount'!$B:$B,0),MATCH(E$3,'4. Headcount'!$D$3:$AA$3,0))</f>
        <v>0</v>
      </c>
      <c r="F42" s="245">
        <f>INDEX('4. Headcount'!$D:$AA,MATCH("COGS / Customer Success FTE",'4. Headcount'!$B:$B,0),MATCH(F$3,'4. Headcount'!$D$3:$AA$3,0))</f>
        <v>0</v>
      </c>
      <c r="G42" s="245">
        <f>INDEX('4. Headcount'!$D:$AA,MATCH("COGS / Customer Success FTE",'4. Headcount'!$B:$B,0),MATCH(G$3,'4. Headcount'!$D$3:$AA$3,0))</f>
        <v>0</v>
      </c>
      <c r="H42" s="245">
        <f>INDEX('4. Headcount'!$D:$AA,MATCH("COGS / Customer Success FTE",'4. Headcount'!$B:$B,0),MATCH(H$3,'4. Headcount'!$D$3:$AA$3,0))</f>
        <v>0</v>
      </c>
      <c r="I42" s="245">
        <f>INDEX('4. Headcount'!$D:$AA,MATCH("COGS / Customer Success FTE",'4. Headcount'!$B:$B,0),MATCH(I$3,'4. Headcount'!$D$3:$AA$3,0))</f>
        <v>0</v>
      </c>
      <c r="J42" s="245">
        <f>INDEX('4. Headcount'!$D:$AA,MATCH("COGS / Customer Success FTE",'4. Headcount'!$B:$B,0),MATCH(J$3,'4. Headcount'!$D$3:$AA$3,0))</f>
        <v>0</v>
      </c>
      <c r="K42" s="245">
        <f>INDEX('4. Headcount'!$D:$AA,MATCH("COGS / Customer Success FTE",'4. Headcount'!$B:$B,0),MATCH(K$3,'4. Headcount'!$D$3:$AA$3,0))</f>
        <v>1</v>
      </c>
      <c r="L42" s="245">
        <f>INDEX('4. Headcount'!$D:$AA,MATCH("COGS / Customer Success FTE",'4. Headcount'!$B:$B,0),MATCH(L$3,'4. Headcount'!$D$3:$AA$3,0))</f>
        <v>1</v>
      </c>
      <c r="M42" s="245">
        <f>INDEX('4. Headcount'!$D:$AA,MATCH("COGS / Customer Success FTE",'4. Headcount'!$B:$B,0),MATCH(M$3,'4. Headcount'!$D$3:$AA$3,0))</f>
        <v>1</v>
      </c>
      <c r="N42" s="245">
        <f>INDEX('4. Headcount'!$D:$AA,MATCH("COGS / Customer Success FTE",'4. Headcount'!$B:$B,0),MATCH(N$3,'4. Headcount'!$D$3:$AA$3,0))</f>
        <v>1</v>
      </c>
      <c r="O42" s="245">
        <f>INDEX('4. Headcount'!$D:$AA,MATCH("COGS / Customer Success FTE",'4. Headcount'!$B:$B,0),MATCH(O$3,'4. Headcount'!$D$3:$AA$3,0))</f>
        <v>1</v>
      </c>
      <c r="P42" s="245">
        <f>INDEX('4. Headcount'!$D:$AA,MATCH("COGS / Customer Success FTE",'4. Headcount'!$B:$B,0),MATCH(P$3,'4. Headcount'!$D$3:$AA$3,0))</f>
        <v>1</v>
      </c>
      <c r="Q42" s="245">
        <f>INDEX('4. Headcount'!$D:$AA,MATCH("COGS / Customer Success FTE",'4. Headcount'!$B:$B,0),MATCH(Q$3,'4. Headcount'!$D$3:$AA$3,0))</f>
        <v>1</v>
      </c>
      <c r="R42" s="245">
        <f>INDEX('4. Headcount'!$D:$AA,MATCH("COGS / Customer Success FTE",'4. Headcount'!$B:$B,0),MATCH(R$3,'4. Headcount'!$D$3:$AA$3,0))</f>
        <v>1</v>
      </c>
      <c r="S42" s="245">
        <f>INDEX('4. Headcount'!$D:$AA,MATCH("COGS / Customer Success FTE",'4. Headcount'!$B:$B,0),MATCH(S$3,'4. Headcount'!$D$3:$AA$3,0))</f>
        <v>2</v>
      </c>
      <c r="T42" s="245">
        <f>INDEX('4. Headcount'!$D:$AA,MATCH("COGS / Customer Success FTE",'4. Headcount'!$B:$B,0),MATCH(T$3,'4. Headcount'!$D$3:$AA$3,0))</f>
        <v>2</v>
      </c>
      <c r="U42" s="245">
        <f>INDEX('4. Headcount'!$D:$AA,MATCH("COGS / Customer Success FTE",'4. Headcount'!$B:$B,0),MATCH(U$3,'4. Headcount'!$D$3:$AA$3,0))</f>
        <v>2</v>
      </c>
      <c r="V42" s="245">
        <f>INDEX('4. Headcount'!$D:$AA,MATCH("COGS / Customer Success FTE",'4. Headcount'!$B:$B,0),MATCH(V$3,'4. Headcount'!$D$3:$AA$3,0))</f>
        <v>2</v>
      </c>
      <c r="W42" s="245">
        <f>INDEX('4. Headcount'!$D:$AA,MATCH("COGS / Customer Success FTE",'4. Headcount'!$B:$B,0),MATCH(W$3,'4. Headcount'!$D$3:$AA$3,0))</f>
        <v>2</v>
      </c>
      <c r="X42" s="245">
        <f>INDEX('4. Headcount'!$D:$AA,MATCH("COGS / Customer Success FTE",'4. Headcount'!$B:$B,0),MATCH(X$3,'4. Headcount'!$D$3:$AA$3,0))</f>
        <v>2</v>
      </c>
      <c r="Y42" s="245">
        <f>INDEX('4. Headcount'!$D:$AA,MATCH("COGS / Customer Success FTE",'4. Headcount'!$B:$B,0),MATCH(Y$3,'4. Headcount'!$D$3:$AA$3,0))</f>
        <v>2</v>
      </c>
      <c r="Z42" s="245">
        <f>INDEX('4. Headcount'!$D:$AA,MATCH("COGS / Customer Success FTE",'4. Headcount'!$B:$B,0),MATCH(Z$3,'4. Headcount'!$D$3:$AA$3,0))</f>
        <v>2</v>
      </c>
      <c r="AA42" s="245">
        <f>INDEX('4. Headcount'!$D:$AA,MATCH("COGS / Customer Success FTE",'4. Headcount'!$B:$B,0),MATCH(AA$3,'4. Headcount'!$D$3:$AA$3,0))</f>
        <v>2</v>
      </c>
    </row>
    <row r="43" spans="1:27" s="207" customFormat="1" ht="13.2">
      <c r="A43" s="244" t="s">
        <v>330</v>
      </c>
      <c r="B43" s="244" t="s">
        <v>842</v>
      </c>
      <c r="C43" s="244" t="s">
        <v>88</v>
      </c>
      <c r="D43" s="245">
        <f>INDEX('4. Headcount'!$D:$AA,MATCH("G&amp;A FTE",'4. Headcount'!$B:$B,0),MATCH(D$3,'4. Headcount'!$D$3:$AA$3,0))</f>
        <v>1</v>
      </c>
      <c r="E43" s="245">
        <f>INDEX('4. Headcount'!$D:$AA,MATCH("G&amp;A FTE",'4. Headcount'!$B:$B,0),MATCH(E$3,'4. Headcount'!$D$3:$AA$3,0))</f>
        <v>1</v>
      </c>
      <c r="F43" s="245">
        <f>INDEX('4. Headcount'!$D:$AA,MATCH("G&amp;A FTE",'4. Headcount'!$B:$B,0),MATCH(F$3,'4. Headcount'!$D$3:$AA$3,0))</f>
        <v>1</v>
      </c>
      <c r="G43" s="245">
        <f>INDEX('4. Headcount'!$D:$AA,MATCH("G&amp;A FTE",'4. Headcount'!$B:$B,0),MATCH(G$3,'4. Headcount'!$D$3:$AA$3,0))</f>
        <v>1</v>
      </c>
      <c r="H43" s="245">
        <f>INDEX('4. Headcount'!$D:$AA,MATCH("G&amp;A FTE",'4. Headcount'!$B:$B,0),MATCH(H$3,'4. Headcount'!$D$3:$AA$3,0))</f>
        <v>1</v>
      </c>
      <c r="I43" s="245">
        <f>INDEX('4. Headcount'!$D:$AA,MATCH("G&amp;A FTE",'4. Headcount'!$B:$B,0),MATCH(I$3,'4. Headcount'!$D$3:$AA$3,0))</f>
        <v>1</v>
      </c>
      <c r="J43" s="245">
        <f>INDEX('4. Headcount'!$D:$AA,MATCH("G&amp;A FTE",'4. Headcount'!$B:$B,0),MATCH(J$3,'4. Headcount'!$D$3:$AA$3,0))</f>
        <v>1</v>
      </c>
      <c r="K43" s="245">
        <f>INDEX('4. Headcount'!$D:$AA,MATCH("G&amp;A FTE",'4. Headcount'!$B:$B,0),MATCH(K$3,'4. Headcount'!$D$3:$AA$3,0))</f>
        <v>1</v>
      </c>
      <c r="L43" s="245">
        <f>INDEX('4. Headcount'!$D:$AA,MATCH("G&amp;A FTE",'4. Headcount'!$B:$B,0),MATCH(L$3,'4. Headcount'!$D$3:$AA$3,0))</f>
        <v>1</v>
      </c>
      <c r="M43" s="245">
        <f>INDEX('4. Headcount'!$D:$AA,MATCH("G&amp;A FTE",'4. Headcount'!$B:$B,0),MATCH(M$3,'4. Headcount'!$D$3:$AA$3,0))</f>
        <v>1</v>
      </c>
      <c r="N43" s="245">
        <f>INDEX('4. Headcount'!$D:$AA,MATCH("G&amp;A FTE",'4. Headcount'!$B:$B,0),MATCH(N$3,'4. Headcount'!$D$3:$AA$3,0))</f>
        <v>1</v>
      </c>
      <c r="O43" s="245">
        <f>INDEX('4. Headcount'!$D:$AA,MATCH("G&amp;A FTE",'4. Headcount'!$B:$B,0),MATCH(O$3,'4. Headcount'!$D$3:$AA$3,0))</f>
        <v>1</v>
      </c>
      <c r="P43" s="245">
        <f>INDEX('4. Headcount'!$D:$AA,MATCH("G&amp;A FTE",'4. Headcount'!$B:$B,0),MATCH(P$3,'4. Headcount'!$D$3:$AA$3,0))</f>
        <v>1</v>
      </c>
      <c r="Q43" s="245">
        <f>INDEX('4. Headcount'!$D:$AA,MATCH("G&amp;A FTE",'4. Headcount'!$B:$B,0),MATCH(Q$3,'4. Headcount'!$D$3:$AA$3,0))</f>
        <v>1</v>
      </c>
      <c r="R43" s="245">
        <f>INDEX('4. Headcount'!$D:$AA,MATCH("G&amp;A FTE",'4. Headcount'!$B:$B,0),MATCH(R$3,'4. Headcount'!$D$3:$AA$3,0))</f>
        <v>1</v>
      </c>
      <c r="S43" s="245">
        <f>INDEX('4. Headcount'!$D:$AA,MATCH("G&amp;A FTE",'4. Headcount'!$B:$B,0),MATCH(S$3,'4. Headcount'!$D$3:$AA$3,0))</f>
        <v>1</v>
      </c>
      <c r="T43" s="245">
        <f>INDEX('4. Headcount'!$D:$AA,MATCH("G&amp;A FTE",'4. Headcount'!$B:$B,0),MATCH(T$3,'4. Headcount'!$D$3:$AA$3,0))</f>
        <v>1</v>
      </c>
      <c r="U43" s="245">
        <f>INDEX('4. Headcount'!$D:$AA,MATCH("G&amp;A FTE",'4. Headcount'!$B:$B,0),MATCH(U$3,'4. Headcount'!$D$3:$AA$3,0))</f>
        <v>1</v>
      </c>
      <c r="V43" s="245">
        <f>INDEX('4. Headcount'!$D:$AA,MATCH("G&amp;A FTE",'4. Headcount'!$B:$B,0),MATCH(V$3,'4. Headcount'!$D$3:$AA$3,0))</f>
        <v>1</v>
      </c>
      <c r="W43" s="245">
        <f>INDEX('4. Headcount'!$D:$AA,MATCH("G&amp;A FTE",'4. Headcount'!$B:$B,0),MATCH(W$3,'4. Headcount'!$D$3:$AA$3,0))</f>
        <v>2</v>
      </c>
      <c r="X43" s="245">
        <f>INDEX('4. Headcount'!$D:$AA,MATCH("G&amp;A FTE",'4. Headcount'!$B:$B,0),MATCH(X$3,'4. Headcount'!$D$3:$AA$3,0))</f>
        <v>2</v>
      </c>
      <c r="Y43" s="245">
        <f>INDEX('4. Headcount'!$D:$AA,MATCH("G&amp;A FTE",'4. Headcount'!$B:$B,0),MATCH(Y$3,'4. Headcount'!$D$3:$AA$3,0))</f>
        <v>2</v>
      </c>
      <c r="Z43" s="245">
        <f>INDEX('4. Headcount'!$D:$AA,MATCH("G&amp;A FTE",'4. Headcount'!$B:$B,0),MATCH(Z$3,'4. Headcount'!$D$3:$AA$3,0))</f>
        <v>2</v>
      </c>
      <c r="AA43" s="245">
        <f>INDEX('4. Headcount'!$D:$AA,MATCH("G&amp;A FTE",'4. Headcount'!$B:$B,0),MATCH(AA$3,'4. Headcount'!$D$3:$AA$3,0))</f>
        <v>2</v>
      </c>
    </row>
    <row r="44" spans="1:27" s="207" customFormat="1" ht="13.2">
      <c r="A44" s="244" t="s">
        <v>330</v>
      </c>
      <c r="B44" s="244" t="s">
        <v>1023</v>
      </c>
      <c r="C44" s="244" t="s">
        <v>88</v>
      </c>
      <c r="D44" s="254">
        <f>INDEX('4. Headcount'!$D:$AA,MATCH("Total Department FTE",'4. Headcount'!$B:$B,0),MATCH(D$3,'4. Headcount'!$D$3:$AA$3,0))</f>
        <v>2</v>
      </c>
      <c r="E44" s="254">
        <f>INDEX('4. Headcount'!$D:$AA,MATCH("Total Department FTE",'4. Headcount'!$B:$B,0),MATCH(E$3,'4. Headcount'!$D$3:$AA$3,0))</f>
        <v>2</v>
      </c>
      <c r="F44" s="254">
        <f>INDEX('4. Headcount'!$D:$AA,MATCH("Total Department FTE",'4. Headcount'!$B:$B,0),MATCH(F$3,'4. Headcount'!$D$3:$AA$3,0))</f>
        <v>3</v>
      </c>
      <c r="G44" s="254">
        <f>INDEX('4. Headcount'!$D:$AA,MATCH("Total Department FTE",'4. Headcount'!$B:$B,0),MATCH(G$3,'4. Headcount'!$D$3:$AA$3,0))</f>
        <v>4</v>
      </c>
      <c r="H44" s="254">
        <f>INDEX('4. Headcount'!$D:$AA,MATCH("Total Department FTE",'4. Headcount'!$B:$B,0),MATCH(H$3,'4. Headcount'!$D$3:$AA$3,0))</f>
        <v>5</v>
      </c>
      <c r="I44" s="254">
        <f>INDEX('4. Headcount'!$D:$AA,MATCH("Total Department FTE",'4. Headcount'!$B:$B,0),MATCH(I$3,'4. Headcount'!$D$3:$AA$3,0))</f>
        <v>6</v>
      </c>
      <c r="J44" s="254">
        <f>INDEX('4. Headcount'!$D:$AA,MATCH("Total Department FTE",'4. Headcount'!$B:$B,0),MATCH(J$3,'4. Headcount'!$D$3:$AA$3,0))</f>
        <v>6</v>
      </c>
      <c r="K44" s="254">
        <f>INDEX('4. Headcount'!$D:$AA,MATCH("Total Department FTE",'4. Headcount'!$B:$B,0),MATCH(K$3,'4. Headcount'!$D$3:$AA$3,0))</f>
        <v>7</v>
      </c>
      <c r="L44" s="254">
        <f>INDEX('4. Headcount'!$D:$AA,MATCH("Total Department FTE",'4. Headcount'!$B:$B,0),MATCH(L$3,'4. Headcount'!$D$3:$AA$3,0))</f>
        <v>8</v>
      </c>
      <c r="M44" s="254">
        <f>INDEX('4. Headcount'!$D:$AA,MATCH("Total Department FTE",'4. Headcount'!$B:$B,0),MATCH(M$3,'4. Headcount'!$D$3:$AA$3,0))</f>
        <v>9</v>
      </c>
      <c r="N44" s="254">
        <f>INDEX('4. Headcount'!$D:$AA,MATCH("Total Department FTE",'4. Headcount'!$B:$B,0),MATCH(N$3,'4. Headcount'!$D$3:$AA$3,0))</f>
        <v>9</v>
      </c>
      <c r="O44" s="254">
        <f>INDEX('4. Headcount'!$D:$AA,MATCH("Total Department FTE",'4. Headcount'!$B:$B,0),MATCH(O$3,'4. Headcount'!$D$3:$AA$3,0))</f>
        <v>10</v>
      </c>
      <c r="P44" s="254">
        <f>INDEX('4. Headcount'!$D:$AA,MATCH("Total Department FTE",'4. Headcount'!$B:$B,0),MATCH(P$3,'4. Headcount'!$D$3:$AA$3,0))</f>
        <v>10</v>
      </c>
      <c r="Q44" s="254">
        <f>INDEX('4. Headcount'!$D:$AA,MATCH("Total Department FTE",'4. Headcount'!$B:$B,0),MATCH(Q$3,'4. Headcount'!$D$3:$AA$3,0))</f>
        <v>11</v>
      </c>
      <c r="R44" s="254">
        <f>INDEX('4. Headcount'!$D:$AA,MATCH("Total Department FTE",'4. Headcount'!$B:$B,0),MATCH(R$3,'4. Headcount'!$D$3:$AA$3,0))</f>
        <v>11</v>
      </c>
      <c r="S44" s="254">
        <f>INDEX('4. Headcount'!$D:$AA,MATCH("Total Department FTE",'4. Headcount'!$B:$B,0),MATCH(S$3,'4. Headcount'!$D$3:$AA$3,0))</f>
        <v>12</v>
      </c>
      <c r="T44" s="254">
        <f>INDEX('4. Headcount'!$D:$AA,MATCH("Total Department FTE",'4. Headcount'!$B:$B,0),MATCH(T$3,'4. Headcount'!$D$3:$AA$3,0))</f>
        <v>12</v>
      </c>
      <c r="U44" s="254">
        <f>INDEX('4. Headcount'!$D:$AA,MATCH("Total Department FTE",'4. Headcount'!$B:$B,0),MATCH(U$3,'4. Headcount'!$D$3:$AA$3,0))</f>
        <v>12</v>
      </c>
      <c r="V44" s="254">
        <f>INDEX('4. Headcount'!$D:$AA,MATCH("Total Department FTE",'4. Headcount'!$B:$B,0),MATCH(V$3,'4. Headcount'!$D$3:$AA$3,0))</f>
        <v>12</v>
      </c>
      <c r="W44" s="254">
        <f>INDEX('4. Headcount'!$D:$AA,MATCH("Total Department FTE",'4. Headcount'!$B:$B,0),MATCH(W$3,'4. Headcount'!$D$3:$AA$3,0))</f>
        <v>13</v>
      </c>
      <c r="X44" s="254">
        <f>INDEX('4. Headcount'!$D:$AA,MATCH("Total Department FTE",'4. Headcount'!$B:$B,0),MATCH(X$3,'4. Headcount'!$D$3:$AA$3,0))</f>
        <v>13</v>
      </c>
      <c r="Y44" s="254">
        <f>INDEX('4. Headcount'!$D:$AA,MATCH("Total Department FTE",'4. Headcount'!$B:$B,0),MATCH(Y$3,'4. Headcount'!$D$3:$AA$3,0))</f>
        <v>13</v>
      </c>
      <c r="Z44" s="254">
        <f>INDEX('4. Headcount'!$D:$AA,MATCH("Total Department FTE",'4. Headcount'!$B:$B,0),MATCH(Z$3,'4. Headcount'!$D$3:$AA$3,0))</f>
        <v>13</v>
      </c>
      <c r="AA44" s="254">
        <f>INDEX('4. Headcount'!$D:$AA,MATCH("Total Department FTE",'4. Headcount'!$B:$B,0),MATCH(AA$3,'4. Headcount'!$D$3:$AA$3,0))</f>
        <v>13</v>
      </c>
    </row>
    <row r="45" spans="1:27" s="207" customFormat="1" ht="13.2">
      <c r="A45" s="244" t="s">
        <v>330</v>
      </c>
      <c r="B45" s="244" t="s">
        <v>1071</v>
      </c>
      <c r="C45" s="244" t="s">
        <v>1024</v>
      </c>
      <c r="D45" s="154">
        <f>IFERROR(INDEX('4. Headcount'!$D:$AA,MATCH("Total Fully Loaded Payroll",'4. Headcount'!$B:$B,0),MATCH(D$3,'4. Headcount'!$D$3:$AA$3,0))/D44,"")</f>
        <v>12666.666666666668</v>
      </c>
      <c r="E45" s="154">
        <f>IFERROR(INDEX('4. Headcount'!$D:$AA,MATCH("Total Fully Loaded Payroll",'4. Headcount'!$B:$B,0),MATCH(E$3,'4. Headcount'!$D$3:$AA$3,0))/E44,"")</f>
        <v>12666.666666666668</v>
      </c>
      <c r="F45" s="154">
        <f>IFERROR(INDEX('4. Headcount'!$D:$AA,MATCH("Total Fully Loaded Payroll",'4. Headcount'!$B:$B,0),MATCH(F$3,'4. Headcount'!$D$3:$AA$3,0))/F44,"")</f>
        <v>13500</v>
      </c>
      <c r="G45" s="154">
        <f>IFERROR(INDEX('4. Headcount'!$D:$AA,MATCH("Total Fully Loaded Payroll",'4. Headcount'!$B:$B,0),MATCH(G$3,'4. Headcount'!$D$3:$AA$3,0))/G44,"")</f>
        <v>13916.666666666666</v>
      </c>
      <c r="H45" s="154">
        <f>IFERROR(INDEX('4. Headcount'!$D:$AA,MATCH("Total Fully Loaded Payroll",'4. Headcount'!$B:$B,0),MATCH(H$3,'4. Headcount'!$D$3:$AA$3,0))/H44,"")</f>
        <v>13166.666666666668</v>
      </c>
      <c r="I45" s="154">
        <f>IFERROR(INDEX('4. Headcount'!$D:$AA,MATCH("Total Fully Loaded Payroll",'4. Headcount'!$B:$B,0),MATCH(I$3,'4. Headcount'!$D$3:$AA$3,0))/I44,"")</f>
        <v>13500</v>
      </c>
      <c r="J45" s="154">
        <f>IFERROR(INDEX('4. Headcount'!$D:$AA,MATCH("Total Fully Loaded Payroll",'4. Headcount'!$B:$B,0),MATCH(J$3,'4. Headcount'!$D$3:$AA$3,0))/J44,"")</f>
        <v>13500</v>
      </c>
      <c r="K45" s="154">
        <f>IFERROR(INDEX('4. Headcount'!$D:$AA,MATCH("Total Fully Loaded Payroll",'4. Headcount'!$B:$B,0),MATCH(K$3,'4. Headcount'!$D$3:$AA$3,0))/K44,"")</f>
        <v>12809.523809523811</v>
      </c>
      <c r="L45" s="154">
        <f>IFERROR(INDEX('4. Headcount'!$D:$AA,MATCH("Total Fully Loaded Payroll",'4. Headcount'!$B:$B,0),MATCH(L$3,'4. Headcount'!$D$3:$AA$3,0))/L44,"")</f>
        <v>12979.166666666666</v>
      </c>
      <c r="M45" s="154">
        <f>IFERROR(INDEX('4. Headcount'!$D:$AA,MATCH("Total Fully Loaded Payroll",'4. Headcount'!$B:$B,0),MATCH(M$3,'4. Headcount'!$D$3:$AA$3,0))/M44,"")</f>
        <v>13000</v>
      </c>
      <c r="N45" s="154">
        <f>IFERROR(INDEX('4. Headcount'!$D:$AA,MATCH("Total Fully Loaded Payroll",'4. Headcount'!$B:$B,0),MATCH(N$3,'4. Headcount'!$D$3:$AA$3,0))/N44,"")</f>
        <v>13000</v>
      </c>
      <c r="O45" s="154">
        <f>IFERROR(INDEX('4. Headcount'!$D:$AA,MATCH("Total Fully Loaded Payroll",'4. Headcount'!$B:$B,0),MATCH(O$3,'4. Headcount'!$D$3:$AA$3,0))/O44,"")</f>
        <v>13116.666666666666</v>
      </c>
      <c r="P45" s="154">
        <f>IFERROR(INDEX('4. Headcount'!$D:$AA,MATCH("Total Fully Loaded Payroll",'4. Headcount'!$B:$B,0),MATCH(P$3,'4. Headcount'!$D$3:$AA$3,0))/P44,"")</f>
        <v>13116.666666666666</v>
      </c>
      <c r="Q45" s="154">
        <f>IFERROR(INDEX('4. Headcount'!$D:$AA,MATCH("Total Fully Loaded Payroll",'4. Headcount'!$B:$B,0),MATCH(Q$3,'4. Headcount'!$D$3:$AA$3,0))/Q44,"")</f>
        <v>13212.121212121214</v>
      </c>
      <c r="R45" s="154">
        <f>IFERROR(INDEX('4. Headcount'!$D:$AA,MATCH("Total Fully Loaded Payroll",'4. Headcount'!$B:$B,0),MATCH(R$3,'4. Headcount'!$D$3:$AA$3,0))/R44,"")</f>
        <v>13212.121212121214</v>
      </c>
      <c r="S45" s="154">
        <f>IFERROR(INDEX('4. Headcount'!$D:$AA,MATCH("Total Fully Loaded Payroll",'4. Headcount'!$B:$B,0),MATCH(S$3,'4. Headcount'!$D$3:$AA$3,0))/S44,"")</f>
        <v>12833.333333333334</v>
      </c>
      <c r="T45" s="154">
        <f>IFERROR(INDEX('4. Headcount'!$D:$AA,MATCH("Total Fully Loaded Payroll",'4. Headcount'!$B:$B,0),MATCH(T$3,'4. Headcount'!$D$3:$AA$3,0))/T44,"")</f>
        <v>12833.333333333334</v>
      </c>
      <c r="U45" s="154">
        <f>IFERROR(INDEX('4. Headcount'!$D:$AA,MATCH("Total Fully Loaded Payroll",'4. Headcount'!$B:$B,0),MATCH(U$3,'4. Headcount'!$D$3:$AA$3,0))/U44,"")</f>
        <v>12833.333333333334</v>
      </c>
      <c r="V45" s="154">
        <f>IFERROR(INDEX('4. Headcount'!$D:$AA,MATCH("Total Fully Loaded Payroll",'4. Headcount'!$B:$B,0),MATCH(V$3,'4. Headcount'!$D$3:$AA$3,0))/V44,"")</f>
        <v>12833.333333333334</v>
      </c>
      <c r="W45" s="154">
        <f>IFERROR(INDEX('4. Headcount'!$D:$AA,MATCH("Total Fully Loaded Payroll",'4. Headcount'!$B:$B,0),MATCH(W$3,'4. Headcount'!$D$3:$AA$3,0))/W44,"")</f>
        <v>13089.74358974359</v>
      </c>
      <c r="X45" s="154">
        <f>IFERROR(INDEX('4. Headcount'!$D:$AA,MATCH("Total Fully Loaded Payroll",'4. Headcount'!$B:$B,0),MATCH(X$3,'4. Headcount'!$D$3:$AA$3,0))/X44,"")</f>
        <v>13089.74358974359</v>
      </c>
      <c r="Y45" s="154">
        <f>IFERROR(INDEX('4. Headcount'!$D:$AA,MATCH("Total Fully Loaded Payroll",'4. Headcount'!$B:$B,0),MATCH(Y$3,'4. Headcount'!$D$3:$AA$3,0))/Y44,"")</f>
        <v>13089.74358974359</v>
      </c>
      <c r="Z45" s="154">
        <f>IFERROR(INDEX('4. Headcount'!$D:$AA,MATCH("Total Fully Loaded Payroll",'4. Headcount'!$B:$B,0),MATCH(Z$3,'4. Headcount'!$D$3:$AA$3,0))/Z44,"")</f>
        <v>13089.74358974359</v>
      </c>
      <c r="AA45" s="154">
        <f>IFERROR(INDEX('4. Headcount'!$D:$AA,MATCH("Total Fully Loaded Payroll",'4. Headcount'!$B:$B,0),MATCH(AA$3,'4. Headcount'!$D$3:$AA$3,0))/AA44,"")</f>
        <v>13089.74358974359</v>
      </c>
    </row>
    <row r="46" spans="1:27" s="207" customFormat="1" ht="13.2">
      <c r="A46" s="244"/>
      <c r="B46" s="244"/>
      <c r="C46" s="244"/>
      <c r="D46" s="255"/>
      <c r="E46" s="255"/>
      <c r="F46" s="255"/>
      <c r="G46" s="255"/>
      <c r="H46" s="255"/>
      <c r="I46" s="255"/>
      <c r="J46" s="255"/>
      <c r="K46" s="255"/>
      <c r="L46" s="255"/>
      <c r="M46" s="255"/>
      <c r="N46" s="255"/>
      <c r="O46" s="255"/>
      <c r="P46" s="255"/>
      <c r="Q46" s="255"/>
      <c r="R46" s="255"/>
      <c r="S46" s="255"/>
      <c r="T46" s="255"/>
      <c r="U46" s="255"/>
      <c r="V46" s="255"/>
      <c r="W46" s="255"/>
      <c r="X46" s="255"/>
      <c r="Y46" s="255"/>
      <c r="Z46" s="255"/>
      <c r="AA46" s="255"/>
    </row>
    <row r="47" spans="1:27" s="207" customFormat="1" ht="13.2">
      <c r="A47" s="242" t="s">
        <v>1025</v>
      </c>
      <c r="B47" s="243"/>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c r="AA47" s="242"/>
    </row>
    <row r="48" spans="1:27" s="207" customFormat="1" ht="13.2">
      <c r="A48" s="244" t="s">
        <v>308</v>
      </c>
      <c r="B48" s="244" t="s">
        <v>1026</v>
      </c>
      <c r="C48" s="244" t="s">
        <v>64</v>
      </c>
      <c r="D48" s="248">
        <f>INDEX('4. Headcount'!$D:$AA,MATCH("R&amp;D OpEx Payroll",'4. Headcount'!$B:$B,0),MATCH(D$3,'4. Headcount'!$D$3:$AA$3,0))</f>
        <v>13166.666666666666</v>
      </c>
      <c r="E48" s="248">
        <f>INDEX('4. Headcount'!$D:$AA,MATCH("R&amp;D OpEx Payroll",'4. Headcount'!$B:$B,0),MATCH(E$3,'4. Headcount'!$D$3:$AA$3,0))</f>
        <v>13166.666666666666</v>
      </c>
      <c r="F48" s="248">
        <f>INDEX('4. Headcount'!$D:$AA,MATCH("R&amp;D OpEx Payroll",'4. Headcount'!$B:$B,0),MATCH(F$3,'4. Headcount'!$D$3:$AA$3,0))</f>
        <v>28333.333333333336</v>
      </c>
      <c r="G48" s="248">
        <f>INDEX('4. Headcount'!$D:$AA,MATCH("R&amp;D OpEx Payroll",'4. Headcount'!$B:$B,0),MATCH(G$3,'4. Headcount'!$D$3:$AA$3,0))</f>
        <v>28333.333333333336</v>
      </c>
      <c r="H48" s="248">
        <f>INDEX('4. Headcount'!$D:$AA,MATCH("R&amp;D OpEx Payroll",'4. Headcount'!$B:$B,0),MATCH(H$3,'4. Headcount'!$D$3:$AA$3,0))</f>
        <v>28333.333333333336</v>
      </c>
      <c r="I48" s="248">
        <f>INDEX('4. Headcount'!$D:$AA,MATCH("R&amp;D OpEx Payroll",'4. Headcount'!$B:$B,0),MATCH(I$3,'4. Headcount'!$D$3:$AA$3,0))</f>
        <v>43500</v>
      </c>
      <c r="J48" s="248">
        <f>INDEX('4. Headcount'!$D:$AA,MATCH("R&amp;D OpEx Payroll",'4. Headcount'!$B:$B,0),MATCH(J$3,'4. Headcount'!$D$3:$AA$3,0))</f>
        <v>43500</v>
      </c>
      <c r="K48" s="248">
        <f>INDEX('4. Headcount'!$D:$AA,MATCH("R&amp;D OpEx Payroll",'4. Headcount'!$B:$B,0),MATCH(K$3,'4. Headcount'!$D$3:$AA$3,0))</f>
        <v>43500</v>
      </c>
      <c r="L48" s="248">
        <f>INDEX('4. Headcount'!$D:$AA,MATCH("R&amp;D OpEx Payroll",'4. Headcount'!$B:$B,0),MATCH(L$3,'4. Headcount'!$D$3:$AA$3,0))</f>
        <v>43500</v>
      </c>
      <c r="M48" s="248">
        <f>INDEX('4. Headcount'!$D:$AA,MATCH("R&amp;D OpEx Payroll",'4. Headcount'!$B:$B,0),MATCH(M$3,'4. Headcount'!$D$3:$AA$3,0))</f>
        <v>56666.666666666672</v>
      </c>
      <c r="N48" s="248">
        <f>INDEX('4. Headcount'!$D:$AA,MATCH("R&amp;D OpEx Payroll",'4. Headcount'!$B:$B,0),MATCH(N$3,'4. Headcount'!$D$3:$AA$3,0))</f>
        <v>56666.666666666672</v>
      </c>
      <c r="O48" s="248">
        <f>INDEX('4. Headcount'!$D:$AA,MATCH("R&amp;D OpEx Payroll",'4. Headcount'!$B:$B,0),MATCH(O$3,'4. Headcount'!$D$3:$AA$3,0))</f>
        <v>70833.333333333328</v>
      </c>
      <c r="P48" s="248">
        <f>INDEX('4. Headcount'!$D:$AA,MATCH("R&amp;D OpEx Payroll",'4. Headcount'!$B:$B,0),MATCH(P$3,'4. Headcount'!$D$3:$AA$3,0))</f>
        <v>70833.333333333328</v>
      </c>
      <c r="Q48" s="248">
        <f>INDEX('4. Headcount'!$D:$AA,MATCH("R&amp;D OpEx Payroll",'4. Headcount'!$B:$B,0),MATCH(Q$3,'4. Headcount'!$D$3:$AA$3,0))</f>
        <v>70833.333333333328</v>
      </c>
      <c r="R48" s="248">
        <f>INDEX('4. Headcount'!$D:$AA,MATCH("R&amp;D OpEx Payroll",'4. Headcount'!$B:$B,0),MATCH(R$3,'4. Headcount'!$D$3:$AA$3,0))</f>
        <v>70833.333333333328</v>
      </c>
      <c r="S48" s="248">
        <f>INDEX('4. Headcount'!$D:$AA,MATCH("R&amp;D OpEx Payroll",'4. Headcount'!$B:$B,0),MATCH(S$3,'4. Headcount'!$D$3:$AA$3,0))</f>
        <v>70833.333333333328</v>
      </c>
      <c r="T48" s="248">
        <f>INDEX('4. Headcount'!$D:$AA,MATCH("R&amp;D OpEx Payroll",'4. Headcount'!$B:$B,0),MATCH(T$3,'4. Headcount'!$D$3:$AA$3,0))</f>
        <v>70833.333333333328</v>
      </c>
      <c r="U48" s="248">
        <f>INDEX('4. Headcount'!$D:$AA,MATCH("R&amp;D OpEx Payroll",'4. Headcount'!$B:$B,0),MATCH(U$3,'4. Headcount'!$D$3:$AA$3,0))</f>
        <v>70833.333333333328</v>
      </c>
      <c r="V48" s="248">
        <f>INDEX('4. Headcount'!$D:$AA,MATCH("R&amp;D OpEx Payroll",'4. Headcount'!$B:$B,0),MATCH(V$3,'4. Headcount'!$D$3:$AA$3,0))</f>
        <v>70833.333333333328</v>
      </c>
      <c r="W48" s="248">
        <f>INDEX('4. Headcount'!$D:$AA,MATCH("R&amp;D OpEx Payroll",'4. Headcount'!$B:$B,0),MATCH(W$3,'4. Headcount'!$D$3:$AA$3,0))</f>
        <v>70833.333333333328</v>
      </c>
      <c r="X48" s="248">
        <f>INDEX('4. Headcount'!$D:$AA,MATCH("R&amp;D OpEx Payroll",'4. Headcount'!$B:$B,0),MATCH(X$3,'4. Headcount'!$D$3:$AA$3,0))</f>
        <v>70833.333333333328</v>
      </c>
      <c r="Y48" s="248">
        <f>INDEX('4. Headcount'!$D:$AA,MATCH("R&amp;D OpEx Payroll",'4. Headcount'!$B:$B,0),MATCH(Y$3,'4. Headcount'!$D$3:$AA$3,0))</f>
        <v>70833.333333333328</v>
      </c>
      <c r="Z48" s="248">
        <f>INDEX('4. Headcount'!$D:$AA,MATCH("R&amp;D OpEx Payroll",'4. Headcount'!$B:$B,0),MATCH(Z$3,'4. Headcount'!$D$3:$AA$3,0))</f>
        <v>70833.333333333328</v>
      </c>
      <c r="AA48" s="248">
        <f>INDEX('4. Headcount'!$D:$AA,MATCH("R&amp;D OpEx Payroll",'4. Headcount'!$B:$B,0),MATCH(AA$3,'4. Headcount'!$D$3:$AA$3,0))</f>
        <v>70833.333333333328</v>
      </c>
    </row>
    <row r="49" spans="1:27" s="207" customFormat="1" ht="13.2">
      <c r="A49" s="244" t="s">
        <v>308</v>
      </c>
      <c r="B49" s="244" t="s">
        <v>1027</v>
      </c>
      <c r="C49" s="244" t="s">
        <v>64</v>
      </c>
      <c r="D49" s="152">
        <f>INDEX('4. Headcount'!$D:$AA,MATCH("Sales &amp; Marketing OpEx Payroll",'4. Headcount'!$B:$B,0),MATCH(D$3,'4. Headcount'!$D$3:$AA$3,0))</f>
        <v>0</v>
      </c>
      <c r="E49" s="152">
        <f>INDEX('4. Headcount'!$D:$AA,MATCH("Sales &amp; Marketing OpEx Payroll",'4. Headcount'!$B:$B,0),MATCH(E$3,'4. Headcount'!$D$3:$AA$3,0))</f>
        <v>0</v>
      </c>
      <c r="F49" s="152">
        <f>INDEX('4. Headcount'!$D:$AA,MATCH("Sales &amp; Marketing OpEx Payroll",'4. Headcount'!$B:$B,0),MATCH(F$3,'4. Headcount'!$D$3:$AA$3,0))</f>
        <v>0</v>
      </c>
      <c r="G49" s="248">
        <f>INDEX('4. Headcount'!$D:$AA,MATCH("Sales &amp; Marketing OpEx Payroll",'4. Headcount'!$B:$B,0),MATCH(G$3,'4. Headcount'!$D$3:$AA$3,0))</f>
        <v>15166.666666666666</v>
      </c>
      <c r="H49" s="248">
        <f>INDEX('4. Headcount'!$D:$AA,MATCH("Sales &amp; Marketing OpEx Payroll",'4. Headcount'!$B:$B,0),MATCH(H$3,'4. Headcount'!$D$3:$AA$3,0))</f>
        <v>25333.333333333336</v>
      </c>
      <c r="I49" s="248">
        <f>INDEX('4. Headcount'!$D:$AA,MATCH("Sales &amp; Marketing OpEx Payroll",'4. Headcount'!$B:$B,0),MATCH(I$3,'4. Headcount'!$D$3:$AA$3,0))</f>
        <v>25333.333333333336</v>
      </c>
      <c r="J49" s="248">
        <f>INDEX('4. Headcount'!$D:$AA,MATCH("Sales &amp; Marketing OpEx Payroll",'4. Headcount'!$B:$B,0),MATCH(J$3,'4. Headcount'!$D$3:$AA$3,0))</f>
        <v>25333.333333333336</v>
      </c>
      <c r="K49" s="248">
        <f>INDEX('4. Headcount'!$D:$AA,MATCH("Sales &amp; Marketing OpEx Payroll",'4. Headcount'!$B:$B,0),MATCH(K$3,'4. Headcount'!$D$3:$AA$3,0))</f>
        <v>25333.333333333336</v>
      </c>
      <c r="L49" s="248">
        <f>INDEX('4. Headcount'!$D:$AA,MATCH("Sales &amp; Marketing OpEx Payroll",'4. Headcount'!$B:$B,0),MATCH(L$3,'4. Headcount'!$D$3:$AA$3,0))</f>
        <v>39500</v>
      </c>
      <c r="M49" s="248">
        <f>INDEX('4. Headcount'!$D:$AA,MATCH("Sales &amp; Marketing OpEx Payroll",'4. Headcount'!$B:$B,0),MATCH(M$3,'4. Headcount'!$D$3:$AA$3,0))</f>
        <v>39500</v>
      </c>
      <c r="N49" s="248">
        <f>INDEX('4. Headcount'!$D:$AA,MATCH("Sales &amp; Marketing OpEx Payroll",'4. Headcount'!$B:$B,0),MATCH(N$3,'4. Headcount'!$D$3:$AA$3,0))</f>
        <v>39500</v>
      </c>
      <c r="O49" s="248">
        <f>INDEX('4. Headcount'!$D:$AA,MATCH("Sales &amp; Marketing OpEx Payroll",'4. Headcount'!$B:$B,0),MATCH(O$3,'4. Headcount'!$D$3:$AA$3,0))</f>
        <v>39500</v>
      </c>
      <c r="P49" s="248">
        <f>INDEX('4. Headcount'!$D:$AA,MATCH("Sales &amp; Marketing OpEx Payroll",'4. Headcount'!$B:$B,0),MATCH(P$3,'4. Headcount'!$D$3:$AA$3,0))</f>
        <v>39500</v>
      </c>
      <c r="Q49" s="248">
        <f>INDEX('4. Headcount'!$D:$AA,MATCH("Sales &amp; Marketing OpEx Payroll",'4. Headcount'!$B:$B,0),MATCH(Q$3,'4. Headcount'!$D$3:$AA$3,0))</f>
        <v>53666.666666666657</v>
      </c>
      <c r="R49" s="248">
        <f>INDEX('4. Headcount'!$D:$AA,MATCH("Sales &amp; Marketing OpEx Payroll",'4. Headcount'!$B:$B,0),MATCH(R$3,'4. Headcount'!$D$3:$AA$3,0))</f>
        <v>53666.666666666657</v>
      </c>
      <c r="S49" s="248">
        <f>INDEX('4. Headcount'!$D:$AA,MATCH("Sales &amp; Marketing OpEx Payroll",'4. Headcount'!$B:$B,0),MATCH(S$3,'4. Headcount'!$D$3:$AA$3,0))</f>
        <v>53666.666666666657</v>
      </c>
      <c r="T49" s="248">
        <f>INDEX('4. Headcount'!$D:$AA,MATCH("Sales &amp; Marketing OpEx Payroll",'4. Headcount'!$B:$B,0),MATCH(T$3,'4. Headcount'!$D$3:$AA$3,0))</f>
        <v>53666.666666666657</v>
      </c>
      <c r="U49" s="248">
        <f>INDEX('4. Headcount'!$D:$AA,MATCH("Sales &amp; Marketing OpEx Payroll",'4. Headcount'!$B:$B,0),MATCH(U$3,'4. Headcount'!$D$3:$AA$3,0))</f>
        <v>53666.666666666657</v>
      </c>
      <c r="V49" s="248">
        <f>INDEX('4. Headcount'!$D:$AA,MATCH("Sales &amp; Marketing OpEx Payroll",'4. Headcount'!$B:$B,0),MATCH(V$3,'4. Headcount'!$D$3:$AA$3,0))</f>
        <v>53666.666666666657</v>
      </c>
      <c r="W49" s="248">
        <f>INDEX('4. Headcount'!$D:$AA,MATCH("Sales &amp; Marketing OpEx Payroll",'4. Headcount'!$B:$B,0),MATCH(W$3,'4. Headcount'!$D$3:$AA$3,0))</f>
        <v>53666.666666666657</v>
      </c>
      <c r="X49" s="248">
        <f>INDEX('4. Headcount'!$D:$AA,MATCH("Sales &amp; Marketing OpEx Payroll",'4. Headcount'!$B:$B,0),MATCH(X$3,'4. Headcount'!$D$3:$AA$3,0))</f>
        <v>53666.666666666657</v>
      </c>
      <c r="Y49" s="248">
        <f>INDEX('4. Headcount'!$D:$AA,MATCH("Sales &amp; Marketing OpEx Payroll",'4. Headcount'!$B:$B,0),MATCH(Y$3,'4. Headcount'!$D$3:$AA$3,0))</f>
        <v>53666.666666666657</v>
      </c>
      <c r="Z49" s="248">
        <f>INDEX('4. Headcount'!$D:$AA,MATCH("Sales &amp; Marketing OpEx Payroll",'4. Headcount'!$B:$B,0),MATCH(Z$3,'4. Headcount'!$D$3:$AA$3,0))</f>
        <v>53666.666666666657</v>
      </c>
      <c r="AA49" s="248">
        <f>INDEX('4. Headcount'!$D:$AA,MATCH("Sales &amp; Marketing OpEx Payroll",'4. Headcount'!$B:$B,0),MATCH(AA$3,'4. Headcount'!$D$3:$AA$3,0))</f>
        <v>53666.666666666657</v>
      </c>
    </row>
    <row r="50" spans="1:27" s="207" customFormat="1" ht="13.2">
      <c r="A50" s="244" t="s">
        <v>308</v>
      </c>
      <c r="B50" s="244" t="s">
        <v>1028</v>
      </c>
      <c r="C50" s="244" t="s">
        <v>64</v>
      </c>
      <c r="D50" s="248">
        <f>INDEX('4. Headcount'!$D:$AA,MATCH("G&amp;A OpEx Payroll",'4. Headcount'!$B:$B,0),MATCH(D$3,'4. Headcount'!$D$3:$AA$3,0))</f>
        <v>12166.666666666666</v>
      </c>
      <c r="E50" s="248">
        <f>INDEX('4. Headcount'!$D:$AA,MATCH("G&amp;A OpEx Payroll",'4. Headcount'!$B:$B,0),MATCH(E$3,'4. Headcount'!$D$3:$AA$3,0))</f>
        <v>12166.666666666666</v>
      </c>
      <c r="F50" s="248">
        <f>INDEX('4. Headcount'!$D:$AA,MATCH("G&amp;A OpEx Payroll",'4. Headcount'!$B:$B,0),MATCH(F$3,'4. Headcount'!$D$3:$AA$3,0))</f>
        <v>12166.666666666666</v>
      </c>
      <c r="G50" s="248">
        <f>INDEX('4. Headcount'!$D:$AA,MATCH("G&amp;A OpEx Payroll",'4. Headcount'!$B:$B,0),MATCH(G$3,'4. Headcount'!$D$3:$AA$3,0))</f>
        <v>12166.666666666666</v>
      </c>
      <c r="H50" s="248">
        <f>INDEX('4. Headcount'!$D:$AA,MATCH("G&amp;A OpEx Payroll",'4. Headcount'!$B:$B,0),MATCH(H$3,'4. Headcount'!$D$3:$AA$3,0))</f>
        <v>12166.666666666666</v>
      </c>
      <c r="I50" s="248">
        <f>INDEX('4. Headcount'!$D:$AA,MATCH("G&amp;A OpEx Payroll",'4. Headcount'!$B:$B,0),MATCH(I$3,'4. Headcount'!$D$3:$AA$3,0))</f>
        <v>12166.666666666666</v>
      </c>
      <c r="J50" s="248">
        <f>INDEX('4. Headcount'!$D:$AA,MATCH("G&amp;A OpEx Payroll",'4. Headcount'!$B:$B,0),MATCH(J$3,'4. Headcount'!$D$3:$AA$3,0))</f>
        <v>12166.666666666666</v>
      </c>
      <c r="K50" s="248">
        <f>INDEX('4. Headcount'!$D:$AA,MATCH("G&amp;A OpEx Payroll",'4. Headcount'!$B:$B,0),MATCH(K$3,'4. Headcount'!$D$3:$AA$3,0))</f>
        <v>12166.666666666666</v>
      </c>
      <c r="L50" s="248">
        <f>INDEX('4. Headcount'!$D:$AA,MATCH("G&amp;A OpEx Payroll",'4. Headcount'!$B:$B,0),MATCH(L$3,'4. Headcount'!$D$3:$AA$3,0))</f>
        <v>12166.666666666666</v>
      </c>
      <c r="M50" s="248">
        <f>INDEX('4. Headcount'!$D:$AA,MATCH("G&amp;A OpEx Payroll",'4. Headcount'!$B:$B,0),MATCH(M$3,'4. Headcount'!$D$3:$AA$3,0))</f>
        <v>12166.666666666666</v>
      </c>
      <c r="N50" s="248">
        <f>INDEX('4. Headcount'!$D:$AA,MATCH("G&amp;A OpEx Payroll",'4. Headcount'!$B:$B,0),MATCH(N$3,'4. Headcount'!$D$3:$AA$3,0))</f>
        <v>12166.666666666666</v>
      </c>
      <c r="O50" s="248">
        <f>INDEX('4. Headcount'!$D:$AA,MATCH("G&amp;A OpEx Payroll",'4. Headcount'!$B:$B,0),MATCH(O$3,'4. Headcount'!$D$3:$AA$3,0))</f>
        <v>12166.666666666666</v>
      </c>
      <c r="P50" s="248">
        <f>INDEX('4. Headcount'!$D:$AA,MATCH("G&amp;A OpEx Payroll",'4. Headcount'!$B:$B,0),MATCH(P$3,'4. Headcount'!$D$3:$AA$3,0))</f>
        <v>12166.666666666666</v>
      </c>
      <c r="Q50" s="248">
        <f>INDEX('4. Headcount'!$D:$AA,MATCH("G&amp;A OpEx Payroll",'4. Headcount'!$B:$B,0),MATCH(Q$3,'4. Headcount'!$D$3:$AA$3,0))</f>
        <v>12166.666666666666</v>
      </c>
      <c r="R50" s="248">
        <f>INDEX('4. Headcount'!$D:$AA,MATCH("G&amp;A OpEx Payroll",'4. Headcount'!$B:$B,0),MATCH(R$3,'4. Headcount'!$D$3:$AA$3,0))</f>
        <v>12166.666666666666</v>
      </c>
      <c r="S50" s="248">
        <f>INDEX('4. Headcount'!$D:$AA,MATCH("G&amp;A OpEx Payroll",'4. Headcount'!$B:$B,0),MATCH(S$3,'4. Headcount'!$D$3:$AA$3,0))</f>
        <v>12166.666666666666</v>
      </c>
      <c r="T50" s="248">
        <f>INDEX('4. Headcount'!$D:$AA,MATCH("G&amp;A OpEx Payroll",'4. Headcount'!$B:$B,0),MATCH(T$3,'4. Headcount'!$D$3:$AA$3,0))</f>
        <v>12166.666666666666</v>
      </c>
      <c r="U50" s="248">
        <f>INDEX('4. Headcount'!$D:$AA,MATCH("G&amp;A OpEx Payroll",'4. Headcount'!$B:$B,0),MATCH(U$3,'4. Headcount'!$D$3:$AA$3,0))</f>
        <v>12166.666666666666</v>
      </c>
      <c r="V50" s="248">
        <f>INDEX('4. Headcount'!$D:$AA,MATCH("G&amp;A OpEx Payroll",'4. Headcount'!$B:$B,0),MATCH(V$3,'4. Headcount'!$D$3:$AA$3,0))</f>
        <v>12166.666666666666</v>
      </c>
      <c r="W50" s="248">
        <f>INDEX('4. Headcount'!$D:$AA,MATCH("G&amp;A OpEx Payroll",'4. Headcount'!$B:$B,0),MATCH(W$3,'4. Headcount'!$D$3:$AA$3,0))</f>
        <v>28333.333333333336</v>
      </c>
      <c r="X50" s="248">
        <f>INDEX('4. Headcount'!$D:$AA,MATCH("G&amp;A OpEx Payroll",'4. Headcount'!$B:$B,0),MATCH(X$3,'4. Headcount'!$D$3:$AA$3,0))</f>
        <v>28333.333333333336</v>
      </c>
      <c r="Y50" s="248">
        <f>INDEX('4. Headcount'!$D:$AA,MATCH("G&amp;A OpEx Payroll",'4. Headcount'!$B:$B,0),MATCH(Y$3,'4. Headcount'!$D$3:$AA$3,0))</f>
        <v>28333.333333333336</v>
      </c>
      <c r="Z50" s="248">
        <f>INDEX('4. Headcount'!$D:$AA,MATCH("G&amp;A OpEx Payroll",'4. Headcount'!$B:$B,0),MATCH(Z$3,'4. Headcount'!$D$3:$AA$3,0))</f>
        <v>28333.333333333336</v>
      </c>
      <c r="AA50" s="248">
        <f>INDEX('4. Headcount'!$D:$AA,MATCH("G&amp;A OpEx Payroll",'4. Headcount'!$B:$B,0),MATCH(AA$3,'4. Headcount'!$D$3:$AA$3,0))</f>
        <v>28333.333333333336</v>
      </c>
    </row>
    <row r="51" spans="1:27" s="207" customFormat="1" ht="13.2">
      <c r="A51" s="244" t="s">
        <v>308</v>
      </c>
      <c r="B51" s="244" t="s">
        <v>1029</v>
      </c>
      <c r="C51" s="244" t="s">
        <v>64</v>
      </c>
      <c r="D51" s="248">
        <f>INDEX('1. Assumptions'!$G:$G,MATCH("Paid Marketing Spend ; M1",'1. Assumptions'!$B:$B,0))+(D$6-1)*(INDEX('1. Assumptions'!$G:$G,MATCH("Paid Marketing Spend ; M24",'1. Assumptions'!$B:$B,0))-INDEX('1. Assumptions'!$G:$G,MATCH("Paid Marketing Spend ; M1",'1. Assumptions'!$B:$B,0)))/(24-1)</f>
        <v>5000</v>
      </c>
      <c r="E51" s="248">
        <f>INDEX('1. Assumptions'!$G:$G,MATCH("Paid Marketing Spend ; M1",'1. Assumptions'!$B:$B,0))+(E$6-1)*(INDEX('1. Assumptions'!$G:$G,MATCH("Paid Marketing Spend ; M24",'1. Assumptions'!$B:$B,0))-INDEX('1. Assumptions'!$G:$G,MATCH("Paid Marketing Spend ; M1",'1. Assumptions'!$B:$B,0)))/(24-1)</f>
        <v>5652.173913043478</v>
      </c>
      <c r="F51" s="248">
        <f>INDEX('1. Assumptions'!$G:$G,MATCH("Paid Marketing Spend ; M1",'1. Assumptions'!$B:$B,0))+(F$6-1)*(INDEX('1. Assumptions'!$G:$G,MATCH("Paid Marketing Spend ; M24",'1. Assumptions'!$B:$B,0))-INDEX('1. Assumptions'!$G:$G,MATCH("Paid Marketing Spend ; M1",'1. Assumptions'!$B:$B,0)))/(24-1)</f>
        <v>6304.347826086956</v>
      </c>
      <c r="G51" s="248">
        <f>INDEX('1. Assumptions'!$G:$G,MATCH("Paid Marketing Spend ; M1",'1. Assumptions'!$B:$B,0))+(G$6-1)*(INDEX('1. Assumptions'!$G:$G,MATCH("Paid Marketing Spend ; M24",'1. Assumptions'!$B:$B,0))-INDEX('1. Assumptions'!$G:$G,MATCH("Paid Marketing Spend ; M1",'1. Assumptions'!$B:$B,0)))/(24-1)</f>
        <v>6956.521739130435</v>
      </c>
      <c r="H51" s="248">
        <f>INDEX('1. Assumptions'!$G:$G,MATCH("Paid Marketing Spend ; M1",'1. Assumptions'!$B:$B,0))+(H$6-1)*(INDEX('1. Assumptions'!$G:$G,MATCH("Paid Marketing Spend ; M24",'1. Assumptions'!$B:$B,0))-INDEX('1. Assumptions'!$G:$G,MATCH("Paid Marketing Spend ; M1",'1. Assumptions'!$B:$B,0)))/(24-1)</f>
        <v>7608.695652173913</v>
      </c>
      <c r="I51" s="248">
        <f>INDEX('1. Assumptions'!$G:$G,MATCH("Paid Marketing Spend ; M1",'1. Assumptions'!$B:$B,0))+(I$6-1)*(INDEX('1. Assumptions'!$G:$G,MATCH("Paid Marketing Spend ; M24",'1. Assumptions'!$B:$B,0))-INDEX('1. Assumptions'!$G:$G,MATCH("Paid Marketing Spend ; M1",'1. Assumptions'!$B:$B,0)))/(24-1)</f>
        <v>8260.8695652173919</v>
      </c>
      <c r="J51" s="248">
        <f>INDEX('1. Assumptions'!$G:$G,MATCH("Paid Marketing Spend ; M1",'1. Assumptions'!$B:$B,0))+(J$6-1)*(INDEX('1. Assumptions'!$G:$G,MATCH("Paid Marketing Spend ; M24",'1. Assumptions'!$B:$B,0))-INDEX('1. Assumptions'!$G:$G,MATCH("Paid Marketing Spend ; M1",'1. Assumptions'!$B:$B,0)))/(24-1)</f>
        <v>8913.04347826087</v>
      </c>
      <c r="K51" s="248">
        <f>INDEX('1. Assumptions'!$G:$G,MATCH("Paid Marketing Spend ; M1",'1. Assumptions'!$B:$B,0))+(K$6-1)*(INDEX('1. Assumptions'!$G:$G,MATCH("Paid Marketing Spend ; M24",'1. Assumptions'!$B:$B,0))-INDEX('1. Assumptions'!$G:$G,MATCH("Paid Marketing Spend ; M1",'1. Assumptions'!$B:$B,0)))/(24-1)</f>
        <v>9565.217391304348</v>
      </c>
      <c r="L51" s="248">
        <f>INDEX('1. Assumptions'!$G:$G,MATCH("Paid Marketing Spend ; M1",'1. Assumptions'!$B:$B,0))+(L$6-1)*(INDEX('1. Assumptions'!$G:$G,MATCH("Paid Marketing Spend ; M24",'1. Assumptions'!$B:$B,0))-INDEX('1. Assumptions'!$G:$G,MATCH("Paid Marketing Spend ; M1",'1. Assumptions'!$B:$B,0)))/(24-1)</f>
        <v>10217.391304347826</v>
      </c>
      <c r="M51" s="248">
        <f>INDEX('1. Assumptions'!$G:$G,MATCH("Paid Marketing Spend ; M1",'1. Assumptions'!$B:$B,0))+(M$6-1)*(INDEX('1. Assumptions'!$G:$G,MATCH("Paid Marketing Spend ; M24",'1. Assumptions'!$B:$B,0))-INDEX('1. Assumptions'!$G:$G,MATCH("Paid Marketing Spend ; M1",'1. Assumptions'!$B:$B,0)))/(24-1)</f>
        <v>10869.565217391304</v>
      </c>
      <c r="N51" s="248">
        <f>INDEX('1. Assumptions'!$G:$G,MATCH("Paid Marketing Spend ; M1",'1. Assumptions'!$B:$B,0))+(N$6-1)*(INDEX('1. Assumptions'!$G:$G,MATCH("Paid Marketing Spend ; M24",'1. Assumptions'!$B:$B,0))-INDEX('1. Assumptions'!$G:$G,MATCH("Paid Marketing Spend ; M1",'1. Assumptions'!$B:$B,0)))/(24-1)</f>
        <v>11521.739130434784</v>
      </c>
      <c r="O51" s="248">
        <f>INDEX('1. Assumptions'!$G:$G,MATCH("Paid Marketing Spend ; M1",'1. Assumptions'!$B:$B,0))+(O$6-1)*(INDEX('1. Assumptions'!$G:$G,MATCH("Paid Marketing Spend ; M24",'1. Assumptions'!$B:$B,0))-INDEX('1. Assumptions'!$G:$G,MATCH("Paid Marketing Spend ; M1",'1. Assumptions'!$B:$B,0)))/(24-1)</f>
        <v>12173.91304347826</v>
      </c>
      <c r="P51" s="248">
        <f>INDEX('1. Assumptions'!$G:$G,MATCH("Paid Marketing Spend ; M1",'1. Assumptions'!$B:$B,0))+(P$6-1)*(INDEX('1. Assumptions'!$G:$G,MATCH("Paid Marketing Spend ; M24",'1. Assumptions'!$B:$B,0))-INDEX('1. Assumptions'!$G:$G,MATCH("Paid Marketing Spend ; M1",'1. Assumptions'!$B:$B,0)))/(24-1)</f>
        <v>12826.08695652174</v>
      </c>
      <c r="Q51" s="248">
        <f>INDEX('1. Assumptions'!$G:$G,MATCH("Paid Marketing Spend ; M1",'1. Assumptions'!$B:$B,0))+(Q$6-1)*(INDEX('1. Assumptions'!$G:$G,MATCH("Paid Marketing Spend ; M24",'1. Assumptions'!$B:$B,0))-INDEX('1. Assumptions'!$G:$G,MATCH("Paid Marketing Spend ; M1",'1. Assumptions'!$B:$B,0)))/(24-1)</f>
        <v>13478.260869565218</v>
      </c>
      <c r="R51" s="248">
        <f>INDEX('1. Assumptions'!$G:$G,MATCH("Paid Marketing Spend ; M1",'1. Assumptions'!$B:$B,0))+(R$6-1)*(INDEX('1. Assumptions'!$G:$G,MATCH("Paid Marketing Spend ; M24",'1. Assumptions'!$B:$B,0))-INDEX('1. Assumptions'!$G:$G,MATCH("Paid Marketing Spend ; M1",'1. Assumptions'!$B:$B,0)))/(24-1)</f>
        <v>14130.434782608696</v>
      </c>
      <c r="S51" s="248">
        <f>INDEX('1. Assumptions'!$G:$G,MATCH("Paid Marketing Spend ; M1",'1. Assumptions'!$B:$B,0))+(S$6-1)*(INDEX('1. Assumptions'!$G:$G,MATCH("Paid Marketing Spend ; M24",'1. Assumptions'!$B:$B,0))-INDEX('1. Assumptions'!$G:$G,MATCH("Paid Marketing Spend ; M1",'1. Assumptions'!$B:$B,0)))/(24-1)</f>
        <v>14782.608695652174</v>
      </c>
      <c r="T51" s="248">
        <f>INDEX('1. Assumptions'!$G:$G,MATCH("Paid Marketing Spend ; M1",'1. Assumptions'!$B:$B,0))+(T$6-1)*(INDEX('1. Assumptions'!$G:$G,MATCH("Paid Marketing Spend ; M24",'1. Assumptions'!$B:$B,0))-INDEX('1. Assumptions'!$G:$G,MATCH("Paid Marketing Spend ; M1",'1. Assumptions'!$B:$B,0)))/(24-1)</f>
        <v>15434.782608695652</v>
      </c>
      <c r="U51" s="248">
        <f>INDEX('1. Assumptions'!$G:$G,MATCH("Paid Marketing Spend ; M1",'1. Assumptions'!$B:$B,0))+(U$6-1)*(INDEX('1. Assumptions'!$G:$G,MATCH("Paid Marketing Spend ; M24",'1. Assumptions'!$B:$B,0))-INDEX('1. Assumptions'!$G:$G,MATCH("Paid Marketing Spend ; M1",'1. Assumptions'!$B:$B,0)))/(24-1)</f>
        <v>16086.95652173913</v>
      </c>
      <c r="V51" s="248">
        <f>INDEX('1. Assumptions'!$G:$G,MATCH("Paid Marketing Spend ; M1",'1. Assumptions'!$B:$B,0))+(V$6-1)*(INDEX('1. Assumptions'!$G:$G,MATCH("Paid Marketing Spend ; M24",'1. Assumptions'!$B:$B,0))-INDEX('1. Assumptions'!$G:$G,MATCH("Paid Marketing Spend ; M1",'1. Assumptions'!$B:$B,0)))/(24-1)</f>
        <v>16739.130434782608</v>
      </c>
      <c r="W51" s="248">
        <f>INDEX('1. Assumptions'!$G:$G,MATCH("Paid Marketing Spend ; M1",'1. Assumptions'!$B:$B,0))+(W$6-1)*(INDEX('1. Assumptions'!$G:$G,MATCH("Paid Marketing Spend ; M24",'1. Assumptions'!$B:$B,0))-INDEX('1. Assumptions'!$G:$G,MATCH("Paid Marketing Spend ; M1",'1. Assumptions'!$B:$B,0)))/(24-1)</f>
        <v>17391.304347826088</v>
      </c>
      <c r="X51" s="248">
        <f>INDEX('1. Assumptions'!$G:$G,MATCH("Paid Marketing Spend ; M1",'1. Assumptions'!$B:$B,0))+(X$6-1)*(INDEX('1. Assumptions'!$G:$G,MATCH("Paid Marketing Spend ; M24",'1. Assumptions'!$B:$B,0))-INDEX('1. Assumptions'!$G:$G,MATCH("Paid Marketing Spend ; M1",'1. Assumptions'!$B:$B,0)))/(24-1)</f>
        <v>18043.478260869568</v>
      </c>
      <c r="Y51" s="248">
        <f>INDEX('1. Assumptions'!$G:$G,MATCH("Paid Marketing Spend ; M1",'1. Assumptions'!$B:$B,0))+(Y$6-1)*(INDEX('1. Assumptions'!$G:$G,MATCH("Paid Marketing Spend ; M24",'1. Assumptions'!$B:$B,0))-INDEX('1. Assumptions'!$G:$G,MATCH("Paid Marketing Spend ; M1",'1. Assumptions'!$B:$B,0)))/(24-1)</f>
        <v>18695.652173913044</v>
      </c>
      <c r="Z51" s="248">
        <f>INDEX('1. Assumptions'!$G:$G,MATCH("Paid Marketing Spend ; M1",'1. Assumptions'!$B:$B,0))+(Z$6-1)*(INDEX('1. Assumptions'!$G:$G,MATCH("Paid Marketing Spend ; M24",'1. Assumptions'!$B:$B,0))-INDEX('1. Assumptions'!$G:$G,MATCH("Paid Marketing Spend ; M1",'1. Assumptions'!$B:$B,0)))/(24-1)</f>
        <v>19347.82608695652</v>
      </c>
      <c r="AA51" s="248">
        <f>INDEX('1. Assumptions'!$G:$G,MATCH("Paid Marketing Spend ; M1",'1. Assumptions'!$B:$B,0))+(AA$6-1)*(INDEX('1. Assumptions'!$G:$G,MATCH("Paid Marketing Spend ; M24",'1. Assumptions'!$B:$B,0))-INDEX('1. Assumptions'!$G:$G,MATCH("Paid Marketing Spend ; M1",'1. Assumptions'!$B:$B,0)))/(24-1)</f>
        <v>20000</v>
      </c>
    </row>
    <row r="52" spans="1:27" s="207" customFormat="1" ht="13.2">
      <c r="A52" s="244" t="s">
        <v>308</v>
      </c>
      <c r="B52" s="244" t="s">
        <v>1030</v>
      </c>
      <c r="C52" s="244" t="s">
        <v>64</v>
      </c>
      <c r="D52" s="152">
        <f>IF(D$6&gt;=INDEX('1. Assumptions'!$G:$G,MATCH("Office Start Month",'1. Assumptions'!$B:$B,0)),INDEX('1. Assumptions'!$G:$G,MATCH("Office / Co-working Cost",'1. Assumptions'!$B:$B,0)),0)</f>
        <v>0</v>
      </c>
      <c r="E52" s="152">
        <f>IF(E$6&gt;=INDEX('1. Assumptions'!$G:$G,MATCH("Office Start Month",'1. Assumptions'!$B:$B,0)),INDEX('1. Assumptions'!$G:$G,MATCH("Office / Co-working Cost",'1. Assumptions'!$B:$B,0)),0)</f>
        <v>0</v>
      </c>
      <c r="F52" s="152">
        <f>IF(F$6&gt;=INDEX('1. Assumptions'!$G:$G,MATCH("Office Start Month",'1. Assumptions'!$B:$B,0)),INDEX('1. Assumptions'!$G:$G,MATCH("Office / Co-working Cost",'1. Assumptions'!$B:$B,0)),0)</f>
        <v>0</v>
      </c>
      <c r="G52" s="152">
        <f>IF(G$6&gt;=INDEX('1. Assumptions'!$G:$G,MATCH("Office Start Month",'1. Assumptions'!$B:$B,0)),INDEX('1. Assumptions'!$G:$G,MATCH("Office / Co-working Cost",'1. Assumptions'!$B:$B,0)),0)</f>
        <v>0</v>
      </c>
      <c r="H52" s="152">
        <f>IF(H$6&gt;=INDEX('1. Assumptions'!$G:$G,MATCH("Office Start Month",'1. Assumptions'!$B:$B,0)),INDEX('1. Assumptions'!$G:$G,MATCH("Office / Co-working Cost",'1. Assumptions'!$B:$B,0)),0)</f>
        <v>0</v>
      </c>
      <c r="I52" s="248">
        <f>IF(I$6&gt;=INDEX('1. Assumptions'!$G:$G,MATCH("Office Start Month",'1. Assumptions'!$B:$B,0)),INDEX('1. Assumptions'!$G:$G,MATCH("Office / Co-working Cost",'1. Assumptions'!$B:$B,0)),0)</f>
        <v>3000</v>
      </c>
      <c r="J52" s="248">
        <f>IF(J$6&gt;=INDEX('1. Assumptions'!$G:$G,MATCH("Office Start Month",'1. Assumptions'!$B:$B,0)),INDEX('1. Assumptions'!$G:$G,MATCH("Office / Co-working Cost",'1. Assumptions'!$B:$B,0)),0)</f>
        <v>3000</v>
      </c>
      <c r="K52" s="248">
        <f>IF(K$6&gt;=INDEX('1. Assumptions'!$G:$G,MATCH("Office Start Month",'1. Assumptions'!$B:$B,0)),INDEX('1. Assumptions'!$G:$G,MATCH("Office / Co-working Cost",'1. Assumptions'!$B:$B,0)),0)</f>
        <v>3000</v>
      </c>
      <c r="L52" s="248">
        <f>IF(L$6&gt;=INDEX('1. Assumptions'!$G:$G,MATCH("Office Start Month",'1. Assumptions'!$B:$B,0)),INDEX('1. Assumptions'!$G:$G,MATCH("Office / Co-working Cost",'1. Assumptions'!$B:$B,0)),0)</f>
        <v>3000</v>
      </c>
      <c r="M52" s="248">
        <f>IF(M$6&gt;=INDEX('1. Assumptions'!$G:$G,MATCH("Office Start Month",'1. Assumptions'!$B:$B,0)),INDEX('1. Assumptions'!$G:$G,MATCH("Office / Co-working Cost",'1. Assumptions'!$B:$B,0)),0)</f>
        <v>3000</v>
      </c>
      <c r="N52" s="248">
        <f>IF(N$6&gt;=INDEX('1. Assumptions'!$G:$G,MATCH("Office Start Month",'1. Assumptions'!$B:$B,0)),INDEX('1. Assumptions'!$G:$G,MATCH("Office / Co-working Cost",'1. Assumptions'!$B:$B,0)),0)</f>
        <v>3000</v>
      </c>
      <c r="O52" s="248">
        <f>IF(O$6&gt;=INDEX('1. Assumptions'!$G:$G,MATCH("Office Start Month",'1. Assumptions'!$B:$B,0)),INDEX('1. Assumptions'!$G:$G,MATCH("Office / Co-working Cost",'1. Assumptions'!$B:$B,0)),0)</f>
        <v>3000</v>
      </c>
      <c r="P52" s="248">
        <f>IF(P$6&gt;=INDEX('1. Assumptions'!$G:$G,MATCH("Office Start Month",'1. Assumptions'!$B:$B,0)),INDEX('1. Assumptions'!$G:$G,MATCH("Office / Co-working Cost",'1. Assumptions'!$B:$B,0)),0)</f>
        <v>3000</v>
      </c>
      <c r="Q52" s="248">
        <f>IF(Q$6&gt;=INDEX('1. Assumptions'!$G:$G,MATCH("Office Start Month",'1. Assumptions'!$B:$B,0)),INDEX('1. Assumptions'!$G:$G,MATCH("Office / Co-working Cost",'1. Assumptions'!$B:$B,0)),0)</f>
        <v>3000</v>
      </c>
      <c r="R52" s="248">
        <f>IF(R$6&gt;=INDEX('1. Assumptions'!$G:$G,MATCH("Office Start Month",'1. Assumptions'!$B:$B,0)),INDEX('1. Assumptions'!$G:$G,MATCH("Office / Co-working Cost",'1. Assumptions'!$B:$B,0)),0)</f>
        <v>3000</v>
      </c>
      <c r="S52" s="248">
        <f>IF(S$6&gt;=INDEX('1. Assumptions'!$G:$G,MATCH("Office Start Month",'1. Assumptions'!$B:$B,0)),INDEX('1. Assumptions'!$G:$G,MATCH("Office / Co-working Cost",'1. Assumptions'!$B:$B,0)),0)</f>
        <v>3000</v>
      </c>
      <c r="T52" s="248">
        <f>IF(T$6&gt;=INDEX('1. Assumptions'!$G:$G,MATCH("Office Start Month",'1. Assumptions'!$B:$B,0)),INDEX('1. Assumptions'!$G:$G,MATCH("Office / Co-working Cost",'1. Assumptions'!$B:$B,0)),0)</f>
        <v>3000</v>
      </c>
      <c r="U52" s="248">
        <f>IF(U$6&gt;=INDEX('1. Assumptions'!$G:$G,MATCH("Office Start Month",'1. Assumptions'!$B:$B,0)),INDEX('1. Assumptions'!$G:$G,MATCH("Office / Co-working Cost",'1. Assumptions'!$B:$B,0)),0)</f>
        <v>3000</v>
      </c>
      <c r="V52" s="248">
        <f>IF(V$6&gt;=INDEX('1. Assumptions'!$G:$G,MATCH("Office Start Month",'1. Assumptions'!$B:$B,0)),INDEX('1. Assumptions'!$G:$G,MATCH("Office / Co-working Cost",'1. Assumptions'!$B:$B,0)),0)</f>
        <v>3000</v>
      </c>
      <c r="W52" s="248">
        <f>IF(W$6&gt;=INDEX('1. Assumptions'!$G:$G,MATCH("Office Start Month",'1. Assumptions'!$B:$B,0)),INDEX('1. Assumptions'!$G:$G,MATCH("Office / Co-working Cost",'1. Assumptions'!$B:$B,0)),0)</f>
        <v>3000</v>
      </c>
      <c r="X52" s="248">
        <f>IF(X$6&gt;=INDEX('1. Assumptions'!$G:$G,MATCH("Office Start Month",'1. Assumptions'!$B:$B,0)),INDEX('1. Assumptions'!$G:$G,MATCH("Office / Co-working Cost",'1. Assumptions'!$B:$B,0)),0)</f>
        <v>3000</v>
      </c>
      <c r="Y52" s="248">
        <f>IF(Y$6&gt;=INDEX('1. Assumptions'!$G:$G,MATCH("Office Start Month",'1. Assumptions'!$B:$B,0)),INDEX('1. Assumptions'!$G:$G,MATCH("Office / Co-working Cost",'1. Assumptions'!$B:$B,0)),0)</f>
        <v>3000</v>
      </c>
      <c r="Z52" s="248">
        <f>IF(Z$6&gt;=INDEX('1. Assumptions'!$G:$G,MATCH("Office Start Month",'1. Assumptions'!$B:$B,0)),INDEX('1. Assumptions'!$G:$G,MATCH("Office / Co-working Cost",'1. Assumptions'!$B:$B,0)),0)</f>
        <v>3000</v>
      </c>
      <c r="AA52" s="248">
        <f>IF(AA$6&gt;=INDEX('1. Assumptions'!$G:$G,MATCH("Office Start Month",'1. Assumptions'!$B:$B,0)),INDEX('1. Assumptions'!$G:$G,MATCH("Office / Co-working Cost",'1. Assumptions'!$B:$B,0)),0)</f>
        <v>3000</v>
      </c>
    </row>
    <row r="53" spans="1:27" s="207" customFormat="1" ht="13.2">
      <c r="A53" s="244" t="s">
        <v>308</v>
      </c>
      <c r="B53" s="244" t="s">
        <v>1031</v>
      </c>
      <c r="C53" s="244" t="s">
        <v>64</v>
      </c>
      <c r="D53" s="248">
        <f>INDEX('1. Assumptions'!$G:$G,MATCH("SaaS Tools Base Cost",'1. Assumptions'!$B:$B,0))</f>
        <v>1500</v>
      </c>
      <c r="E53" s="248">
        <f>INDEX('1. Assumptions'!$G:$G,MATCH("SaaS Tools Base Cost",'1. Assumptions'!$B:$B,0))</f>
        <v>1500</v>
      </c>
      <c r="F53" s="248">
        <f>INDEX('1. Assumptions'!$G:$G,MATCH("SaaS Tools Base Cost",'1. Assumptions'!$B:$B,0))</f>
        <v>1500</v>
      </c>
      <c r="G53" s="248">
        <f>INDEX('1. Assumptions'!$G:$G,MATCH("SaaS Tools Base Cost",'1. Assumptions'!$B:$B,0))</f>
        <v>1500</v>
      </c>
      <c r="H53" s="248">
        <f>INDEX('1. Assumptions'!$G:$G,MATCH("SaaS Tools Base Cost",'1. Assumptions'!$B:$B,0))</f>
        <v>1500</v>
      </c>
      <c r="I53" s="248">
        <f>INDEX('1. Assumptions'!$G:$G,MATCH("SaaS Tools Base Cost",'1. Assumptions'!$B:$B,0))</f>
        <v>1500</v>
      </c>
      <c r="J53" s="248">
        <f>INDEX('1. Assumptions'!$G:$G,MATCH("SaaS Tools Base Cost",'1. Assumptions'!$B:$B,0))</f>
        <v>1500</v>
      </c>
      <c r="K53" s="248">
        <f>INDEX('1. Assumptions'!$G:$G,MATCH("SaaS Tools Base Cost",'1. Assumptions'!$B:$B,0))</f>
        <v>1500</v>
      </c>
      <c r="L53" s="248">
        <f>INDEX('1. Assumptions'!$G:$G,MATCH("SaaS Tools Base Cost",'1. Assumptions'!$B:$B,0))</f>
        <v>1500</v>
      </c>
      <c r="M53" s="248">
        <f>INDEX('1. Assumptions'!$G:$G,MATCH("SaaS Tools Base Cost",'1. Assumptions'!$B:$B,0))</f>
        <v>1500</v>
      </c>
      <c r="N53" s="248">
        <f>INDEX('1. Assumptions'!$G:$G,MATCH("SaaS Tools Base Cost",'1. Assumptions'!$B:$B,0))</f>
        <v>1500</v>
      </c>
      <c r="O53" s="248">
        <f>INDEX('1. Assumptions'!$G:$G,MATCH("SaaS Tools Base Cost",'1. Assumptions'!$B:$B,0))</f>
        <v>1500</v>
      </c>
      <c r="P53" s="248">
        <f>INDEX('1. Assumptions'!$G:$G,MATCH("SaaS Tools Base Cost",'1. Assumptions'!$B:$B,0))</f>
        <v>1500</v>
      </c>
      <c r="Q53" s="248">
        <f>INDEX('1. Assumptions'!$G:$G,MATCH("SaaS Tools Base Cost",'1. Assumptions'!$B:$B,0))</f>
        <v>1500</v>
      </c>
      <c r="R53" s="248">
        <f>INDEX('1. Assumptions'!$G:$G,MATCH("SaaS Tools Base Cost",'1. Assumptions'!$B:$B,0))</f>
        <v>1500</v>
      </c>
      <c r="S53" s="248">
        <f>INDEX('1. Assumptions'!$G:$G,MATCH("SaaS Tools Base Cost",'1. Assumptions'!$B:$B,0))</f>
        <v>1500</v>
      </c>
      <c r="T53" s="248">
        <f>INDEX('1. Assumptions'!$G:$G,MATCH("SaaS Tools Base Cost",'1. Assumptions'!$B:$B,0))</f>
        <v>1500</v>
      </c>
      <c r="U53" s="248">
        <f>INDEX('1. Assumptions'!$G:$G,MATCH("SaaS Tools Base Cost",'1. Assumptions'!$B:$B,0))</f>
        <v>1500</v>
      </c>
      <c r="V53" s="248">
        <f>INDEX('1. Assumptions'!$G:$G,MATCH("SaaS Tools Base Cost",'1. Assumptions'!$B:$B,0))</f>
        <v>1500</v>
      </c>
      <c r="W53" s="248">
        <f>INDEX('1. Assumptions'!$G:$G,MATCH("SaaS Tools Base Cost",'1. Assumptions'!$B:$B,0))</f>
        <v>1500</v>
      </c>
      <c r="X53" s="248">
        <f>INDEX('1. Assumptions'!$G:$G,MATCH("SaaS Tools Base Cost",'1. Assumptions'!$B:$B,0))</f>
        <v>1500</v>
      </c>
      <c r="Y53" s="248">
        <f>INDEX('1. Assumptions'!$G:$G,MATCH("SaaS Tools Base Cost",'1. Assumptions'!$B:$B,0))</f>
        <v>1500</v>
      </c>
      <c r="Z53" s="248">
        <f>INDEX('1. Assumptions'!$G:$G,MATCH("SaaS Tools Base Cost",'1. Assumptions'!$B:$B,0))</f>
        <v>1500</v>
      </c>
      <c r="AA53" s="248">
        <f>INDEX('1. Assumptions'!$G:$G,MATCH("SaaS Tools Base Cost",'1. Assumptions'!$B:$B,0))</f>
        <v>1500</v>
      </c>
    </row>
    <row r="54" spans="1:27" s="207" customFormat="1" ht="13.2">
      <c r="A54" s="244" t="s">
        <v>308</v>
      </c>
      <c r="B54" s="244" t="s">
        <v>385</v>
      </c>
      <c r="C54" s="244" t="s">
        <v>64</v>
      </c>
      <c r="D54" s="248">
        <f>INDEX('1. Assumptions'!$G:$G,MATCH("Legal &amp; Accounting",'1. Assumptions'!$B:$B,0))</f>
        <v>2000</v>
      </c>
      <c r="E54" s="248">
        <f>INDEX('1. Assumptions'!$G:$G,MATCH("Legal &amp; Accounting",'1. Assumptions'!$B:$B,0))</f>
        <v>2000</v>
      </c>
      <c r="F54" s="248">
        <f>INDEX('1. Assumptions'!$G:$G,MATCH("Legal &amp; Accounting",'1. Assumptions'!$B:$B,0))</f>
        <v>2000</v>
      </c>
      <c r="G54" s="248">
        <f>INDEX('1. Assumptions'!$G:$G,MATCH("Legal &amp; Accounting",'1. Assumptions'!$B:$B,0))</f>
        <v>2000</v>
      </c>
      <c r="H54" s="248">
        <f>INDEX('1. Assumptions'!$G:$G,MATCH("Legal &amp; Accounting",'1. Assumptions'!$B:$B,0))</f>
        <v>2000</v>
      </c>
      <c r="I54" s="248">
        <f>INDEX('1. Assumptions'!$G:$G,MATCH("Legal &amp; Accounting",'1. Assumptions'!$B:$B,0))</f>
        <v>2000</v>
      </c>
      <c r="J54" s="248">
        <f>INDEX('1. Assumptions'!$G:$G,MATCH("Legal &amp; Accounting",'1. Assumptions'!$B:$B,0))</f>
        <v>2000</v>
      </c>
      <c r="K54" s="248">
        <f>INDEX('1. Assumptions'!$G:$G,MATCH("Legal &amp; Accounting",'1. Assumptions'!$B:$B,0))</f>
        <v>2000</v>
      </c>
      <c r="L54" s="248">
        <f>INDEX('1. Assumptions'!$G:$G,MATCH("Legal &amp; Accounting",'1. Assumptions'!$B:$B,0))</f>
        <v>2000</v>
      </c>
      <c r="M54" s="248">
        <f>INDEX('1. Assumptions'!$G:$G,MATCH("Legal &amp; Accounting",'1. Assumptions'!$B:$B,0))</f>
        <v>2000</v>
      </c>
      <c r="N54" s="248">
        <f>INDEX('1. Assumptions'!$G:$G,MATCH("Legal &amp; Accounting",'1. Assumptions'!$B:$B,0))</f>
        <v>2000</v>
      </c>
      <c r="O54" s="248">
        <f>INDEX('1. Assumptions'!$G:$G,MATCH("Legal &amp; Accounting",'1. Assumptions'!$B:$B,0))</f>
        <v>2000</v>
      </c>
      <c r="P54" s="248">
        <f>INDEX('1. Assumptions'!$G:$G,MATCH("Legal &amp; Accounting",'1. Assumptions'!$B:$B,0))</f>
        <v>2000</v>
      </c>
      <c r="Q54" s="248">
        <f>INDEX('1. Assumptions'!$G:$G,MATCH("Legal &amp; Accounting",'1. Assumptions'!$B:$B,0))</f>
        <v>2000</v>
      </c>
      <c r="R54" s="248">
        <f>INDEX('1. Assumptions'!$G:$G,MATCH("Legal &amp; Accounting",'1. Assumptions'!$B:$B,0))</f>
        <v>2000</v>
      </c>
      <c r="S54" s="248">
        <f>INDEX('1. Assumptions'!$G:$G,MATCH("Legal &amp; Accounting",'1. Assumptions'!$B:$B,0))</f>
        <v>2000</v>
      </c>
      <c r="T54" s="248">
        <f>INDEX('1. Assumptions'!$G:$G,MATCH("Legal &amp; Accounting",'1. Assumptions'!$B:$B,0))</f>
        <v>2000</v>
      </c>
      <c r="U54" s="248">
        <f>INDEX('1. Assumptions'!$G:$G,MATCH("Legal &amp; Accounting",'1. Assumptions'!$B:$B,0))</f>
        <v>2000</v>
      </c>
      <c r="V54" s="248">
        <f>INDEX('1. Assumptions'!$G:$G,MATCH("Legal &amp; Accounting",'1. Assumptions'!$B:$B,0))</f>
        <v>2000</v>
      </c>
      <c r="W54" s="248">
        <f>INDEX('1. Assumptions'!$G:$G,MATCH("Legal &amp; Accounting",'1. Assumptions'!$B:$B,0))</f>
        <v>2000</v>
      </c>
      <c r="X54" s="248">
        <f>INDEX('1. Assumptions'!$G:$G,MATCH("Legal &amp; Accounting",'1. Assumptions'!$B:$B,0))</f>
        <v>2000</v>
      </c>
      <c r="Y54" s="248">
        <f>INDEX('1. Assumptions'!$G:$G,MATCH("Legal &amp; Accounting",'1. Assumptions'!$B:$B,0))</f>
        <v>2000</v>
      </c>
      <c r="Z54" s="248">
        <f>INDEX('1. Assumptions'!$G:$G,MATCH("Legal &amp; Accounting",'1. Assumptions'!$B:$B,0))</f>
        <v>2000</v>
      </c>
      <c r="AA54" s="248">
        <f>INDEX('1. Assumptions'!$G:$G,MATCH("Legal &amp; Accounting",'1. Assumptions'!$B:$B,0))</f>
        <v>2000</v>
      </c>
    </row>
    <row r="55" spans="1:27" s="207" customFormat="1" ht="13.2">
      <c r="A55" s="244" t="s">
        <v>308</v>
      </c>
      <c r="B55" s="244" t="s">
        <v>1032</v>
      </c>
      <c r="C55" s="244" t="s">
        <v>64</v>
      </c>
      <c r="D55" s="152">
        <f>IF(D$6&gt;=INDEX('1. Assumptions'!$G:$G,MATCH("Insurance Start Month",'1. Assumptions'!$B:$B,0)),INDEX('1. Assumptions'!$G:$G,MATCH("D&amp;O / E&amp;O Insurance",'1. Assumptions'!$B:$B,0)),0)</f>
        <v>0</v>
      </c>
      <c r="E55" s="152">
        <f>IF(E$6&gt;=INDEX('1. Assumptions'!$G:$G,MATCH("Insurance Start Month",'1. Assumptions'!$B:$B,0)),INDEX('1. Assumptions'!$G:$G,MATCH("D&amp;O / E&amp;O Insurance",'1. Assumptions'!$B:$B,0)),0)</f>
        <v>0</v>
      </c>
      <c r="F55" s="152">
        <f>IF(F$6&gt;=INDEX('1. Assumptions'!$G:$G,MATCH("Insurance Start Month",'1. Assumptions'!$B:$B,0)),INDEX('1. Assumptions'!$G:$G,MATCH("D&amp;O / E&amp;O Insurance",'1. Assumptions'!$B:$B,0)),0)</f>
        <v>0</v>
      </c>
      <c r="G55" s="152">
        <f>IF(G$6&gt;=INDEX('1. Assumptions'!$G:$G,MATCH("Insurance Start Month",'1. Assumptions'!$B:$B,0)),INDEX('1. Assumptions'!$G:$G,MATCH("D&amp;O / E&amp;O Insurance",'1. Assumptions'!$B:$B,0)),0)</f>
        <v>0</v>
      </c>
      <c r="H55" s="152">
        <f>IF(H$6&gt;=INDEX('1. Assumptions'!$G:$G,MATCH("Insurance Start Month",'1. Assumptions'!$B:$B,0)),INDEX('1. Assumptions'!$G:$G,MATCH("D&amp;O / E&amp;O Insurance",'1. Assumptions'!$B:$B,0)),0)</f>
        <v>0</v>
      </c>
      <c r="I55" s="152">
        <f>IF(I$6&gt;=INDEX('1. Assumptions'!$G:$G,MATCH("Insurance Start Month",'1. Assumptions'!$B:$B,0)),INDEX('1. Assumptions'!$G:$G,MATCH("D&amp;O / E&amp;O Insurance",'1. Assumptions'!$B:$B,0)),0)</f>
        <v>0</v>
      </c>
      <c r="J55" s="152">
        <f>IF(J$6&gt;=INDEX('1. Assumptions'!$G:$G,MATCH("Insurance Start Month",'1. Assumptions'!$B:$B,0)),INDEX('1. Assumptions'!$G:$G,MATCH("D&amp;O / E&amp;O Insurance",'1. Assumptions'!$B:$B,0)),0)</f>
        <v>0</v>
      </c>
      <c r="K55" s="152">
        <f>IF(K$6&gt;=INDEX('1. Assumptions'!$G:$G,MATCH("Insurance Start Month",'1. Assumptions'!$B:$B,0)),INDEX('1. Assumptions'!$G:$G,MATCH("D&amp;O / E&amp;O Insurance",'1. Assumptions'!$B:$B,0)),0)</f>
        <v>0</v>
      </c>
      <c r="L55" s="152">
        <f>IF(L$6&gt;=INDEX('1. Assumptions'!$G:$G,MATCH("Insurance Start Month",'1. Assumptions'!$B:$B,0)),INDEX('1. Assumptions'!$G:$G,MATCH("D&amp;O / E&amp;O Insurance",'1. Assumptions'!$B:$B,0)),0)</f>
        <v>0</v>
      </c>
      <c r="M55" s="152">
        <f>IF(M$6&gt;=INDEX('1. Assumptions'!$G:$G,MATCH("Insurance Start Month",'1. Assumptions'!$B:$B,0)),INDEX('1. Assumptions'!$G:$G,MATCH("D&amp;O / E&amp;O Insurance",'1. Assumptions'!$B:$B,0)),0)</f>
        <v>0</v>
      </c>
      <c r="N55" s="152">
        <f>IF(N$6&gt;=INDEX('1. Assumptions'!$G:$G,MATCH("Insurance Start Month",'1. Assumptions'!$B:$B,0)),INDEX('1. Assumptions'!$G:$G,MATCH("D&amp;O / E&amp;O Insurance",'1. Assumptions'!$B:$B,0)),0)</f>
        <v>0</v>
      </c>
      <c r="O55" s="248">
        <f>IF(O$6&gt;=INDEX('1. Assumptions'!$G:$G,MATCH("Insurance Start Month",'1. Assumptions'!$B:$B,0)),INDEX('1. Assumptions'!$G:$G,MATCH("D&amp;O / E&amp;O Insurance",'1. Assumptions'!$B:$B,0)),0)</f>
        <v>1000</v>
      </c>
      <c r="P55" s="248">
        <f>IF(P$6&gt;=INDEX('1. Assumptions'!$G:$G,MATCH("Insurance Start Month",'1. Assumptions'!$B:$B,0)),INDEX('1. Assumptions'!$G:$G,MATCH("D&amp;O / E&amp;O Insurance",'1. Assumptions'!$B:$B,0)),0)</f>
        <v>1000</v>
      </c>
      <c r="Q55" s="248">
        <f>IF(Q$6&gt;=INDEX('1. Assumptions'!$G:$G,MATCH("Insurance Start Month",'1. Assumptions'!$B:$B,0)),INDEX('1. Assumptions'!$G:$G,MATCH("D&amp;O / E&amp;O Insurance",'1. Assumptions'!$B:$B,0)),0)</f>
        <v>1000</v>
      </c>
      <c r="R55" s="248">
        <f>IF(R$6&gt;=INDEX('1. Assumptions'!$G:$G,MATCH("Insurance Start Month",'1. Assumptions'!$B:$B,0)),INDEX('1. Assumptions'!$G:$G,MATCH("D&amp;O / E&amp;O Insurance",'1. Assumptions'!$B:$B,0)),0)</f>
        <v>1000</v>
      </c>
      <c r="S55" s="248">
        <f>IF(S$6&gt;=INDEX('1. Assumptions'!$G:$G,MATCH("Insurance Start Month",'1. Assumptions'!$B:$B,0)),INDEX('1. Assumptions'!$G:$G,MATCH("D&amp;O / E&amp;O Insurance",'1. Assumptions'!$B:$B,0)),0)</f>
        <v>1000</v>
      </c>
      <c r="T55" s="248">
        <f>IF(T$6&gt;=INDEX('1. Assumptions'!$G:$G,MATCH("Insurance Start Month",'1. Assumptions'!$B:$B,0)),INDEX('1. Assumptions'!$G:$G,MATCH("D&amp;O / E&amp;O Insurance",'1. Assumptions'!$B:$B,0)),0)</f>
        <v>1000</v>
      </c>
      <c r="U55" s="248">
        <f>IF(U$6&gt;=INDEX('1. Assumptions'!$G:$G,MATCH("Insurance Start Month",'1. Assumptions'!$B:$B,0)),INDEX('1. Assumptions'!$G:$G,MATCH("D&amp;O / E&amp;O Insurance",'1. Assumptions'!$B:$B,0)),0)</f>
        <v>1000</v>
      </c>
      <c r="V55" s="248">
        <f>IF(V$6&gt;=INDEX('1. Assumptions'!$G:$G,MATCH("Insurance Start Month",'1. Assumptions'!$B:$B,0)),INDEX('1. Assumptions'!$G:$G,MATCH("D&amp;O / E&amp;O Insurance",'1. Assumptions'!$B:$B,0)),0)</f>
        <v>1000</v>
      </c>
      <c r="W55" s="248">
        <f>IF(W$6&gt;=INDEX('1. Assumptions'!$G:$G,MATCH("Insurance Start Month",'1. Assumptions'!$B:$B,0)),INDEX('1. Assumptions'!$G:$G,MATCH("D&amp;O / E&amp;O Insurance",'1. Assumptions'!$B:$B,0)),0)</f>
        <v>1000</v>
      </c>
      <c r="X55" s="248">
        <f>IF(X$6&gt;=INDEX('1. Assumptions'!$G:$G,MATCH("Insurance Start Month",'1. Assumptions'!$B:$B,0)),INDEX('1. Assumptions'!$G:$G,MATCH("D&amp;O / E&amp;O Insurance",'1. Assumptions'!$B:$B,0)),0)</f>
        <v>1000</v>
      </c>
      <c r="Y55" s="248">
        <f>IF(Y$6&gt;=INDEX('1. Assumptions'!$G:$G,MATCH("Insurance Start Month",'1. Assumptions'!$B:$B,0)),INDEX('1. Assumptions'!$G:$G,MATCH("D&amp;O / E&amp;O Insurance",'1. Assumptions'!$B:$B,0)),0)</f>
        <v>1000</v>
      </c>
      <c r="Z55" s="248">
        <f>IF(Z$6&gt;=INDEX('1. Assumptions'!$G:$G,MATCH("Insurance Start Month",'1. Assumptions'!$B:$B,0)),INDEX('1. Assumptions'!$G:$G,MATCH("D&amp;O / E&amp;O Insurance",'1. Assumptions'!$B:$B,0)),0)</f>
        <v>1000</v>
      </c>
      <c r="AA55" s="248">
        <f>IF(AA$6&gt;=INDEX('1. Assumptions'!$G:$G,MATCH("Insurance Start Month",'1. Assumptions'!$B:$B,0)),INDEX('1. Assumptions'!$G:$G,MATCH("D&amp;O / E&amp;O Insurance",'1. Assumptions'!$B:$B,0)),0)</f>
        <v>1000</v>
      </c>
    </row>
    <row r="56" spans="1:27" s="207" customFormat="1" ht="13.2">
      <c r="A56" s="244" t="s">
        <v>308</v>
      </c>
      <c r="B56" s="244" t="s">
        <v>396</v>
      </c>
      <c r="C56" s="244" t="s">
        <v>64</v>
      </c>
      <c r="D56" s="248">
        <f>INDEX('1. Assumptions'!$G:$G,MATCH("Contractors / Design Support",'1. Assumptions'!$B:$B,0))</f>
        <v>5000</v>
      </c>
      <c r="E56" s="248">
        <f>INDEX('1. Assumptions'!$G:$G,MATCH("Contractors / Design Support",'1. Assumptions'!$B:$B,0))</f>
        <v>5000</v>
      </c>
      <c r="F56" s="248">
        <f>INDEX('1. Assumptions'!$G:$G,MATCH("Contractors / Design Support",'1. Assumptions'!$B:$B,0))</f>
        <v>5000</v>
      </c>
      <c r="G56" s="248">
        <f>INDEX('1. Assumptions'!$G:$G,MATCH("Contractors / Design Support",'1. Assumptions'!$B:$B,0))</f>
        <v>5000</v>
      </c>
      <c r="H56" s="248">
        <f>INDEX('1. Assumptions'!$G:$G,MATCH("Contractors / Design Support",'1. Assumptions'!$B:$B,0))</f>
        <v>5000</v>
      </c>
      <c r="I56" s="248">
        <f>INDEX('1. Assumptions'!$G:$G,MATCH("Contractors / Design Support",'1. Assumptions'!$B:$B,0))</f>
        <v>5000</v>
      </c>
      <c r="J56" s="248">
        <f>INDEX('1. Assumptions'!$G:$G,MATCH("Contractors / Design Support",'1. Assumptions'!$B:$B,0))</f>
        <v>5000</v>
      </c>
      <c r="K56" s="248">
        <f>INDEX('1. Assumptions'!$G:$G,MATCH("Contractors / Design Support",'1. Assumptions'!$B:$B,0))</f>
        <v>5000</v>
      </c>
      <c r="L56" s="248">
        <f>INDEX('1. Assumptions'!$G:$G,MATCH("Contractors / Design Support",'1. Assumptions'!$B:$B,0))</f>
        <v>5000</v>
      </c>
      <c r="M56" s="248">
        <f>INDEX('1. Assumptions'!$G:$G,MATCH("Contractors / Design Support",'1. Assumptions'!$B:$B,0))</f>
        <v>5000</v>
      </c>
      <c r="N56" s="248">
        <f>INDEX('1. Assumptions'!$G:$G,MATCH("Contractors / Design Support",'1. Assumptions'!$B:$B,0))</f>
        <v>5000</v>
      </c>
      <c r="O56" s="248">
        <f>INDEX('1. Assumptions'!$G:$G,MATCH("Contractors / Design Support",'1. Assumptions'!$B:$B,0))</f>
        <v>5000</v>
      </c>
      <c r="P56" s="248">
        <f>INDEX('1. Assumptions'!$G:$G,MATCH("Contractors / Design Support",'1. Assumptions'!$B:$B,0))</f>
        <v>5000</v>
      </c>
      <c r="Q56" s="248">
        <f>INDEX('1. Assumptions'!$G:$G,MATCH("Contractors / Design Support",'1. Assumptions'!$B:$B,0))</f>
        <v>5000</v>
      </c>
      <c r="R56" s="248">
        <f>INDEX('1. Assumptions'!$G:$G,MATCH("Contractors / Design Support",'1. Assumptions'!$B:$B,0))</f>
        <v>5000</v>
      </c>
      <c r="S56" s="248">
        <f>INDEX('1. Assumptions'!$G:$G,MATCH("Contractors / Design Support",'1. Assumptions'!$B:$B,0))</f>
        <v>5000</v>
      </c>
      <c r="T56" s="248">
        <f>INDEX('1. Assumptions'!$G:$G,MATCH("Contractors / Design Support",'1. Assumptions'!$B:$B,0))</f>
        <v>5000</v>
      </c>
      <c r="U56" s="248">
        <f>INDEX('1. Assumptions'!$G:$G,MATCH("Contractors / Design Support",'1. Assumptions'!$B:$B,0))</f>
        <v>5000</v>
      </c>
      <c r="V56" s="248">
        <f>INDEX('1. Assumptions'!$G:$G,MATCH("Contractors / Design Support",'1. Assumptions'!$B:$B,0))</f>
        <v>5000</v>
      </c>
      <c r="W56" s="248">
        <f>INDEX('1. Assumptions'!$G:$G,MATCH("Contractors / Design Support",'1. Assumptions'!$B:$B,0))</f>
        <v>5000</v>
      </c>
      <c r="X56" s="248">
        <f>INDEX('1. Assumptions'!$G:$G,MATCH("Contractors / Design Support",'1. Assumptions'!$B:$B,0))</f>
        <v>5000</v>
      </c>
      <c r="Y56" s="248">
        <f>INDEX('1. Assumptions'!$G:$G,MATCH("Contractors / Design Support",'1. Assumptions'!$B:$B,0))</f>
        <v>5000</v>
      </c>
      <c r="Z56" s="248">
        <f>INDEX('1. Assumptions'!$G:$G,MATCH("Contractors / Design Support",'1. Assumptions'!$B:$B,0))</f>
        <v>5000</v>
      </c>
      <c r="AA56" s="248">
        <f>INDEX('1. Assumptions'!$G:$G,MATCH("Contractors / Design Support",'1. Assumptions'!$B:$B,0))</f>
        <v>5000</v>
      </c>
    </row>
    <row r="57" spans="1:27" s="207" customFormat="1" ht="13.2">
      <c r="A57" s="244" t="s">
        <v>308</v>
      </c>
      <c r="B57" s="244" t="s">
        <v>1033</v>
      </c>
      <c r="C57" s="244" t="s">
        <v>64</v>
      </c>
      <c r="D57" s="248">
        <f>INDEX('1. Assumptions'!$G:$G,MATCH("Security / Compliance Tools",'1. Assumptions'!$B:$B,0))</f>
        <v>1000</v>
      </c>
      <c r="E57" s="248">
        <f>INDEX('1. Assumptions'!$G:$G,MATCH("Security / Compliance Tools",'1. Assumptions'!$B:$B,0))</f>
        <v>1000</v>
      </c>
      <c r="F57" s="248">
        <f>INDEX('1. Assumptions'!$G:$G,MATCH("Security / Compliance Tools",'1. Assumptions'!$B:$B,0))</f>
        <v>1000</v>
      </c>
      <c r="G57" s="248">
        <f>INDEX('1. Assumptions'!$G:$G,MATCH("Security / Compliance Tools",'1. Assumptions'!$B:$B,0))</f>
        <v>1000</v>
      </c>
      <c r="H57" s="248">
        <f>INDEX('1. Assumptions'!$G:$G,MATCH("Security / Compliance Tools",'1. Assumptions'!$B:$B,0))</f>
        <v>1000</v>
      </c>
      <c r="I57" s="248">
        <f>INDEX('1. Assumptions'!$G:$G,MATCH("Security / Compliance Tools",'1. Assumptions'!$B:$B,0))</f>
        <v>1000</v>
      </c>
      <c r="J57" s="248">
        <f>INDEX('1. Assumptions'!$G:$G,MATCH("Security / Compliance Tools",'1. Assumptions'!$B:$B,0))</f>
        <v>1000</v>
      </c>
      <c r="K57" s="248">
        <f>INDEX('1. Assumptions'!$G:$G,MATCH("Security / Compliance Tools",'1. Assumptions'!$B:$B,0))</f>
        <v>1000</v>
      </c>
      <c r="L57" s="248">
        <f>INDEX('1. Assumptions'!$G:$G,MATCH("Security / Compliance Tools",'1. Assumptions'!$B:$B,0))</f>
        <v>1000</v>
      </c>
      <c r="M57" s="248">
        <f>INDEX('1. Assumptions'!$G:$G,MATCH("Security / Compliance Tools",'1. Assumptions'!$B:$B,0))</f>
        <v>1000</v>
      </c>
      <c r="N57" s="248">
        <f>INDEX('1. Assumptions'!$G:$G,MATCH("Security / Compliance Tools",'1. Assumptions'!$B:$B,0))</f>
        <v>1000</v>
      </c>
      <c r="O57" s="248">
        <f>INDEX('1. Assumptions'!$G:$G,MATCH("Security / Compliance Tools",'1. Assumptions'!$B:$B,0))</f>
        <v>1000</v>
      </c>
      <c r="P57" s="248">
        <f>INDEX('1. Assumptions'!$G:$G,MATCH("Security / Compliance Tools",'1. Assumptions'!$B:$B,0))</f>
        <v>1000</v>
      </c>
      <c r="Q57" s="248">
        <f>INDEX('1. Assumptions'!$G:$G,MATCH("Security / Compliance Tools",'1. Assumptions'!$B:$B,0))</f>
        <v>1000</v>
      </c>
      <c r="R57" s="248">
        <f>INDEX('1. Assumptions'!$G:$G,MATCH("Security / Compliance Tools",'1. Assumptions'!$B:$B,0))</f>
        <v>1000</v>
      </c>
      <c r="S57" s="248">
        <f>INDEX('1. Assumptions'!$G:$G,MATCH("Security / Compliance Tools",'1. Assumptions'!$B:$B,0))</f>
        <v>1000</v>
      </c>
      <c r="T57" s="248">
        <f>INDEX('1. Assumptions'!$G:$G,MATCH("Security / Compliance Tools",'1. Assumptions'!$B:$B,0))</f>
        <v>1000</v>
      </c>
      <c r="U57" s="248">
        <f>INDEX('1. Assumptions'!$G:$G,MATCH("Security / Compliance Tools",'1. Assumptions'!$B:$B,0))</f>
        <v>1000</v>
      </c>
      <c r="V57" s="248">
        <f>INDEX('1. Assumptions'!$G:$G,MATCH("Security / Compliance Tools",'1. Assumptions'!$B:$B,0))</f>
        <v>1000</v>
      </c>
      <c r="W57" s="248">
        <f>INDEX('1. Assumptions'!$G:$G,MATCH("Security / Compliance Tools",'1. Assumptions'!$B:$B,0))</f>
        <v>1000</v>
      </c>
      <c r="X57" s="248">
        <f>INDEX('1. Assumptions'!$G:$G,MATCH("Security / Compliance Tools",'1. Assumptions'!$B:$B,0))</f>
        <v>1000</v>
      </c>
      <c r="Y57" s="248">
        <f>INDEX('1. Assumptions'!$G:$G,MATCH("Security / Compliance Tools",'1. Assumptions'!$B:$B,0))</f>
        <v>1000</v>
      </c>
      <c r="Z57" s="248">
        <f>INDEX('1. Assumptions'!$G:$G,MATCH("Security / Compliance Tools",'1. Assumptions'!$B:$B,0))</f>
        <v>1000</v>
      </c>
      <c r="AA57" s="248">
        <f>INDEX('1. Assumptions'!$G:$G,MATCH("Security / Compliance Tools",'1. Assumptions'!$B:$B,0))</f>
        <v>1000</v>
      </c>
    </row>
    <row r="58" spans="1:27" s="207" customFormat="1" ht="13.2">
      <c r="A58" s="244" t="s">
        <v>308</v>
      </c>
      <c r="B58" s="244" t="s">
        <v>402</v>
      </c>
      <c r="C58" s="244" t="s">
        <v>64</v>
      </c>
      <c r="D58" s="248">
        <f>INDEX('1. Assumptions'!$G:$G,MATCH("Data / API Subscriptions",'1. Assumptions'!$B:$B,0))</f>
        <v>1500</v>
      </c>
      <c r="E58" s="248">
        <f>INDEX('1. Assumptions'!$G:$G,MATCH("Data / API Subscriptions",'1. Assumptions'!$B:$B,0))</f>
        <v>1500</v>
      </c>
      <c r="F58" s="248">
        <f>INDEX('1. Assumptions'!$G:$G,MATCH("Data / API Subscriptions",'1. Assumptions'!$B:$B,0))</f>
        <v>1500</v>
      </c>
      <c r="G58" s="248">
        <f>INDEX('1. Assumptions'!$G:$G,MATCH("Data / API Subscriptions",'1. Assumptions'!$B:$B,0))</f>
        <v>1500</v>
      </c>
      <c r="H58" s="248">
        <f>INDEX('1. Assumptions'!$G:$G,MATCH("Data / API Subscriptions",'1. Assumptions'!$B:$B,0))</f>
        <v>1500</v>
      </c>
      <c r="I58" s="248">
        <f>INDEX('1. Assumptions'!$G:$G,MATCH("Data / API Subscriptions",'1. Assumptions'!$B:$B,0))</f>
        <v>1500</v>
      </c>
      <c r="J58" s="248">
        <f>INDEX('1. Assumptions'!$G:$G,MATCH("Data / API Subscriptions",'1. Assumptions'!$B:$B,0))</f>
        <v>1500</v>
      </c>
      <c r="K58" s="248">
        <f>INDEX('1. Assumptions'!$G:$G,MATCH("Data / API Subscriptions",'1. Assumptions'!$B:$B,0))</f>
        <v>1500</v>
      </c>
      <c r="L58" s="248">
        <f>INDEX('1. Assumptions'!$G:$G,MATCH("Data / API Subscriptions",'1. Assumptions'!$B:$B,0))</f>
        <v>1500</v>
      </c>
      <c r="M58" s="248">
        <f>INDEX('1. Assumptions'!$G:$G,MATCH("Data / API Subscriptions",'1. Assumptions'!$B:$B,0))</f>
        <v>1500</v>
      </c>
      <c r="N58" s="248">
        <f>INDEX('1. Assumptions'!$G:$G,MATCH("Data / API Subscriptions",'1. Assumptions'!$B:$B,0))</f>
        <v>1500</v>
      </c>
      <c r="O58" s="248">
        <f>INDEX('1. Assumptions'!$G:$G,MATCH("Data / API Subscriptions",'1. Assumptions'!$B:$B,0))</f>
        <v>1500</v>
      </c>
      <c r="P58" s="248">
        <f>INDEX('1. Assumptions'!$G:$G,MATCH("Data / API Subscriptions",'1. Assumptions'!$B:$B,0))</f>
        <v>1500</v>
      </c>
      <c r="Q58" s="248">
        <f>INDEX('1. Assumptions'!$G:$G,MATCH("Data / API Subscriptions",'1. Assumptions'!$B:$B,0))</f>
        <v>1500</v>
      </c>
      <c r="R58" s="248">
        <f>INDEX('1. Assumptions'!$G:$G,MATCH("Data / API Subscriptions",'1. Assumptions'!$B:$B,0))</f>
        <v>1500</v>
      </c>
      <c r="S58" s="248">
        <f>INDEX('1. Assumptions'!$G:$G,MATCH("Data / API Subscriptions",'1. Assumptions'!$B:$B,0))</f>
        <v>1500</v>
      </c>
      <c r="T58" s="248">
        <f>INDEX('1. Assumptions'!$G:$G,MATCH("Data / API Subscriptions",'1. Assumptions'!$B:$B,0))</f>
        <v>1500</v>
      </c>
      <c r="U58" s="248">
        <f>INDEX('1. Assumptions'!$G:$G,MATCH("Data / API Subscriptions",'1. Assumptions'!$B:$B,0))</f>
        <v>1500</v>
      </c>
      <c r="V58" s="248">
        <f>INDEX('1. Assumptions'!$G:$G,MATCH("Data / API Subscriptions",'1. Assumptions'!$B:$B,0))</f>
        <v>1500</v>
      </c>
      <c r="W58" s="248">
        <f>INDEX('1. Assumptions'!$G:$G,MATCH("Data / API Subscriptions",'1. Assumptions'!$B:$B,0))</f>
        <v>1500</v>
      </c>
      <c r="X58" s="248">
        <f>INDEX('1. Assumptions'!$G:$G,MATCH("Data / API Subscriptions",'1. Assumptions'!$B:$B,0))</f>
        <v>1500</v>
      </c>
      <c r="Y58" s="248">
        <f>INDEX('1. Assumptions'!$G:$G,MATCH("Data / API Subscriptions",'1. Assumptions'!$B:$B,0))</f>
        <v>1500</v>
      </c>
      <c r="Z58" s="248">
        <f>INDEX('1. Assumptions'!$G:$G,MATCH("Data / API Subscriptions",'1. Assumptions'!$B:$B,0))</f>
        <v>1500</v>
      </c>
      <c r="AA58" s="248">
        <f>INDEX('1. Assumptions'!$G:$G,MATCH("Data / API Subscriptions",'1. Assumptions'!$B:$B,0))</f>
        <v>1500</v>
      </c>
    </row>
    <row r="59" spans="1:27" s="207" customFormat="1" ht="13.2">
      <c r="A59" s="244" t="s">
        <v>308</v>
      </c>
      <c r="B59" s="244" t="s">
        <v>1034</v>
      </c>
      <c r="C59" s="244" t="s">
        <v>64</v>
      </c>
      <c r="D59" s="248">
        <f>D20*12*INDEX('1. Assumptions'!$G:$G,MATCH("Sales Commission Rate (% of closed ARR)",'1. Assumptions'!$B:$B,0))</f>
        <v>1185.6000000000001</v>
      </c>
      <c r="E59" s="248">
        <f>E20*12*INDEX('1. Assumptions'!$G:$G,MATCH("Sales Commission Rate (% of closed ARR)",'1. Assumptions'!$B:$B,0))</f>
        <v>1268.5920000000003</v>
      </c>
      <c r="F59" s="248">
        <f>F20*12*INDEX('1. Assumptions'!$G:$G,MATCH("Sales Commission Rate (% of closed ARR)",'1. Assumptions'!$B:$B,0))</f>
        <v>1357.3934400000001</v>
      </c>
      <c r="G59" s="248">
        <f>G20*12*INDEX('1. Assumptions'!$G:$G,MATCH("Sales Commission Rate (% of closed ARR)",'1. Assumptions'!$B:$B,0))</f>
        <v>1452.4109808000003</v>
      </c>
      <c r="H59" s="248">
        <f>H20*12*INDEX('1. Assumptions'!$G:$G,MATCH("Sales Commission Rate (% of closed ARR)",'1. Assumptions'!$B:$B,0))</f>
        <v>1554.0797494560002</v>
      </c>
      <c r="I59" s="248">
        <f>I20*12*INDEX('1. Assumptions'!$G:$G,MATCH("Sales Commission Rate (% of closed ARR)",'1. Assumptions'!$B:$B,0))</f>
        <v>2381.6653319179204</v>
      </c>
      <c r="J59" s="248">
        <f>J20*12*INDEX('1. Assumptions'!$G:$G,MATCH("Sales Commission Rate (% of closed ARR)",'1. Assumptions'!$B:$B,0))</f>
        <v>2548.381905152175</v>
      </c>
      <c r="K59" s="248">
        <f>K20*12*INDEX('1. Assumptions'!$G:$G,MATCH("Sales Commission Rate (% of closed ARR)",'1. Assumptions'!$B:$B,0))</f>
        <v>2726.7686385128277</v>
      </c>
      <c r="L59" s="248">
        <f>L20*12*INDEX('1. Assumptions'!$G:$G,MATCH("Sales Commission Rate (% of closed ARR)",'1. Assumptions'!$B:$B,0))</f>
        <v>2917.6424432087256</v>
      </c>
      <c r="M59" s="248">
        <f>M20*12*INDEX('1. Assumptions'!$G:$G,MATCH("Sales Commission Rate (% of closed ARR)",'1. Assumptions'!$B:$B,0))</f>
        <v>3121.8774142333368</v>
      </c>
      <c r="N59" s="248">
        <f>N20*12*INDEX('1. Assumptions'!$G:$G,MATCH("Sales Commission Rate (% of closed ARR)",'1. Assumptions'!$B:$B,0))</f>
        <v>3340.4088332296706</v>
      </c>
      <c r="O59" s="248">
        <f>O20*12*INDEX('1. Assumptions'!$G:$G,MATCH("Sales Commission Rate (% of closed ARR)",'1. Assumptions'!$B:$B,0))</f>
        <v>3574.2374515557476</v>
      </c>
      <c r="P59" s="248">
        <f>P20*12*INDEX('1. Assumptions'!$G:$G,MATCH("Sales Commission Rate (% of closed ARR)",'1. Assumptions'!$B:$B,0))</f>
        <v>3824.4340731646498</v>
      </c>
      <c r="Q59" s="248">
        <f>Q20*12*INDEX('1. Assumptions'!$G:$G,MATCH("Sales Commission Rate (% of closed ARR)",'1. Assumptions'!$B:$B,0))</f>
        <v>4092.1444582861754</v>
      </c>
      <c r="R59" s="248">
        <f>R20*12*INDEX('1. Assumptions'!$G:$G,MATCH("Sales Commission Rate (% of closed ARR)",'1. Assumptions'!$B:$B,0))</f>
        <v>4378.5945703662073</v>
      </c>
      <c r="S59" s="248">
        <f>S20*12*INDEX('1. Assumptions'!$G:$G,MATCH("Sales Commission Rate (% of closed ARR)",'1. Assumptions'!$B:$B,0))</f>
        <v>4685.0961902918425</v>
      </c>
      <c r="T59" s="248">
        <f>T20*12*INDEX('1. Assumptions'!$G:$G,MATCH("Sales Commission Rate (% of closed ARR)",'1. Assumptions'!$B:$B,0))</f>
        <v>5013.052923612272</v>
      </c>
      <c r="U59" s="248">
        <f>U20*12*INDEX('1. Assumptions'!$G:$G,MATCH("Sales Commission Rate (% of closed ARR)",'1. Assumptions'!$B:$B,0))</f>
        <v>5363.9666282651324</v>
      </c>
      <c r="V59" s="248">
        <f>V20*12*INDEX('1. Assumptions'!$G:$G,MATCH("Sales Commission Rate (% of closed ARR)",'1. Assumptions'!$B:$B,0))</f>
        <v>5739.4442922436911</v>
      </c>
      <c r="W59" s="248">
        <f>W20*12*INDEX('1. Assumptions'!$G:$G,MATCH("Sales Commission Rate (% of closed ARR)",'1. Assumptions'!$B:$B,0))</f>
        <v>6141.2053927007501</v>
      </c>
      <c r="X59" s="248">
        <f>X20*12*INDEX('1. Assumptions'!$G:$G,MATCH("Sales Commission Rate (% of closed ARR)",'1. Assumptions'!$B:$B,0))</f>
        <v>6571.0897701898029</v>
      </c>
      <c r="Y59" s="248">
        <f>Y20*12*INDEX('1. Assumptions'!$G:$G,MATCH("Sales Commission Rate (% of closed ARR)",'1. Assumptions'!$B:$B,0))</f>
        <v>7031.0660541030902</v>
      </c>
      <c r="Z59" s="248">
        <f>Z20*12*INDEX('1. Assumptions'!$G:$G,MATCH("Sales Commission Rate (% of closed ARR)",'1. Assumptions'!$B:$B,0))</f>
        <v>7523.240677890306</v>
      </c>
      <c r="AA59" s="248">
        <f>AA20*12*INDEX('1. Assumptions'!$G:$G,MATCH("Sales Commission Rate (% of closed ARR)",'1. Assumptions'!$B:$B,0))</f>
        <v>8049.8675253426281</v>
      </c>
    </row>
    <row r="60" spans="1:27" s="207" customFormat="1" ht="13.2">
      <c r="A60" s="244" t="s">
        <v>308</v>
      </c>
      <c r="B60" s="244" t="s">
        <v>1035</v>
      </c>
      <c r="C60" s="244" t="s">
        <v>64</v>
      </c>
      <c r="D60" s="154">
        <f>SUM(D48:D59)</f>
        <v>42518.933333333327</v>
      </c>
      <c r="E60" s="154">
        <f t="shared" ref="E60:AA60" si="1">SUM(E48:E59)</f>
        <v>43254.099246376805</v>
      </c>
      <c r="F60" s="154">
        <f t="shared" si="1"/>
        <v>59161.74126608696</v>
      </c>
      <c r="G60" s="154">
        <f t="shared" si="1"/>
        <v>75075.599386597096</v>
      </c>
      <c r="H60" s="154">
        <f t="shared" si="1"/>
        <v>85996.108734963258</v>
      </c>
      <c r="I60" s="154">
        <f t="shared" si="1"/>
        <v>105642.53489713532</v>
      </c>
      <c r="J60" s="154">
        <f t="shared" si="1"/>
        <v>106461.42538341305</v>
      </c>
      <c r="K60" s="154">
        <f t="shared" si="1"/>
        <v>107291.9860298172</v>
      </c>
      <c r="L60" s="154">
        <f t="shared" si="1"/>
        <v>122301.70041422322</v>
      </c>
      <c r="M60" s="154">
        <f t="shared" si="1"/>
        <v>136324.77596495798</v>
      </c>
      <c r="N60" s="154">
        <f t="shared" si="1"/>
        <v>137195.48129699781</v>
      </c>
      <c r="O60" s="154">
        <f t="shared" si="1"/>
        <v>153248.15049503403</v>
      </c>
      <c r="P60" s="154">
        <f t="shared" si="1"/>
        <v>154150.52102968638</v>
      </c>
      <c r="Q60" s="154">
        <f t="shared" si="1"/>
        <v>169237.07199451805</v>
      </c>
      <c r="R60" s="154">
        <f t="shared" si="1"/>
        <v>170175.69601964156</v>
      </c>
      <c r="S60" s="154">
        <f t="shared" si="1"/>
        <v>171134.37155261065</v>
      </c>
      <c r="T60" s="154">
        <f t="shared" si="1"/>
        <v>172114.50219897457</v>
      </c>
      <c r="U60" s="154">
        <f t="shared" si="1"/>
        <v>173117.58981667092</v>
      </c>
      <c r="V60" s="154">
        <f t="shared" si="1"/>
        <v>174145.24139369297</v>
      </c>
      <c r="W60" s="154">
        <f t="shared" si="1"/>
        <v>191365.84307386013</v>
      </c>
      <c r="X60" s="154">
        <f t="shared" si="1"/>
        <v>192447.90136439269</v>
      </c>
      <c r="Y60" s="154">
        <f t="shared" si="1"/>
        <v>193560.05156134945</v>
      </c>
      <c r="Z60" s="154">
        <f t="shared" si="1"/>
        <v>194704.40009818014</v>
      </c>
      <c r="AA60" s="154">
        <f t="shared" si="1"/>
        <v>195883.20085867593</v>
      </c>
    </row>
    <row r="61" spans="1:27" s="207" customFormat="1" ht="13.2">
      <c r="A61" s="244"/>
      <c r="B61" s="244"/>
      <c r="C61" s="244"/>
      <c r="D61" s="255"/>
      <c r="E61" s="255"/>
      <c r="F61" s="255"/>
      <c r="G61" s="255"/>
      <c r="H61" s="255"/>
      <c r="I61" s="255"/>
      <c r="J61" s="255"/>
      <c r="K61" s="255"/>
      <c r="L61" s="255"/>
      <c r="M61" s="255"/>
      <c r="N61" s="255"/>
      <c r="O61" s="255"/>
      <c r="P61" s="255"/>
      <c r="Q61" s="255"/>
      <c r="R61" s="255"/>
      <c r="S61" s="255"/>
      <c r="T61" s="255"/>
      <c r="U61" s="255"/>
      <c r="V61" s="255"/>
      <c r="W61" s="255"/>
      <c r="X61" s="255"/>
      <c r="Y61" s="255"/>
      <c r="Z61" s="255"/>
      <c r="AA61" s="255"/>
    </row>
    <row r="62" spans="1:27" s="207" customFormat="1" ht="13.2">
      <c r="A62" s="242" t="s">
        <v>1036</v>
      </c>
      <c r="B62" s="243"/>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c r="AA62" s="242"/>
    </row>
    <row r="63" spans="1:27" s="207" customFormat="1" ht="13.2">
      <c r="A63" s="244" t="s">
        <v>1037</v>
      </c>
      <c r="B63" s="244" t="s">
        <v>935</v>
      </c>
      <c r="C63" s="244" t="s">
        <v>64</v>
      </c>
      <c r="D63" s="154">
        <f>D36</f>
        <v>36453.640450000006</v>
      </c>
      <c r="E63" s="154">
        <f t="shared" ref="E63:AA63" si="2">E36</f>
        <v>37831.770820693346</v>
      </c>
      <c r="F63" s="154">
        <f t="shared" si="2"/>
        <v>39253.687303387647</v>
      </c>
      <c r="G63" s="154">
        <f t="shared" si="2"/>
        <v>40747.893792300485</v>
      </c>
      <c r="H63" s="154">
        <f t="shared" si="2"/>
        <v>42340.141010103871</v>
      </c>
      <c r="I63" s="154">
        <f t="shared" si="2"/>
        <v>45244.332573793654</v>
      </c>
      <c r="J63" s="154">
        <f t="shared" si="2"/>
        <v>48362.634748315584</v>
      </c>
      <c r="K63" s="154">
        <f t="shared" si="2"/>
        <v>43055.773234339693</v>
      </c>
      <c r="L63" s="154">
        <f t="shared" si="2"/>
        <v>46084.831785659051</v>
      </c>
      <c r="M63" s="154">
        <f t="shared" si="2"/>
        <v>49558.140791397513</v>
      </c>
      <c r="N63" s="154">
        <f t="shared" si="2"/>
        <v>53339.291798290069</v>
      </c>
      <c r="O63" s="154">
        <f t="shared" si="2"/>
        <v>57460.431198865474</v>
      </c>
      <c r="P63" s="154">
        <f t="shared" si="2"/>
        <v>61955.99540992736</v>
      </c>
      <c r="Q63" s="154">
        <f t="shared" si="2"/>
        <v>66863.083333907314</v>
      </c>
      <c r="R63" s="154">
        <f t="shared" si="2"/>
        <v>72221.8350173707</v>
      </c>
      <c r="S63" s="154">
        <f t="shared" si="2"/>
        <v>69409.15711167836</v>
      </c>
      <c r="T63" s="154">
        <f t="shared" si="2"/>
        <v>75805.80172944341</v>
      </c>
      <c r="U63" s="154">
        <f t="shared" si="2"/>
        <v>82796.804849997847</v>
      </c>
      <c r="V63" s="154">
        <f t="shared" si="2"/>
        <v>90438.623516000982</v>
      </c>
      <c r="W63" s="154">
        <f t="shared" si="2"/>
        <v>98792.977649964596</v>
      </c>
      <c r="X63" s="154">
        <f t="shared" si="2"/>
        <v>107927.40238016113</v>
      </c>
      <c r="Y63" s="154">
        <f t="shared" si="2"/>
        <v>117915.85028278868</v>
      </c>
      <c r="Z63" s="154">
        <f t="shared" si="2"/>
        <v>128839.34990915228</v>
      </c>
      <c r="AA63" s="154">
        <f t="shared" si="2"/>
        <v>140786.72736490343</v>
      </c>
    </row>
    <row r="64" spans="1:27" s="207" customFormat="1" ht="13.2">
      <c r="A64" s="244" t="s">
        <v>1037</v>
      </c>
      <c r="B64" s="244" t="s">
        <v>1035</v>
      </c>
      <c r="C64" s="244" t="s">
        <v>64</v>
      </c>
      <c r="D64" s="154">
        <f>D60</f>
        <v>42518.933333333327</v>
      </c>
      <c r="E64" s="154">
        <f t="shared" ref="E64:AA64" si="3">E60</f>
        <v>43254.099246376805</v>
      </c>
      <c r="F64" s="154">
        <f t="shared" si="3"/>
        <v>59161.74126608696</v>
      </c>
      <c r="G64" s="154">
        <f t="shared" si="3"/>
        <v>75075.599386597096</v>
      </c>
      <c r="H64" s="154">
        <f t="shared" si="3"/>
        <v>85996.108734963258</v>
      </c>
      <c r="I64" s="154">
        <f t="shared" si="3"/>
        <v>105642.53489713532</v>
      </c>
      <c r="J64" s="154">
        <f t="shared" si="3"/>
        <v>106461.42538341305</v>
      </c>
      <c r="K64" s="154">
        <f t="shared" si="3"/>
        <v>107291.9860298172</v>
      </c>
      <c r="L64" s="154">
        <f t="shared" si="3"/>
        <v>122301.70041422322</v>
      </c>
      <c r="M64" s="154">
        <f t="shared" si="3"/>
        <v>136324.77596495798</v>
      </c>
      <c r="N64" s="154">
        <f t="shared" si="3"/>
        <v>137195.48129699781</v>
      </c>
      <c r="O64" s="154">
        <f t="shared" si="3"/>
        <v>153248.15049503403</v>
      </c>
      <c r="P64" s="154">
        <f t="shared" si="3"/>
        <v>154150.52102968638</v>
      </c>
      <c r="Q64" s="154">
        <f t="shared" si="3"/>
        <v>169237.07199451805</v>
      </c>
      <c r="R64" s="154">
        <f t="shared" si="3"/>
        <v>170175.69601964156</v>
      </c>
      <c r="S64" s="154">
        <f t="shared" si="3"/>
        <v>171134.37155261065</v>
      </c>
      <c r="T64" s="154">
        <f t="shared" si="3"/>
        <v>172114.50219897457</v>
      </c>
      <c r="U64" s="154">
        <f t="shared" si="3"/>
        <v>173117.58981667092</v>
      </c>
      <c r="V64" s="154">
        <f t="shared" si="3"/>
        <v>174145.24139369297</v>
      </c>
      <c r="W64" s="154">
        <f t="shared" si="3"/>
        <v>191365.84307386013</v>
      </c>
      <c r="X64" s="154">
        <f t="shared" si="3"/>
        <v>192447.90136439269</v>
      </c>
      <c r="Y64" s="154">
        <f t="shared" si="3"/>
        <v>193560.05156134945</v>
      </c>
      <c r="Z64" s="154">
        <f t="shared" si="3"/>
        <v>194704.40009818014</v>
      </c>
      <c r="AA64" s="154">
        <f t="shared" si="3"/>
        <v>195883.20085867593</v>
      </c>
    </row>
    <row r="65" spans="1:27" s="207" customFormat="1" ht="13.2">
      <c r="A65" s="244" t="s">
        <v>1037</v>
      </c>
      <c r="B65" s="244" t="s">
        <v>1038</v>
      </c>
      <c r="C65" s="244" t="s">
        <v>64</v>
      </c>
      <c r="D65" s="154">
        <f>D63-D64</f>
        <v>-6065.2928833333208</v>
      </c>
      <c r="E65" s="154">
        <f t="shared" ref="E65:AA65" si="4">E63-E64</f>
        <v>-5422.3284256834595</v>
      </c>
      <c r="F65" s="154">
        <f t="shared" si="4"/>
        <v>-19908.053962699312</v>
      </c>
      <c r="G65" s="154">
        <f t="shared" si="4"/>
        <v>-34327.705594296611</v>
      </c>
      <c r="H65" s="154">
        <f t="shared" si="4"/>
        <v>-43655.967724859387</v>
      </c>
      <c r="I65" s="154">
        <f t="shared" si="4"/>
        <v>-60398.202323341669</v>
      </c>
      <c r="J65" s="154">
        <f t="shared" si="4"/>
        <v>-58098.790635097466</v>
      </c>
      <c r="K65" s="154">
        <f t="shared" si="4"/>
        <v>-64236.212795477506</v>
      </c>
      <c r="L65" s="154">
        <f t="shared" si="4"/>
        <v>-76216.868628564174</v>
      </c>
      <c r="M65" s="154">
        <f t="shared" si="4"/>
        <v>-86766.635173560469</v>
      </c>
      <c r="N65" s="154">
        <f t="shared" si="4"/>
        <v>-83856.189498707739</v>
      </c>
      <c r="O65" s="154">
        <f t="shared" si="4"/>
        <v>-95787.719296168565</v>
      </c>
      <c r="P65" s="154">
        <f t="shared" si="4"/>
        <v>-92194.525619759021</v>
      </c>
      <c r="Q65" s="154">
        <f t="shared" si="4"/>
        <v>-102373.98866061073</v>
      </c>
      <c r="R65" s="154">
        <f t="shared" si="4"/>
        <v>-97953.86100227086</v>
      </c>
      <c r="S65" s="154">
        <f t="shared" si="4"/>
        <v>-101725.21444093229</v>
      </c>
      <c r="T65" s="154">
        <f t="shared" si="4"/>
        <v>-96308.700469531163</v>
      </c>
      <c r="U65" s="154">
        <f t="shared" si="4"/>
        <v>-90320.784966673076</v>
      </c>
      <c r="V65" s="154">
        <f t="shared" si="4"/>
        <v>-83706.617877691984</v>
      </c>
      <c r="W65" s="154">
        <f t="shared" si="4"/>
        <v>-92572.865423895535</v>
      </c>
      <c r="X65" s="154">
        <f t="shared" si="4"/>
        <v>-84520.498984231555</v>
      </c>
      <c r="Y65" s="154">
        <f t="shared" si="4"/>
        <v>-75644.201278560766</v>
      </c>
      <c r="Z65" s="154">
        <f t="shared" si="4"/>
        <v>-65865.050189027854</v>
      </c>
      <c r="AA65" s="154">
        <f t="shared" si="4"/>
        <v>-55096.473493772501</v>
      </c>
    </row>
    <row r="66" spans="1:27" s="207" customFormat="1" ht="13.2">
      <c r="A66" s="244" t="s">
        <v>1037</v>
      </c>
      <c r="B66" s="244" t="s">
        <v>1039</v>
      </c>
      <c r="C66" s="244" t="s">
        <v>173</v>
      </c>
      <c r="D66" s="256">
        <f>IFERROR(D65/D13,"")</f>
        <v>-0.13641121741601098</v>
      </c>
      <c r="E66" s="256">
        <f t="shared" ref="E66:AA66" si="5">IFERROR(E65/E13,"")</f>
        <v>-0.11754611660387557</v>
      </c>
      <c r="F66" s="256">
        <f t="shared" si="5"/>
        <v>-0.41612290635986465</v>
      </c>
      <c r="G66" s="256">
        <f t="shared" si="5"/>
        <v>-0.69157927098402494</v>
      </c>
      <c r="H66" s="256">
        <f t="shared" si="5"/>
        <v>-0.8469226902600494</v>
      </c>
      <c r="I66" s="256">
        <f t="shared" si="5"/>
        <v>-1.0941646564225178</v>
      </c>
      <c r="J66" s="256">
        <f t="shared" si="5"/>
        <v>-0.98264445923659105</v>
      </c>
      <c r="K66" s="256">
        <f t="shared" si="5"/>
        <v>-1.0139081867035564</v>
      </c>
      <c r="L66" s="256">
        <f t="shared" si="5"/>
        <v>-1.1388310133495667</v>
      </c>
      <c r="M66" s="256">
        <f t="shared" si="5"/>
        <v>-1.2207655225301355</v>
      </c>
      <c r="N66" s="256">
        <f t="shared" si="5"/>
        <v>-1.1092518219925709</v>
      </c>
      <c r="O66" s="256">
        <f t="shared" si="5"/>
        <v>-1.1894821036120442</v>
      </c>
      <c r="P66" s="256">
        <f t="shared" si="5"/>
        <v>-1.0731169716115105</v>
      </c>
      <c r="Q66" s="256">
        <f t="shared" si="5"/>
        <v>-1.1152623542099955</v>
      </c>
      <c r="R66" s="256">
        <f t="shared" si="5"/>
        <v>-0.99729262164027266</v>
      </c>
      <c r="S66" s="256">
        <f t="shared" si="5"/>
        <v>-0.96656721016728031</v>
      </c>
      <c r="T66" s="256">
        <f t="shared" si="5"/>
        <v>-0.85287161576740367</v>
      </c>
      <c r="U66" s="256">
        <f t="shared" si="5"/>
        <v>-0.74448898383757911</v>
      </c>
      <c r="V66" s="256">
        <f t="shared" si="5"/>
        <v>-0.64142681575106431</v>
      </c>
      <c r="W66" s="256">
        <f t="shared" si="5"/>
        <v>-0.65868708994667891</v>
      </c>
      <c r="X66" s="256">
        <f t="shared" si="5"/>
        <v>-0.55780716468176372</v>
      </c>
      <c r="Y66" s="256">
        <f t="shared" si="5"/>
        <v>-0.46256145450445613</v>
      </c>
      <c r="Z66" s="256">
        <f t="shared" si="5"/>
        <v>-0.37281364652160431</v>
      </c>
      <c r="AA66" s="256">
        <f t="shared" si="5"/>
        <v>-0.28840309842757655</v>
      </c>
    </row>
    <row r="67" spans="1:27" s="207" customFormat="1" ht="13.2">
      <c r="A67" s="244"/>
      <c r="B67" s="244"/>
      <c r="C67" s="244"/>
      <c r="D67" s="252"/>
      <c r="E67" s="252"/>
      <c r="F67" s="252"/>
      <c r="G67" s="252"/>
      <c r="H67" s="252"/>
      <c r="I67" s="252"/>
      <c r="J67" s="252"/>
      <c r="K67" s="252"/>
      <c r="L67" s="252"/>
      <c r="M67" s="252"/>
      <c r="N67" s="252"/>
      <c r="O67" s="252"/>
      <c r="P67" s="252"/>
      <c r="Q67" s="252"/>
      <c r="R67" s="252"/>
      <c r="S67" s="252"/>
      <c r="T67" s="252"/>
      <c r="U67" s="252"/>
      <c r="V67" s="252"/>
      <c r="W67" s="252"/>
      <c r="X67" s="252"/>
      <c r="Y67" s="252"/>
      <c r="Z67" s="252"/>
      <c r="AA67" s="252"/>
    </row>
    <row r="68" spans="1:27" s="207" customFormat="1" ht="13.2">
      <c r="A68" s="242" t="s">
        <v>1040</v>
      </c>
      <c r="B68" s="243"/>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c r="AA68" s="242"/>
    </row>
    <row r="69" spans="1:27" s="207" customFormat="1" ht="13.2">
      <c r="A69" s="244" t="s">
        <v>1041</v>
      </c>
      <c r="B69" s="244" t="s">
        <v>1042</v>
      </c>
      <c r="C69" s="244" t="s">
        <v>64</v>
      </c>
      <c r="D69" s="248">
        <f>(INDEX('3. Revenue Model'!$D:$AA,MATCH("Starter MRR",'3. Revenue Model'!$B:$B,0),MATCH(D$3,'3. Revenue Model'!$D$2:$AA$2,0))+INDEX('3. Revenue Model'!$D:$AA,MATCH("Growth MRR",'3. Revenue Model'!$B:$B,0),MATCH(D$3,'3. Revenue Model'!$D$2:$AA$2,0))+D11)*(1-INDEX('1. Assumptions'!$G:$G,MATCH("Self-Serve Billing Collection Lag",'1. Assumptions'!$B:$B,0))/30)+IF(D$6=1,0,(INDEX('3. Revenue Model'!$D:$AA,MATCH("Starter MRR",'3. Revenue Model'!$B:$B,0),MATCH(C$3,'3. Revenue Model'!$D$2:$AA$2,0))+INDEX('3. Revenue Model'!$D:$AA,MATCH("Growth MRR",'3. Revenue Model'!$B:$B,0),MATCH(C$3,'3. Revenue Model'!$D$2:$AA$2,0))+C11)*(INDEX('1. Assumptions'!$G:$G,MATCH("Self-Serve Billing Collection Lag",'1. Assumptions'!$B:$B,0))/30))</f>
        <v>40148.055</v>
      </c>
      <c r="E69" s="248">
        <f>(INDEX('3. Revenue Model'!$D:$AA,MATCH("Starter MRR",'3. Revenue Model'!$B:$B,0),MATCH(E$3,'3. Revenue Model'!$D$2:$AA$2,0))+INDEX('3. Revenue Model'!$D:$AA,MATCH("Growth MRR",'3. Revenue Model'!$B:$B,0),MATCH(E$3,'3. Revenue Model'!$D$2:$AA$2,0))+E11)*(1-INDEX('1. Assumptions'!$G:$G,MATCH("Self-Serve Billing Collection Lag",'1. Assumptions'!$B:$B,0))/30)+IF(E$6=1,0,(INDEX('3. Revenue Model'!$D:$AA,MATCH("Starter MRR",'3. Revenue Model'!$B:$B,0),MATCH(D$3,'3. Revenue Model'!$D$2:$AA$2,0))+INDEX('3. Revenue Model'!$D:$AA,MATCH("Growth MRR",'3. Revenue Model'!$B:$B,0),MATCH(D$3,'3. Revenue Model'!$D$2:$AA$2,0))+D11)*(INDEX('1. Assumptions'!$G:$G,MATCH("Self-Serve Billing Collection Lag",'1. Assumptions'!$B:$B,0))/30))</f>
        <v>46256.380987499993</v>
      </c>
      <c r="F69" s="248">
        <f>(INDEX('3. Revenue Model'!$D:$AA,MATCH("Starter MRR",'3. Revenue Model'!$B:$B,0),MATCH(F$3,'3. Revenue Model'!$D$2:$AA$2,0))+INDEX('3. Revenue Model'!$D:$AA,MATCH("Growth MRR",'3. Revenue Model'!$B:$B,0),MATCH(F$3,'3. Revenue Model'!$D$2:$AA$2,0))+F11)*(1-INDEX('1. Assumptions'!$G:$G,MATCH("Self-Serve Billing Collection Lag",'1. Assumptions'!$B:$B,0))/30)+IF(F$6=1,0,(INDEX('3. Revenue Model'!$D:$AA,MATCH("Starter MRR",'3. Revenue Model'!$B:$B,0),MATCH(E$3,'3. Revenue Model'!$D$2:$AA$2,0))+INDEX('3. Revenue Model'!$D:$AA,MATCH("Growth MRR",'3. Revenue Model'!$B:$B,0),MATCH(E$3,'3. Revenue Model'!$D$2:$AA$2,0))+E11)*(INDEX('1. Assumptions'!$G:$G,MATCH("Self-Serve Billing Collection Lag",'1. Assumptions'!$B:$B,0))/30))</f>
        <v>48139.191020343751</v>
      </c>
      <c r="G69" s="248">
        <f>(INDEX('3. Revenue Model'!$D:$AA,MATCH("Starter MRR",'3. Revenue Model'!$B:$B,0),MATCH(G$3,'3. Revenue Model'!$D$2:$AA$2,0))+INDEX('3. Revenue Model'!$D:$AA,MATCH("Growth MRR",'3. Revenue Model'!$B:$B,0),MATCH(G$3,'3. Revenue Model'!$D$2:$AA$2,0))+G11)*(1-INDEX('1. Assumptions'!$G:$G,MATCH("Self-Serve Billing Collection Lag",'1. Assumptions'!$B:$B,0))/30)+IF(G$6=1,0,(INDEX('3. Revenue Model'!$D:$AA,MATCH("Starter MRR",'3. Revenue Model'!$B:$B,0),MATCH(F$3,'3. Revenue Model'!$D$2:$AA$2,0))+INDEX('3. Revenue Model'!$D:$AA,MATCH("Growth MRR",'3. Revenue Model'!$B:$B,0),MATCH(F$3,'3. Revenue Model'!$D$2:$AA$2,0))+F11)*(INDEX('1. Assumptions'!$G:$G,MATCH("Self-Serve Billing Collection Lag",'1. Assumptions'!$B:$B,0))/30))</f>
        <v>50112.484677284301</v>
      </c>
      <c r="H69" s="248">
        <f>(INDEX('3. Revenue Model'!$D:$AA,MATCH("Starter MRR",'3. Revenue Model'!$B:$B,0),MATCH(H$3,'3. Revenue Model'!$D$2:$AA$2,0))+INDEX('3. Revenue Model'!$D:$AA,MATCH("Growth MRR",'3. Revenue Model'!$B:$B,0),MATCH(H$3,'3. Revenue Model'!$D$2:$AA$2,0))+H11)*(1-INDEX('1. Assumptions'!$G:$G,MATCH("Self-Serve Billing Collection Lag",'1. Assumptions'!$B:$B,0))/30)+IF(H$6=1,0,(INDEX('3. Revenue Model'!$D:$AA,MATCH("Starter MRR",'3. Revenue Model'!$B:$B,0),MATCH(G$3,'3. Revenue Model'!$D$2:$AA$2,0))+INDEX('3. Revenue Model'!$D:$AA,MATCH("Growth MRR",'3. Revenue Model'!$B:$B,0),MATCH(G$3,'3. Revenue Model'!$D$2:$AA$2,0))+G11)*(INDEX('1. Assumptions'!$G:$G,MATCH("Self-Serve Billing Collection Lag",'1. Assumptions'!$B:$B,0))/30))</f>
        <v>52209.131707432978</v>
      </c>
      <c r="I69" s="248">
        <f>(INDEX('3. Revenue Model'!$D:$AA,MATCH("Starter MRR",'3. Revenue Model'!$B:$B,0),MATCH(I$3,'3. Revenue Model'!$D$2:$AA$2,0))+INDEX('3. Revenue Model'!$D:$AA,MATCH("Growth MRR",'3. Revenue Model'!$B:$B,0),MATCH(I$3,'3. Revenue Model'!$D$2:$AA$2,0))+I11)*(1-INDEX('1. Assumptions'!$G:$G,MATCH("Self-Serve Billing Collection Lag",'1. Assumptions'!$B:$B,0))/30)+IF(I$6=1,0,(INDEX('3. Revenue Model'!$D:$AA,MATCH("Starter MRR",'3. Revenue Model'!$B:$B,0),MATCH(H$3,'3. Revenue Model'!$D$2:$AA$2,0))+INDEX('3. Revenue Model'!$D:$AA,MATCH("Growth MRR",'3. Revenue Model'!$B:$B,0),MATCH(H$3,'3. Revenue Model'!$D$2:$AA$2,0))+H11)*(INDEX('1. Assumptions'!$G:$G,MATCH("Self-Serve Billing Collection Lag",'1. Assumptions'!$B:$B,0))/30))</f>
        <v>54459.622556749273</v>
      </c>
      <c r="J69" s="248">
        <f>(INDEX('3. Revenue Model'!$D:$AA,MATCH("Starter MRR",'3. Revenue Model'!$B:$B,0),MATCH(J$3,'3. Revenue Model'!$D$2:$AA$2,0))+INDEX('3. Revenue Model'!$D:$AA,MATCH("Growth MRR",'3. Revenue Model'!$B:$B,0),MATCH(J$3,'3. Revenue Model'!$D$2:$AA$2,0))+J11)*(1-INDEX('1. Assumptions'!$G:$G,MATCH("Self-Serve Billing Collection Lag",'1. Assumptions'!$B:$B,0))/30)+IF(J$6=1,0,(INDEX('3. Revenue Model'!$D:$AA,MATCH("Starter MRR",'3. Revenue Model'!$B:$B,0),MATCH(I$3,'3. Revenue Model'!$D$2:$AA$2,0))+INDEX('3. Revenue Model'!$D:$AA,MATCH("Growth MRR",'3. Revenue Model'!$B:$B,0),MATCH(I$3,'3. Revenue Model'!$D$2:$AA$2,0))+I11)*(INDEX('1. Assumptions'!$G:$G,MATCH("Self-Serve Billing Collection Lag",'1. Assumptions'!$B:$B,0))/30))</f>
        <v>56893.013794753999</v>
      </c>
      <c r="K69" s="248">
        <f>(INDEX('3. Revenue Model'!$D:$AA,MATCH("Starter MRR",'3. Revenue Model'!$B:$B,0),MATCH(K$3,'3. Revenue Model'!$D$2:$AA$2,0))+INDEX('3. Revenue Model'!$D:$AA,MATCH("Growth MRR",'3. Revenue Model'!$B:$B,0),MATCH(K$3,'3. Revenue Model'!$D$2:$AA$2,0))+K11)*(1-INDEX('1. Assumptions'!$G:$G,MATCH("Self-Serve Billing Collection Lag",'1. Assumptions'!$B:$B,0))/30)+IF(K$6=1,0,(INDEX('3. Revenue Model'!$D:$AA,MATCH("Starter MRR",'3. Revenue Model'!$B:$B,0),MATCH(J$3,'3. Revenue Model'!$D$2:$AA$2,0))+INDEX('3. Revenue Model'!$D:$AA,MATCH("Growth MRR",'3. Revenue Model'!$B:$B,0),MATCH(J$3,'3. Revenue Model'!$D$2:$AA$2,0))+J11)*(INDEX('1. Assumptions'!$G:$G,MATCH("Self-Serve Billing Collection Lag",'1. Assumptions'!$B:$B,0))/30))</f>
        <v>59537.707213689762</v>
      </c>
      <c r="L69" s="248">
        <f>(INDEX('3. Revenue Model'!$D:$AA,MATCH("Starter MRR",'3. Revenue Model'!$B:$B,0),MATCH(L$3,'3. Revenue Model'!$D$2:$AA$2,0))+INDEX('3. Revenue Model'!$D:$AA,MATCH("Growth MRR",'3. Revenue Model'!$B:$B,0),MATCH(L$3,'3. Revenue Model'!$D$2:$AA$2,0))+L11)*(1-INDEX('1. Assumptions'!$G:$G,MATCH("Self-Serve Billing Collection Lag",'1. Assumptions'!$B:$B,0))/30)+IF(L$6=1,0,(INDEX('3. Revenue Model'!$D:$AA,MATCH("Starter MRR",'3. Revenue Model'!$B:$B,0),MATCH(K$3,'3. Revenue Model'!$D$2:$AA$2,0))+INDEX('3. Revenue Model'!$D:$AA,MATCH("Growth MRR",'3. Revenue Model'!$B:$B,0),MATCH(K$3,'3. Revenue Model'!$D$2:$AA$2,0))+K11)*(INDEX('1. Assumptions'!$G:$G,MATCH("Self-Serve Billing Collection Lag",'1. Assumptions'!$B:$B,0))/30))</f>
        <v>62422.103036045359</v>
      </c>
      <c r="M69" s="248">
        <f>(INDEX('3. Revenue Model'!$D:$AA,MATCH("Starter MRR",'3. Revenue Model'!$B:$B,0),MATCH(M$3,'3. Revenue Model'!$D$2:$AA$2,0))+INDEX('3. Revenue Model'!$D:$AA,MATCH("Growth MRR",'3. Revenue Model'!$B:$B,0),MATCH(M$3,'3. Revenue Model'!$D$2:$AA$2,0))+M11)*(1-INDEX('1. Assumptions'!$G:$G,MATCH("Self-Serve Billing Collection Lag",'1. Assumptions'!$B:$B,0))/30)+IF(M$6=1,0,(INDEX('3. Revenue Model'!$D:$AA,MATCH("Starter MRR",'3. Revenue Model'!$B:$B,0),MATCH(L$3,'3. Revenue Model'!$D$2:$AA$2,0))+INDEX('3. Revenue Model'!$D:$AA,MATCH("Growth MRR",'3. Revenue Model'!$B:$B,0),MATCH(L$3,'3. Revenue Model'!$D$2:$AA$2,0))+L11)*(INDEX('1. Assumptions'!$G:$G,MATCH("Self-Serve Billing Collection Lag",'1. Assumptions'!$B:$B,0))/30))</f>
        <v>65821.245428186128</v>
      </c>
      <c r="N69" s="248">
        <f>(INDEX('3. Revenue Model'!$D:$AA,MATCH("Starter MRR",'3. Revenue Model'!$B:$B,0),MATCH(N$3,'3. Revenue Model'!$D$2:$AA$2,0))+INDEX('3. Revenue Model'!$D:$AA,MATCH("Growth MRR",'3. Revenue Model'!$B:$B,0),MATCH(N$3,'3. Revenue Model'!$D$2:$AA$2,0))+N11)*(1-INDEX('1. Assumptions'!$G:$G,MATCH("Self-Serve Billing Collection Lag",'1. Assumptions'!$B:$B,0))/30)+IF(N$6=1,0,(INDEX('3. Revenue Model'!$D:$AA,MATCH("Starter MRR",'3. Revenue Model'!$B:$B,0),MATCH(M$3,'3. Revenue Model'!$D$2:$AA$2,0))+INDEX('3. Revenue Model'!$D:$AA,MATCH("Growth MRR",'3. Revenue Model'!$B:$B,0),MATCH(M$3,'3. Revenue Model'!$D$2:$AA$2,0))+M11)*(INDEX('1. Assumptions'!$G:$G,MATCH("Self-Serve Billing Collection Lag",'1. Assumptions'!$B:$B,0))/30))</f>
        <v>69575.970206677099</v>
      </c>
      <c r="O69" s="248">
        <f>(INDEX('3. Revenue Model'!$D:$AA,MATCH("Starter MRR",'3. Revenue Model'!$B:$B,0),MATCH(O$3,'3. Revenue Model'!$D$2:$AA$2,0))+INDEX('3. Revenue Model'!$D:$AA,MATCH("Growth MRR",'3. Revenue Model'!$B:$B,0),MATCH(O$3,'3. Revenue Model'!$D$2:$AA$2,0))+O11)*(1-INDEX('1. Assumptions'!$G:$G,MATCH("Self-Serve Billing Collection Lag",'1. Assumptions'!$B:$B,0))/30)+IF(O$6=1,0,(INDEX('3. Revenue Model'!$D:$AA,MATCH("Starter MRR",'3. Revenue Model'!$B:$B,0),MATCH(N$3,'3. Revenue Model'!$D$2:$AA$2,0))+INDEX('3. Revenue Model'!$D:$AA,MATCH("Growth MRR",'3. Revenue Model'!$B:$B,0),MATCH(N$3,'3. Revenue Model'!$D$2:$AA$2,0))+N11)*(INDEX('1. Assumptions'!$G:$G,MATCH("Self-Serve Billing Collection Lag",'1. Assumptions'!$B:$B,0))/30))</f>
        <v>73698.191100410855</v>
      </c>
      <c r="P69" s="248">
        <f>(INDEX('3. Revenue Model'!$D:$AA,MATCH("Starter MRR",'3. Revenue Model'!$B:$B,0),MATCH(P$3,'3. Revenue Model'!$D$2:$AA$2,0))+INDEX('3. Revenue Model'!$D:$AA,MATCH("Growth MRR",'3. Revenue Model'!$B:$B,0),MATCH(P$3,'3. Revenue Model'!$D$2:$AA$2,0))+P11)*(1-INDEX('1. Assumptions'!$G:$G,MATCH("Self-Serve Billing Collection Lag",'1. Assumptions'!$B:$B,0))/30)+IF(P$6=1,0,(INDEX('3. Revenue Model'!$D:$AA,MATCH("Starter MRR",'3. Revenue Model'!$B:$B,0),MATCH(O$3,'3. Revenue Model'!$D$2:$AA$2,0))+INDEX('3. Revenue Model'!$D:$AA,MATCH("Growth MRR",'3. Revenue Model'!$B:$B,0),MATCH(O$3,'3. Revenue Model'!$D$2:$AA$2,0))+O11)*(INDEX('1. Assumptions'!$G:$G,MATCH("Self-Serve Billing Collection Lag",'1. Assumptions'!$B:$B,0))/30))</f>
        <v>78226.885603429779</v>
      </c>
      <c r="Q69" s="248">
        <f>(INDEX('3. Revenue Model'!$D:$AA,MATCH("Starter MRR",'3. Revenue Model'!$B:$B,0),MATCH(Q$3,'3. Revenue Model'!$D$2:$AA$2,0))+INDEX('3. Revenue Model'!$D:$AA,MATCH("Growth MRR",'3. Revenue Model'!$B:$B,0),MATCH(Q$3,'3. Revenue Model'!$D$2:$AA$2,0))+Q11)*(1-INDEX('1. Assumptions'!$G:$G,MATCH("Self-Serve Billing Collection Lag",'1. Assumptions'!$B:$B,0))/30)+IF(Q$6=1,0,(INDEX('3. Revenue Model'!$D:$AA,MATCH("Starter MRR",'3. Revenue Model'!$B:$B,0),MATCH(P$3,'3. Revenue Model'!$D$2:$AA$2,0))+INDEX('3. Revenue Model'!$D:$AA,MATCH("Growth MRR",'3. Revenue Model'!$B:$B,0),MATCH(P$3,'3. Revenue Model'!$D$2:$AA$2,0))+P11)*(INDEX('1. Assumptions'!$G:$G,MATCH("Self-Serve Billing Collection Lag",'1. Assumptions'!$B:$B,0))/30))</f>
        <v>83204.046077776817</v>
      </c>
      <c r="R69" s="248">
        <f>(INDEX('3. Revenue Model'!$D:$AA,MATCH("Starter MRR",'3. Revenue Model'!$B:$B,0),MATCH(R$3,'3. Revenue Model'!$D$2:$AA$2,0))+INDEX('3. Revenue Model'!$D:$AA,MATCH("Growth MRR",'3. Revenue Model'!$B:$B,0),MATCH(R$3,'3. Revenue Model'!$D$2:$AA$2,0))+R11)*(1-INDEX('1. Assumptions'!$G:$G,MATCH("Self-Serve Billing Collection Lag",'1. Assumptions'!$B:$B,0))/30)+IF(R$6=1,0,(INDEX('3. Revenue Model'!$D:$AA,MATCH("Starter MRR",'3. Revenue Model'!$B:$B,0),MATCH(Q$3,'3. Revenue Model'!$D$2:$AA$2,0))+INDEX('3. Revenue Model'!$D:$AA,MATCH("Growth MRR",'3. Revenue Model'!$B:$B,0),MATCH(Q$3,'3. Revenue Model'!$D$2:$AA$2,0))+Q11)*(INDEX('1. Assumptions'!$G:$G,MATCH("Self-Serve Billing Collection Lag",'1. Assumptions'!$B:$B,0))/30))</f>
        <v>88675.127116889897</v>
      </c>
      <c r="S69" s="248">
        <f>(INDEX('3. Revenue Model'!$D:$AA,MATCH("Starter MRR",'3. Revenue Model'!$B:$B,0),MATCH(S$3,'3. Revenue Model'!$D$2:$AA$2,0))+INDEX('3. Revenue Model'!$D:$AA,MATCH("Growth MRR",'3. Revenue Model'!$B:$B,0),MATCH(S$3,'3. Revenue Model'!$D$2:$AA$2,0))+S11)*(1-INDEX('1. Assumptions'!$G:$G,MATCH("Self-Serve Billing Collection Lag",'1. Assumptions'!$B:$B,0))/30)+IF(S$6=1,0,(INDEX('3. Revenue Model'!$D:$AA,MATCH("Starter MRR",'3. Revenue Model'!$B:$B,0),MATCH(R$3,'3. Revenue Model'!$D$2:$AA$2,0))+INDEX('3. Revenue Model'!$D:$AA,MATCH("Growth MRR",'3. Revenue Model'!$B:$B,0),MATCH(R$3,'3. Revenue Model'!$D$2:$AA$2,0))+R11)*(INDEX('1. Assumptions'!$G:$G,MATCH("Self-Serve Billing Collection Lag",'1. Assumptions'!$B:$B,0))/30))</f>
        <v>94689.50763547307</v>
      </c>
      <c r="T69" s="248">
        <f>(INDEX('3. Revenue Model'!$D:$AA,MATCH("Starter MRR",'3. Revenue Model'!$B:$B,0),MATCH(T$3,'3. Revenue Model'!$D$2:$AA$2,0))+INDEX('3. Revenue Model'!$D:$AA,MATCH("Growth MRR",'3. Revenue Model'!$B:$B,0),MATCH(T$3,'3. Revenue Model'!$D$2:$AA$2,0))+T11)*(1-INDEX('1. Assumptions'!$G:$G,MATCH("Self-Serve Billing Collection Lag",'1. Assumptions'!$B:$B,0))/30)+IF(T$6=1,0,(INDEX('3. Revenue Model'!$D:$AA,MATCH("Starter MRR",'3. Revenue Model'!$B:$B,0),MATCH(S$3,'3. Revenue Model'!$D$2:$AA$2,0))+INDEX('3. Revenue Model'!$D:$AA,MATCH("Growth MRR",'3. Revenue Model'!$B:$B,0),MATCH(S$3,'3. Revenue Model'!$D$2:$AA$2,0))+S11)*(INDEX('1. Assumptions'!$G:$G,MATCH("Self-Serve Billing Collection Lag",'1. Assumptions'!$B:$B,0))/30))</f>
        <v>101300.97547250171</v>
      </c>
      <c r="U69" s="248">
        <f>(INDEX('3. Revenue Model'!$D:$AA,MATCH("Starter MRR",'3. Revenue Model'!$B:$B,0),MATCH(U$3,'3. Revenue Model'!$D$2:$AA$2,0))+INDEX('3. Revenue Model'!$D:$AA,MATCH("Growth MRR",'3. Revenue Model'!$B:$B,0),MATCH(U$3,'3. Revenue Model'!$D$2:$AA$2,0))+U11)*(1-INDEX('1. Assumptions'!$G:$G,MATCH("Self-Serve Billing Collection Lag",'1. Assumptions'!$B:$B,0))/30)+IF(U$6=1,0,(INDEX('3. Revenue Model'!$D:$AA,MATCH("Starter MRR",'3. Revenue Model'!$B:$B,0),MATCH(T$3,'3. Revenue Model'!$D$2:$AA$2,0))+INDEX('3. Revenue Model'!$D:$AA,MATCH("Growth MRR",'3. Revenue Model'!$B:$B,0),MATCH(T$3,'3. Revenue Model'!$D$2:$AA$2,0))+T11)*(INDEX('1. Assumptions'!$G:$G,MATCH("Self-Serve Billing Collection Lag",'1. Assumptions'!$B:$B,0))/30))</f>
        <v>108568.24176175073</v>
      </c>
      <c r="V69" s="248">
        <f>(INDEX('3. Revenue Model'!$D:$AA,MATCH("Starter MRR",'3. Revenue Model'!$B:$B,0),MATCH(V$3,'3. Revenue Model'!$D$2:$AA$2,0))+INDEX('3. Revenue Model'!$D:$AA,MATCH("Growth MRR",'3. Revenue Model'!$B:$B,0),MATCH(V$3,'3. Revenue Model'!$D$2:$AA$2,0))+V11)*(1-INDEX('1. Assumptions'!$G:$G,MATCH("Self-Serve Billing Collection Lag",'1. Assumptions'!$B:$B,0))/30)+IF(V$6=1,0,(INDEX('3. Revenue Model'!$D:$AA,MATCH("Starter MRR",'3. Revenue Model'!$B:$B,0),MATCH(U$3,'3. Revenue Model'!$D$2:$AA$2,0))+INDEX('3. Revenue Model'!$D:$AA,MATCH("Growth MRR",'3. Revenue Model'!$B:$B,0),MATCH(U$3,'3. Revenue Model'!$D$2:$AA$2,0))+U11)*(INDEX('1. Assumptions'!$G:$G,MATCH("Self-Serve Billing Collection Lag",'1. Assumptions'!$B:$B,0))/30))</f>
        <v>116555.49201711727</v>
      </c>
      <c r="W69" s="248">
        <f>(INDEX('3. Revenue Model'!$D:$AA,MATCH("Starter MRR",'3. Revenue Model'!$B:$B,0),MATCH(W$3,'3. Revenue Model'!$D$2:$AA$2,0))+INDEX('3. Revenue Model'!$D:$AA,MATCH("Growth MRR",'3. Revenue Model'!$B:$B,0),MATCH(W$3,'3. Revenue Model'!$D$2:$AA$2,0))+W11)*(1-INDEX('1. Assumptions'!$G:$G,MATCH("Self-Serve Billing Collection Lag",'1. Assumptions'!$B:$B,0))/30)+IF(W$6=1,0,(INDEX('3. Revenue Model'!$D:$AA,MATCH("Starter MRR",'3. Revenue Model'!$B:$B,0),MATCH(V$3,'3. Revenue Model'!$D$2:$AA$2,0))+INDEX('3. Revenue Model'!$D:$AA,MATCH("Growth MRR",'3. Revenue Model'!$B:$B,0),MATCH(V$3,'3. Revenue Model'!$D$2:$AA$2,0))+V11)*(INDEX('1. Assumptions'!$G:$G,MATCH("Self-Serve Billing Collection Lag",'1. Assumptions'!$B:$B,0))/30))</f>
        <v>125332.98076226248</v>
      </c>
      <c r="X69" s="248">
        <f>(INDEX('3. Revenue Model'!$D:$AA,MATCH("Starter MRR",'3. Revenue Model'!$B:$B,0),MATCH(X$3,'3. Revenue Model'!$D$2:$AA$2,0))+INDEX('3. Revenue Model'!$D:$AA,MATCH("Growth MRR",'3. Revenue Model'!$B:$B,0),MATCH(X$3,'3. Revenue Model'!$D$2:$AA$2,0))+X11)*(1-INDEX('1. Assumptions'!$G:$G,MATCH("Self-Serve Billing Collection Lag",'1. Assumptions'!$B:$B,0))/30)+IF(X$6=1,0,(INDEX('3. Revenue Model'!$D:$AA,MATCH("Starter MRR",'3. Revenue Model'!$B:$B,0),MATCH(W$3,'3. Revenue Model'!$D$2:$AA$2,0))+INDEX('3. Revenue Model'!$D:$AA,MATCH("Growth MRR",'3. Revenue Model'!$B:$B,0),MATCH(W$3,'3. Revenue Model'!$D$2:$AA$2,0))+W11)*(INDEX('1. Assumptions'!$G:$G,MATCH("Self-Serve Billing Collection Lag",'1. Assumptions'!$B:$B,0))/30))</f>
        <v>134977.67657865072</v>
      </c>
      <c r="Y69" s="248">
        <f>(INDEX('3. Revenue Model'!$D:$AA,MATCH("Starter MRR",'3. Revenue Model'!$B:$B,0),MATCH(Y$3,'3. Revenue Model'!$D$2:$AA$2,0))+INDEX('3. Revenue Model'!$D:$AA,MATCH("Growth MRR",'3. Revenue Model'!$B:$B,0),MATCH(Y$3,'3. Revenue Model'!$D$2:$AA$2,0))+Y11)*(1-INDEX('1. Assumptions'!$G:$G,MATCH("Self-Serve Billing Collection Lag",'1. Assumptions'!$B:$B,0))/30)+IF(Y$6=1,0,(INDEX('3. Revenue Model'!$D:$AA,MATCH("Starter MRR",'3. Revenue Model'!$B:$B,0),MATCH(X$3,'3. Revenue Model'!$D$2:$AA$2,0))+INDEX('3. Revenue Model'!$D:$AA,MATCH("Growth MRR",'3. Revenue Model'!$B:$B,0),MATCH(X$3,'3. Revenue Model'!$D$2:$AA$2,0))+X11)*(INDEX('1. Assumptions'!$G:$G,MATCH("Self-Serve Billing Collection Lag",'1. Assumptions'!$B:$B,0))/30))</f>
        <v>145573.96463283736</v>
      </c>
      <c r="Z69" s="248">
        <f>(INDEX('3. Revenue Model'!$D:$AA,MATCH("Starter MRR",'3. Revenue Model'!$B:$B,0),MATCH(Z$3,'3. Revenue Model'!$D$2:$AA$2,0))+INDEX('3. Revenue Model'!$D:$AA,MATCH("Growth MRR",'3. Revenue Model'!$B:$B,0),MATCH(Z$3,'3. Revenue Model'!$D$2:$AA$2,0))+Z11)*(1-INDEX('1. Assumptions'!$G:$G,MATCH("Self-Serve Billing Collection Lag",'1. Assumptions'!$B:$B,0))/30)+IF(Z$6=1,0,(INDEX('3. Revenue Model'!$D:$AA,MATCH("Starter MRR",'3. Revenue Model'!$B:$B,0),MATCH(Y$3,'3. Revenue Model'!$D$2:$AA$2,0))+INDEX('3. Revenue Model'!$D:$AA,MATCH("Growth MRR",'3. Revenue Model'!$B:$B,0),MATCH(Y$3,'3. Revenue Model'!$D$2:$AA$2,0))+Y11)*(INDEX('1. Assumptions'!$G:$G,MATCH("Self-Serve Billing Collection Lag",'1. Assumptions'!$B:$B,0))/30))</f>
        <v>157214.41405844025</v>
      </c>
      <c r="AA69" s="248">
        <f>(INDEX('3. Revenue Model'!$D:$AA,MATCH("Starter MRR",'3. Revenue Model'!$B:$B,0),MATCH(AA$3,'3. Revenue Model'!$D$2:$AA$2,0))+INDEX('3. Revenue Model'!$D:$AA,MATCH("Growth MRR",'3. Revenue Model'!$B:$B,0),MATCH(AA$3,'3. Revenue Model'!$D$2:$AA$2,0))+AA11)*(1-INDEX('1. Assumptions'!$G:$G,MATCH("Self-Serve Billing Collection Lag",'1. Assumptions'!$B:$B,0))/30)+IF(AA$6=1,0,(INDEX('3. Revenue Model'!$D:$AA,MATCH("Starter MRR",'3. Revenue Model'!$B:$B,0),MATCH(Z$3,'3. Revenue Model'!$D$2:$AA$2,0))+INDEX('3. Revenue Model'!$D:$AA,MATCH("Growth MRR",'3. Revenue Model'!$B:$B,0),MATCH(Z$3,'3. Revenue Model'!$D$2:$AA$2,0))+Z11)*(INDEX('1. Assumptions'!$G:$G,MATCH("Self-Serve Billing Collection Lag",'1. Assumptions'!$B:$B,0))/30))</f>
        <v>170000.61800084045</v>
      </c>
    </row>
    <row r="70" spans="1:27" s="207" customFormat="1" ht="13.2">
      <c r="A70" s="244" t="s">
        <v>1041</v>
      </c>
      <c r="B70" s="244" t="s">
        <v>1043</v>
      </c>
      <c r="C70" s="244" t="s">
        <v>64</v>
      </c>
      <c r="D70" s="248">
        <f>INDEX('3. Revenue Model'!$D:$AA,MATCH("Enterprise MRR",'3. Revenue Model'!$B:$B,0),MATCH(D$3,'3. Revenue Model'!$D$2:$AA$2,0))*(1-INDEX('1. Assumptions'!$G:$G,MATCH("Enterprise Collection Lag",'1. Assumptions'!$B:$B,0))/30)+IF(D$6=1,0,INDEX('3. Revenue Model'!$D:$AA,MATCH("Enterprise MRR",'3. Revenue Model'!$B:$B,0),MATCH(C$3,'3. Revenue Model'!$D$2:$AA$2,0))*(INDEX('1. Assumptions'!$G:$G,MATCH("Enterprise Collection Lag",'1. Assumptions'!$B:$B,0))/30))</f>
        <v>0</v>
      </c>
      <c r="E70" s="248">
        <f>INDEX('3. Revenue Model'!$D:$AA,MATCH("Enterprise MRR",'3. Revenue Model'!$B:$B,0),MATCH(E$3,'3. Revenue Model'!$D$2:$AA$2,0))*(1-INDEX('1. Assumptions'!$G:$G,MATCH("Enterprise Collection Lag",'1. Assumptions'!$B:$B,0))/30)+IF(E$6=1,0,INDEX('3. Revenue Model'!$D:$AA,MATCH("Enterprise MRR",'3. Revenue Model'!$B:$B,0),MATCH(D$3,'3. Revenue Model'!$D$2:$AA$2,0))*(INDEX('1. Assumptions'!$G:$G,MATCH("Enterprise Collection Lag",'1. Assumptions'!$B:$B,0))/30))</f>
        <v>269.55</v>
      </c>
      <c r="F70" s="248">
        <f>INDEX('3. Revenue Model'!$D:$AA,MATCH("Enterprise MRR",'3. Revenue Model'!$B:$B,0),MATCH(F$3,'3. Revenue Model'!$D$2:$AA$2,0))*(1-INDEX('1. Assumptions'!$G:$G,MATCH("Enterprise Collection Lag",'1. Assumptions'!$B:$B,0))/30)+IF(F$6=1,0,INDEX('3. Revenue Model'!$D:$AA,MATCH("Enterprise MRR",'3. Revenue Model'!$B:$B,0),MATCH(E$3,'3. Revenue Model'!$D$2:$AA$2,0))*(INDEX('1. Assumptions'!$G:$G,MATCH("Enterprise Collection Lag",'1. Assumptions'!$B:$B,0))/30))</f>
        <v>549.77515268295076</v>
      </c>
      <c r="G70" s="248">
        <f>INDEX('3. Revenue Model'!$D:$AA,MATCH("Enterprise MRR",'3. Revenue Model'!$B:$B,0),MATCH(G$3,'3. Revenue Model'!$D$2:$AA$2,0))*(1-INDEX('1. Assumptions'!$G:$G,MATCH("Enterprise Collection Lag",'1. Assumptions'!$B:$B,0))/30)+IF(G$6=1,0,INDEX('3. Revenue Model'!$D:$AA,MATCH("Enterprise MRR",'3. Revenue Model'!$B:$B,0),MATCH(F$3,'3. Revenue Model'!$D$2:$AA$2,0))*(INDEX('1. Assumptions'!$G:$G,MATCH("Enterprise Collection Lag",'1. Assumptions'!$B:$B,0))/30))</f>
        <v>834.83742552311753</v>
      </c>
      <c r="H70" s="248">
        <f>INDEX('3. Revenue Model'!$D:$AA,MATCH("Enterprise MRR",'3. Revenue Model'!$B:$B,0),MATCH(H$3,'3. Revenue Model'!$D$2:$AA$2,0))*(1-INDEX('1. Assumptions'!$G:$G,MATCH("Enterprise Collection Lag",'1. Assumptions'!$B:$B,0))/30)+IF(H$6=1,0,INDEX('3. Revenue Model'!$D:$AA,MATCH("Enterprise MRR",'3. Revenue Model'!$B:$B,0),MATCH(G$3,'3. Revenue Model'!$D$2:$AA$2,0))*(INDEX('1. Assumptions'!$G:$G,MATCH("Enterprise Collection Lag",'1. Assumptions'!$B:$B,0))/30))</f>
        <v>1125.4791227497369</v>
      </c>
      <c r="I70" s="248">
        <f>INDEX('3. Revenue Model'!$D:$AA,MATCH("Enterprise MRR",'3. Revenue Model'!$B:$B,0),MATCH(I$3,'3. Revenue Model'!$D$2:$AA$2,0))*(1-INDEX('1. Assumptions'!$G:$G,MATCH("Enterprise Collection Lag",'1. Assumptions'!$B:$B,0))/30)+IF(I$6=1,0,INDEX('3. Revenue Model'!$D:$AA,MATCH("Enterprise MRR",'3. Revenue Model'!$B:$B,0),MATCH(H$3,'3. Revenue Model'!$D$2:$AA$2,0))*(INDEX('1. Assumptions'!$G:$G,MATCH("Enterprise Collection Lag",'1. Assumptions'!$B:$B,0))/30))</f>
        <v>1422.4282046097712</v>
      </c>
      <c r="J70" s="248">
        <f>INDEX('3. Revenue Model'!$D:$AA,MATCH("Enterprise MRR",'3. Revenue Model'!$B:$B,0),MATCH(J$3,'3. Revenue Model'!$D$2:$AA$2,0))*(1-INDEX('1. Assumptions'!$G:$G,MATCH("Enterprise Collection Lag",'1. Assumptions'!$B:$B,0))/30)+IF(J$6=1,0,INDEX('3. Revenue Model'!$D:$AA,MATCH("Enterprise MRR",'3. Revenue Model'!$B:$B,0),MATCH(I$3,'3. Revenue Model'!$D$2:$AA$2,0))*(INDEX('1. Assumptions'!$G:$G,MATCH("Enterprise Collection Lag",'1. Assumptions'!$B:$B,0))/30))</f>
        <v>2325.42302554549</v>
      </c>
      <c r="K70" s="248">
        <f>INDEX('3. Revenue Model'!$D:$AA,MATCH("Enterprise MRR",'3. Revenue Model'!$B:$B,0),MATCH(K$3,'3. Revenue Model'!$D$2:$AA$2,0))*(1-INDEX('1. Assumptions'!$G:$G,MATCH("Enterprise Collection Lag",'1. Assumptions'!$B:$B,0))/30)+IF(K$6=1,0,INDEX('3. Revenue Model'!$D:$AA,MATCH("Enterprise MRR",'3. Revenue Model'!$B:$B,0),MATCH(J$3,'3. Revenue Model'!$D$2:$AA$2,0))*(INDEX('1. Assumptions'!$G:$G,MATCH("Enterprise Collection Lag",'1. Assumptions'!$B:$B,0))/30))</f>
        <v>3270.1049304710114</v>
      </c>
      <c r="L70" s="248">
        <f>INDEX('3. Revenue Model'!$D:$AA,MATCH("Enterprise MRR",'3. Revenue Model'!$B:$B,0),MATCH(L$3,'3. Revenue Model'!$D$2:$AA$2,0))*(1-INDEX('1. Assumptions'!$G:$G,MATCH("Enterprise Collection Lag",'1. Assumptions'!$B:$B,0))/30)+IF(L$6=1,0,INDEX('3. Revenue Model'!$D:$AA,MATCH("Enterprise MRR",'3. Revenue Model'!$B:$B,0),MATCH(K$3,'3. Revenue Model'!$D$2:$AA$2,0))*(INDEX('1. Assumptions'!$G:$G,MATCH("Enterprise Collection Lag",'1. Assumptions'!$B:$B,0))/30))</f>
        <v>4259.7701519270695</v>
      </c>
      <c r="M70" s="248">
        <f>INDEX('3. Revenue Model'!$D:$AA,MATCH("Enterprise MRR",'3. Revenue Model'!$B:$B,0),MATCH(M$3,'3. Revenue Model'!$D$2:$AA$2,0))*(1-INDEX('1. Assumptions'!$G:$G,MATCH("Enterprise Collection Lag",'1. Assumptions'!$B:$B,0))/30)+IF(M$6=1,0,INDEX('3. Revenue Model'!$D:$AA,MATCH("Enterprise MRR",'3. Revenue Model'!$B:$B,0),MATCH(L$3,'3. Revenue Model'!$D$2:$AA$2,0))*(INDEX('1. Assumptions'!$G:$G,MATCH("Enterprise Collection Lag",'1. Assumptions'!$B:$B,0))/30))</f>
        <v>5297.9493467492202</v>
      </c>
      <c r="N70" s="248">
        <f>INDEX('3. Revenue Model'!$D:$AA,MATCH("Enterprise MRR",'3. Revenue Model'!$B:$B,0),MATCH(N$3,'3. Revenue Model'!$D$2:$AA$2,0))*(1-INDEX('1. Assumptions'!$G:$G,MATCH("Enterprise Collection Lag",'1. Assumptions'!$B:$B,0))/30)+IF(N$6=1,0,INDEX('3. Revenue Model'!$D:$AA,MATCH("Enterprise MRR",'3. Revenue Model'!$B:$B,0),MATCH(M$3,'3. Revenue Model'!$D$2:$AA$2,0))*(INDEX('1. Assumptions'!$G:$G,MATCH("Enterprise Collection Lag",'1. Assumptions'!$B:$B,0))/30))</f>
        <v>6388.4325564513556</v>
      </c>
      <c r="O70" s="248">
        <f>INDEX('3. Revenue Model'!$D:$AA,MATCH("Enterprise MRR",'3. Revenue Model'!$B:$B,0),MATCH(O$3,'3. Revenue Model'!$D$2:$AA$2,0))*(1-INDEX('1. Assumptions'!$G:$G,MATCH("Enterprise Collection Lag",'1. Assumptions'!$B:$B,0))/30)+IF(O$6=1,0,INDEX('3. Revenue Model'!$D:$AA,MATCH("Enterprise MRR",'3. Revenue Model'!$B:$B,0),MATCH(N$3,'3. Revenue Model'!$D$2:$AA$2,0))*(INDEX('1. Assumptions'!$G:$G,MATCH("Enterprise Collection Lag",'1. Assumptions'!$B:$B,0))/30))</f>
        <v>7535.2938657712257</v>
      </c>
      <c r="P70" s="248">
        <f>INDEX('3. Revenue Model'!$D:$AA,MATCH("Enterprise MRR",'3. Revenue Model'!$B:$B,0),MATCH(P$3,'3. Revenue Model'!$D$2:$AA$2,0))*(1-INDEX('1. Assumptions'!$G:$G,MATCH("Enterprise Collection Lag",'1. Assumptions'!$B:$B,0))/30)+IF(P$6=1,0,INDEX('3. Revenue Model'!$D:$AA,MATCH("Enterprise MRR",'3. Revenue Model'!$B:$B,0),MATCH(O$3,'3. Revenue Model'!$D$2:$AA$2,0))*(INDEX('1. Assumptions'!$G:$G,MATCH("Enterprise Collection Lag",'1. Assumptions'!$B:$B,0))/30))</f>
        <v>8742.9162702103913</v>
      </c>
      <c r="Q70" s="248">
        <f>INDEX('3. Revenue Model'!$D:$AA,MATCH("Enterprise MRR",'3. Revenue Model'!$B:$B,0),MATCH(Q$3,'3. Revenue Model'!$D$2:$AA$2,0))*(1-INDEX('1. Assumptions'!$G:$G,MATCH("Enterprise Collection Lag",'1. Assumptions'!$B:$B,0))/30)+IF(Q$6=1,0,INDEX('3. Revenue Model'!$D:$AA,MATCH("Enterprise MRR",'3. Revenue Model'!$B:$B,0),MATCH(P$3,'3. Revenue Model'!$D$2:$AA$2,0))*(INDEX('1. Assumptions'!$G:$G,MATCH("Enterprise Collection Lag",'1. Assumptions'!$B:$B,0))/30))</f>
        <v>10016.017183461912</v>
      </c>
      <c r="R70" s="248">
        <f>INDEX('3. Revenue Model'!$D:$AA,MATCH("Enterprise MRR",'3. Revenue Model'!$B:$B,0),MATCH(R$3,'3. Revenue Model'!$D$2:$AA$2,0))*(1-INDEX('1. Assumptions'!$G:$G,MATCH("Enterprise Collection Lag",'1. Assumptions'!$B:$B,0))/30)+IF(R$6=1,0,INDEX('3. Revenue Model'!$D:$AA,MATCH("Enterprise MRR",'3. Revenue Model'!$B:$B,0),MATCH(Q$3,'3. Revenue Model'!$D$2:$AA$2,0))*(INDEX('1. Assumptions'!$G:$G,MATCH("Enterprise Collection Lag",'1. Assumptions'!$B:$B,0))/30))</f>
        <v>11359.674956103292</v>
      </c>
      <c r="S70" s="248">
        <f>INDEX('3. Revenue Model'!$D:$AA,MATCH("Enterprise MRR",'3. Revenue Model'!$B:$B,0),MATCH(S$3,'3. Revenue Model'!$D$2:$AA$2,0))*(1-INDEX('1. Assumptions'!$G:$G,MATCH("Enterprise Collection Lag",'1. Assumptions'!$B:$B,0))/30)+IF(S$6=1,0,INDEX('3. Revenue Model'!$D:$AA,MATCH("Enterprise MRR",'3. Revenue Model'!$B:$B,0),MATCH(R$3,'3. Revenue Model'!$D$2:$AA$2,0))*(INDEX('1. Assumptions'!$G:$G,MATCH("Enterprise Collection Lag",'1. Assumptions'!$B:$B,0))/30))</f>
        <v>12779.356733575243</v>
      </c>
      <c r="T70" s="248">
        <f>INDEX('3. Revenue Model'!$D:$AA,MATCH("Enterprise MRR",'3. Revenue Model'!$B:$B,0),MATCH(T$3,'3. Revenue Model'!$D$2:$AA$2,0))*(1-INDEX('1. Assumptions'!$G:$G,MATCH("Enterprise Collection Lag",'1. Assumptions'!$B:$B,0))/30)+IF(T$6=1,0,INDEX('3. Revenue Model'!$D:$AA,MATCH("Enterprise MRR",'3. Revenue Model'!$B:$B,0),MATCH(S$3,'3. Revenue Model'!$D$2:$AA$2,0))*(INDEX('1. Assumptions'!$G:$G,MATCH("Enterprise Collection Lag",'1. Assumptions'!$B:$B,0))/30))</f>
        <v>14280.947950962736</v>
      </c>
      <c r="U70" s="248">
        <f>INDEX('3. Revenue Model'!$D:$AA,MATCH("Enterprise MRR",'3. Revenue Model'!$B:$B,0),MATCH(U$3,'3. Revenue Model'!$D$2:$AA$2,0))*(1-INDEX('1. Assumptions'!$G:$G,MATCH("Enterprise Collection Lag",'1. Assumptions'!$B:$B,0))/30)+IF(U$6=1,0,INDEX('3. Revenue Model'!$D:$AA,MATCH("Enterprise MRR",'3. Revenue Model'!$B:$B,0),MATCH(T$3,'3. Revenue Model'!$D$2:$AA$2,0))*(INDEX('1. Assumptions'!$G:$G,MATCH("Enterprise Collection Lag",'1. Assumptions'!$B:$B,0))/30))</f>
        <v>15870.783741887566</v>
      </c>
      <c r="V70" s="248">
        <f>INDEX('3. Revenue Model'!$D:$AA,MATCH("Enterprise MRR",'3. Revenue Model'!$B:$B,0),MATCH(V$3,'3. Revenue Model'!$D$2:$AA$2,0))*(1-INDEX('1. Assumptions'!$G:$G,MATCH("Enterprise Collection Lag",'1. Assumptions'!$B:$B,0))/30)+IF(V$6=1,0,INDEX('3. Revenue Model'!$D:$AA,MATCH("Enterprise MRR",'3. Revenue Model'!$B:$B,0),MATCH(U$3,'3. Revenue Model'!$D$2:$AA$2,0))*(INDEX('1. Assumptions'!$G:$G,MATCH("Enterprise Collection Lag",'1. Assumptions'!$B:$B,0))/30))</f>
        <v>17555.682526941793</v>
      </c>
      <c r="W70" s="248">
        <f>INDEX('3. Revenue Model'!$D:$AA,MATCH("Enterprise MRR",'3. Revenue Model'!$B:$B,0),MATCH(W$3,'3. Revenue Model'!$D$2:$AA$2,0))*(1-INDEX('1. Assumptions'!$G:$G,MATCH("Enterprise Collection Lag",'1. Assumptions'!$B:$B,0))/30)+IF(W$6=1,0,INDEX('3. Revenue Model'!$D:$AA,MATCH("Enterprise MRR",'3. Revenue Model'!$B:$B,0),MATCH(V$3,'3. Revenue Model'!$D$2:$AA$2,0))*(INDEX('1. Assumptions'!$G:$G,MATCH("Enterprise Collection Lag",'1. Assumptions'!$B:$B,0))/30))</f>
        <v>19342.982042029471</v>
      </c>
      <c r="X70" s="248">
        <f>INDEX('3. Revenue Model'!$D:$AA,MATCH("Enterprise MRR",'3. Revenue Model'!$B:$B,0),MATCH(X$3,'3. Revenue Model'!$D$2:$AA$2,0))*(1-INDEX('1. Assumptions'!$G:$G,MATCH("Enterprise Collection Lag",'1. Assumptions'!$B:$B,0))/30)+IF(X$6=1,0,INDEX('3. Revenue Model'!$D:$AA,MATCH("Enterprise MRR",'3. Revenue Model'!$B:$B,0),MATCH(W$3,'3. Revenue Model'!$D$2:$AA$2,0))*(INDEX('1. Assumptions'!$G:$G,MATCH("Enterprise Collection Lag",'1. Assumptions'!$B:$B,0))/30))</f>
        <v>21240.578067591312</v>
      </c>
      <c r="Y70" s="248">
        <f>INDEX('3. Revenue Model'!$D:$AA,MATCH("Enterprise MRR",'3. Revenue Model'!$B:$B,0),MATCH(Y$3,'3. Revenue Model'!$D$2:$AA$2,0))*(1-INDEX('1. Assumptions'!$G:$G,MATCH("Enterprise Collection Lag",'1. Assumptions'!$B:$B,0))/30)+IF(Y$6=1,0,INDEX('3. Revenue Model'!$D:$AA,MATCH("Enterprise MRR",'3. Revenue Model'!$B:$B,0),MATCH(X$3,'3. Revenue Model'!$D$2:$AA$2,0))*(INDEX('1. Assumptions'!$G:$G,MATCH("Enterprise Collection Lag",'1. Assumptions'!$B:$B,0))/30))</f>
        <v>23256.966125099101</v>
      </c>
      <c r="Z70" s="248">
        <f>INDEX('3. Revenue Model'!$D:$AA,MATCH("Enterprise MRR",'3. Revenue Model'!$B:$B,0),MATCH(Z$3,'3. Revenue Model'!$D$2:$AA$2,0))*(1-INDEX('1. Assumptions'!$G:$G,MATCH("Enterprise Collection Lag",'1. Assumptions'!$B:$B,0))/30)+IF(Z$6=1,0,INDEX('3. Revenue Model'!$D:$AA,MATCH("Enterprise MRR",'3. Revenue Model'!$B:$B,0),MATCH(Y$3,'3. Revenue Model'!$D$2:$AA$2,0))*(INDEX('1. Assumptions'!$G:$G,MATCH("Enterprise Collection Lag",'1. Assumptions'!$B:$B,0))/30))</f>
        <v>25401.286416783842</v>
      </c>
      <c r="AA70" s="248">
        <f>INDEX('3. Revenue Model'!$D:$AA,MATCH("Enterprise MRR",'3. Revenue Model'!$B:$B,0),MATCH(AA$3,'3. Revenue Model'!$D$2:$AA$2,0))*(1-INDEX('1. Assumptions'!$G:$G,MATCH("Enterprise Collection Lag",'1. Assumptions'!$B:$B,0))/30)+IF(AA$6=1,0,INDEX('3. Revenue Model'!$D:$AA,MATCH("Enterprise MRR",'3. Revenue Model'!$B:$B,0),MATCH(Z$3,'3. Revenue Model'!$D$2:$AA$2,0))*(INDEX('1. Assumptions'!$G:$G,MATCH("Enterprise Collection Lag",'1. Assumptions'!$B:$B,0))/30))</f>
        <v>27683.372297841892</v>
      </c>
    </row>
    <row r="71" spans="1:27" s="207" customFormat="1" ht="13.2">
      <c r="A71" s="244" t="s">
        <v>1041</v>
      </c>
      <c r="B71" s="244" t="s">
        <v>1044</v>
      </c>
      <c r="C71" s="244" t="s">
        <v>64</v>
      </c>
      <c r="D71" s="248">
        <f>D12*(1-INDEX('1. Assumptions'!$G:$G,MATCH("Enterprise Collection Lag",'1. Assumptions'!$B:$B,0))/30)+IF(D$6=1,0,C12*(INDEX('1. Assumptions'!$G:$G,MATCH("Enterprise Collection Lag",'1. Assumptions'!$B:$B,0))/30))</f>
        <v>0</v>
      </c>
      <c r="E71" s="248">
        <f>E12*(1-INDEX('1. Assumptions'!$G:$G,MATCH("Enterprise Collection Lag",'1. Assumptions'!$B:$B,0))/30)+IF(E$6=1,0,D12*(INDEX('1. Assumptions'!$G:$G,MATCH("Enterprise Collection Lag",'1. Assumptions'!$B:$B,0))/30))</f>
        <v>0</v>
      </c>
      <c r="F71" s="248">
        <f>F12*(1-INDEX('1. Assumptions'!$G:$G,MATCH("Enterprise Collection Lag",'1. Assumptions'!$B:$B,0))/30)+IF(F$6=1,0,E12*(INDEX('1. Assumptions'!$G:$G,MATCH("Enterprise Collection Lag",'1. Assumptions'!$B:$B,0))/30))</f>
        <v>0</v>
      </c>
      <c r="G71" s="248">
        <f>G12*(1-INDEX('1. Assumptions'!$G:$G,MATCH("Enterprise Collection Lag",'1. Assumptions'!$B:$B,0))/30)+IF(G$6=1,0,F12*(INDEX('1. Assumptions'!$G:$G,MATCH("Enterprise Collection Lag",'1. Assumptions'!$B:$B,0))/30))</f>
        <v>0</v>
      </c>
      <c r="H71" s="248">
        <f>H12*(1-INDEX('1. Assumptions'!$G:$G,MATCH("Enterprise Collection Lag",'1. Assumptions'!$B:$B,0))/30)+IF(H$6=1,0,G12*(INDEX('1. Assumptions'!$G:$G,MATCH("Enterprise Collection Lag",'1. Assumptions'!$B:$B,0))/30))</f>
        <v>0</v>
      </c>
      <c r="I71" s="248">
        <f>I12*(1-INDEX('1. Assumptions'!$G:$G,MATCH("Enterprise Collection Lag",'1. Assumptions'!$B:$B,0))/30)+IF(I$6=1,0,H12*(INDEX('1. Assumptions'!$G:$G,MATCH("Enterprise Collection Lag",'1. Assumptions'!$B:$B,0))/30))</f>
        <v>0</v>
      </c>
      <c r="J71" s="248">
        <f>J12*(1-INDEX('1. Assumptions'!$G:$G,MATCH("Enterprise Collection Lag",'1. Assumptions'!$B:$B,0))/30)+IF(J$6=1,0,I12*(INDEX('1. Assumptions'!$G:$G,MATCH("Enterprise Collection Lag",'1. Assumptions'!$B:$B,0))/30))</f>
        <v>1000</v>
      </c>
      <c r="K71" s="248">
        <f>K12*(1-INDEX('1. Assumptions'!$G:$G,MATCH("Enterprise Collection Lag",'1. Assumptions'!$B:$B,0))/30)+IF(K$6=1,0,J12*(INDEX('1. Assumptions'!$G:$G,MATCH("Enterprise Collection Lag",'1. Assumptions'!$B:$B,0))/30))</f>
        <v>2070</v>
      </c>
      <c r="L71" s="248">
        <f>L12*(1-INDEX('1. Assumptions'!$G:$G,MATCH("Enterprise Collection Lag",'1. Assumptions'!$B:$B,0))/30)+IF(L$6=1,0,K12*(INDEX('1. Assumptions'!$G:$G,MATCH("Enterprise Collection Lag",'1. Assumptions'!$B:$B,0))/30))</f>
        <v>3214.9</v>
      </c>
      <c r="M71" s="248">
        <f>M12*(1-INDEX('1. Assumptions'!$G:$G,MATCH("Enterprise Collection Lag",'1. Assumptions'!$B:$B,0))/30)+IF(M$6=1,0,L12*(INDEX('1. Assumptions'!$G:$G,MATCH("Enterprise Collection Lag",'1. Assumptions'!$B:$B,0))/30))</f>
        <v>3439.9430000000007</v>
      </c>
      <c r="N71" s="248">
        <f>N12*(1-INDEX('1. Assumptions'!$G:$G,MATCH("Enterprise Collection Lag",'1. Assumptions'!$B:$B,0))/30)+IF(N$6=1,0,M12*(INDEX('1. Assumptions'!$G:$G,MATCH("Enterprise Collection Lag",'1. Assumptions'!$B:$B,0))/30))</f>
        <v>3680.7390100000007</v>
      </c>
      <c r="O71" s="248">
        <f>O12*(1-INDEX('1. Assumptions'!$G:$G,MATCH("Enterprise Collection Lag",'1. Assumptions'!$B:$B,0))/30)+IF(O$6=1,0,N12*(INDEX('1. Assumptions'!$G:$G,MATCH("Enterprise Collection Lag",'1. Assumptions'!$B:$B,0))/30))</f>
        <v>3938.3907407000006</v>
      </c>
      <c r="P71" s="248">
        <f>P12*(1-INDEX('1. Assumptions'!$G:$G,MATCH("Enterprise Collection Lag",'1. Assumptions'!$B:$B,0))/30)+IF(P$6=1,0,O12*(INDEX('1. Assumptions'!$G:$G,MATCH("Enterprise Collection Lag",'1. Assumptions'!$B:$B,0))/30))</f>
        <v>4214.0780925490008</v>
      </c>
      <c r="Q71" s="248">
        <f>Q12*(1-INDEX('1. Assumptions'!$G:$G,MATCH("Enterprise Collection Lag",'1. Assumptions'!$B:$B,0))/30)+IF(Q$6=1,0,P12*(INDEX('1. Assumptions'!$G:$G,MATCH("Enterprise Collection Lag",'1. Assumptions'!$B:$B,0))/30))</f>
        <v>4509.0635590274305</v>
      </c>
      <c r="R71" s="248">
        <f>R12*(1-INDEX('1. Assumptions'!$G:$G,MATCH("Enterprise Collection Lag",'1. Assumptions'!$B:$B,0))/30)+IF(R$6=1,0,Q12*(INDEX('1. Assumptions'!$G:$G,MATCH("Enterprise Collection Lag",'1. Assumptions'!$B:$B,0))/30))</f>
        <v>4824.698008159351</v>
      </c>
      <c r="S71" s="248">
        <f>S12*(1-INDEX('1. Assumptions'!$G:$G,MATCH("Enterprise Collection Lag",'1. Assumptions'!$B:$B,0))/30)+IF(S$6=1,0,R12*(INDEX('1. Assumptions'!$G:$G,MATCH("Enterprise Collection Lag",'1. Assumptions'!$B:$B,0))/30))</f>
        <v>5162.4268687305057</v>
      </c>
      <c r="T71" s="248">
        <f>T12*(1-INDEX('1. Assumptions'!$G:$G,MATCH("Enterprise Collection Lag",'1. Assumptions'!$B:$B,0))/30)+IF(T$6=1,0,S12*(INDEX('1. Assumptions'!$G:$G,MATCH("Enterprise Collection Lag",'1. Assumptions'!$B:$B,0))/30))</f>
        <v>5523.7967495416406</v>
      </c>
      <c r="U71" s="248">
        <f>U12*(1-INDEX('1. Assumptions'!$G:$G,MATCH("Enterprise Collection Lag",'1. Assumptions'!$B:$B,0))/30)+IF(U$6=1,0,T12*(INDEX('1. Assumptions'!$G:$G,MATCH("Enterprise Collection Lag",'1. Assumptions'!$B:$B,0))/30))</f>
        <v>5910.462522009555</v>
      </c>
      <c r="V71" s="248">
        <f>V12*(1-INDEX('1. Assumptions'!$G:$G,MATCH("Enterprise Collection Lag",'1. Assumptions'!$B:$B,0))/30)+IF(V$6=1,0,U12*(INDEX('1. Assumptions'!$G:$G,MATCH("Enterprise Collection Lag",'1. Assumptions'!$B:$B,0))/30))</f>
        <v>6324.194898550224</v>
      </c>
      <c r="W71" s="248">
        <f>W12*(1-INDEX('1. Assumptions'!$G:$G,MATCH("Enterprise Collection Lag",'1. Assumptions'!$B:$B,0))/30)+IF(W$6=1,0,V12*(INDEX('1. Assumptions'!$G:$G,MATCH("Enterprise Collection Lag",'1. Assumptions'!$B:$B,0))/30))</f>
        <v>6766.8885414487404</v>
      </c>
      <c r="X71" s="248">
        <f>X12*(1-INDEX('1. Assumptions'!$G:$G,MATCH("Enterprise Collection Lag",'1. Assumptions'!$B:$B,0))/30)+IF(X$6=1,0,W12*(INDEX('1. Assumptions'!$G:$G,MATCH("Enterprise Collection Lag",'1. Assumptions'!$B:$B,0))/30))</f>
        <v>7240.5707393501516</v>
      </c>
      <c r="Y71" s="248">
        <f>Y12*(1-INDEX('1. Assumptions'!$G:$G,MATCH("Enterprise Collection Lag",'1. Assumptions'!$B:$B,0))/30)+IF(Y$6=1,0,X12*(INDEX('1. Assumptions'!$G:$G,MATCH("Enterprise Collection Lag",'1. Assumptions'!$B:$B,0))/30))</f>
        <v>7747.410691104662</v>
      </c>
      <c r="Z71" s="248">
        <f>Z12*(1-INDEX('1. Assumptions'!$G:$G,MATCH("Enterprise Collection Lag",'1. Assumptions'!$B:$B,0))/30)+IF(Z$6=1,0,Y12*(INDEX('1. Assumptions'!$G:$G,MATCH("Enterprise Collection Lag",'1. Assumptions'!$B:$B,0))/30))</f>
        <v>8289.7294394819892</v>
      </c>
      <c r="AA71" s="248">
        <f>AA12*(1-INDEX('1. Assumptions'!$G:$G,MATCH("Enterprise Collection Lag",'1. Assumptions'!$B:$B,0))/30)+IF(AA$6=1,0,Z12*(INDEX('1. Assumptions'!$G:$G,MATCH("Enterprise Collection Lag",'1. Assumptions'!$B:$B,0))/30))</f>
        <v>8870.0105002457276</v>
      </c>
    </row>
    <row r="72" spans="1:27" s="207" customFormat="1" ht="13.2">
      <c r="A72" s="244" t="s">
        <v>1041</v>
      </c>
      <c r="B72" s="244" t="s">
        <v>1045</v>
      </c>
      <c r="C72" s="244" t="s">
        <v>64</v>
      </c>
      <c r="D72" s="248">
        <f>SUM(D69:D71)</f>
        <v>40148.055</v>
      </c>
      <c r="E72" s="248">
        <f t="shared" ref="E72:AA72" si="6">SUM(E69:E71)</f>
        <v>46525.930987499996</v>
      </c>
      <c r="F72" s="248">
        <f t="shared" si="6"/>
        <v>48688.966173026703</v>
      </c>
      <c r="G72" s="248">
        <f t="shared" si="6"/>
        <v>50947.322102807419</v>
      </c>
      <c r="H72" s="248">
        <f t="shared" si="6"/>
        <v>53334.610830182712</v>
      </c>
      <c r="I72" s="248">
        <f t="shared" si="6"/>
        <v>55882.050761359045</v>
      </c>
      <c r="J72" s="248">
        <f t="shared" si="6"/>
        <v>60218.436820299488</v>
      </c>
      <c r="K72" s="248">
        <f t="shared" si="6"/>
        <v>64877.812144160773</v>
      </c>
      <c r="L72" s="248">
        <f t="shared" si="6"/>
        <v>69896.773187972416</v>
      </c>
      <c r="M72" s="248">
        <f t="shared" si="6"/>
        <v>74559.137774935341</v>
      </c>
      <c r="N72" s="248">
        <f t="shared" si="6"/>
        <v>79645.14177312846</v>
      </c>
      <c r="O72" s="248">
        <f t="shared" si="6"/>
        <v>85171.875706882071</v>
      </c>
      <c r="P72" s="248">
        <f t="shared" si="6"/>
        <v>91183.879966189168</v>
      </c>
      <c r="Q72" s="248">
        <f t="shared" si="6"/>
        <v>97729.126820266159</v>
      </c>
      <c r="R72" s="248">
        <f t="shared" si="6"/>
        <v>104859.50008115254</v>
      </c>
      <c r="S72" s="248">
        <f t="shared" si="6"/>
        <v>112631.29123777882</v>
      </c>
      <c r="T72" s="248">
        <f t="shared" si="6"/>
        <v>121105.72017300609</v>
      </c>
      <c r="U72" s="248">
        <f t="shared" si="6"/>
        <v>130349.48802564785</v>
      </c>
      <c r="V72" s="248">
        <f t="shared" si="6"/>
        <v>140435.36944260928</v>
      </c>
      <c r="W72" s="248">
        <f t="shared" si="6"/>
        <v>151442.8513457407</v>
      </c>
      <c r="X72" s="248">
        <f t="shared" si="6"/>
        <v>163458.82538559218</v>
      </c>
      <c r="Y72" s="248">
        <f t="shared" si="6"/>
        <v>176578.34144904112</v>
      </c>
      <c r="Z72" s="248">
        <f t="shared" si="6"/>
        <v>190905.42991470607</v>
      </c>
      <c r="AA72" s="248">
        <f t="shared" si="6"/>
        <v>206554.00079892806</v>
      </c>
    </row>
    <row r="73" spans="1:27" s="207" customFormat="1" ht="13.2">
      <c r="A73" s="244" t="s">
        <v>1046</v>
      </c>
      <c r="B73" s="244" t="s">
        <v>1047</v>
      </c>
      <c r="C73" s="244" t="s">
        <v>64</v>
      </c>
      <c r="D73" s="248">
        <f>D13-D72</f>
        <v>4315.2450000000026</v>
      </c>
      <c r="E73" s="248">
        <f t="shared" ref="E73:AA73" si="7">E13-E72</f>
        <v>-396.55995981704473</v>
      </c>
      <c r="F73" s="248">
        <f t="shared" si="7"/>
        <v>-847.20197684291634</v>
      </c>
      <c r="G73" s="248">
        <f t="shared" si="7"/>
        <v>-1310.6325220846338</v>
      </c>
      <c r="H73" s="248">
        <f t="shared" si="7"/>
        <v>-1788.031399827938</v>
      </c>
      <c r="I73" s="248">
        <f t="shared" si="7"/>
        <v>-681.76443441834999</v>
      </c>
      <c r="J73" s="248">
        <f t="shared" si="7"/>
        <v>-1093.5009505811831</v>
      </c>
      <c r="K73" s="248">
        <f t="shared" si="7"/>
        <v>-1522.7533352129103</v>
      </c>
      <c r="L73" s="248">
        <f t="shared" si="7"/>
        <v>-2971.2436448379594</v>
      </c>
      <c r="M73" s="248">
        <f t="shared" si="7"/>
        <v>-3483.5433448685508</v>
      </c>
      <c r="N73" s="248">
        <f t="shared" si="7"/>
        <v>-4048.0700927996222</v>
      </c>
      <c r="O73" s="248">
        <f t="shared" si="7"/>
        <v>-4642.9471880800556</v>
      </c>
      <c r="P73" s="248">
        <f t="shared" si="7"/>
        <v>-5271.0409573068609</v>
      </c>
      <c r="Q73" s="248">
        <f t="shared" si="7"/>
        <v>-5935.4889608334197</v>
      </c>
      <c r="R73" s="248">
        <f t="shared" si="7"/>
        <v>-6639.7209744309366</v>
      </c>
      <c r="S73" s="248">
        <f t="shared" si="7"/>
        <v>-7387.4826635907084</v>
      </c>
      <c r="T73" s="248">
        <f t="shared" si="7"/>
        <v>-8182.8620440323139</v>
      </c>
      <c r="U73" s="248">
        <f t="shared" si="7"/>
        <v>-9030.3188673600234</v>
      </c>
      <c r="V73" s="248">
        <f t="shared" si="7"/>
        <v>-9934.7171122610453</v>
      </c>
      <c r="W73" s="248">
        <f t="shared" si="7"/>
        <v>-10901.360800678754</v>
      </c>
      <c r="X73" s="248">
        <f t="shared" si="7"/>
        <v>-11936.033396264451</v>
      </c>
      <c r="Y73" s="248">
        <f t="shared" si="7"/>
        <v>-13045.04108012325</v>
      </c>
      <c r="Z73" s="248">
        <f t="shared" si="7"/>
        <v>-14235.260237290524</v>
      </c>
      <c r="AA73" s="248">
        <f t="shared" si="7"/>
        <v>-15514.189527246228</v>
      </c>
    </row>
    <row r="74" spans="1:27" s="207" customFormat="1" ht="13.2">
      <c r="A74" s="244" t="s">
        <v>1046</v>
      </c>
      <c r="B74" s="244" t="s">
        <v>1048</v>
      </c>
      <c r="C74" s="244" t="s">
        <v>64</v>
      </c>
      <c r="D74" s="248">
        <f>(D48+D49+D50+D33+D59+D31)+((D35+D60)-(D48+D49+D50+D33+D59+D31))*(1-INDEX('1. Assumptions'!$G:$G,MATCH("Vendor Payment Lag",'1. Assumptions'!$B:$B,0))/30)+IF(D$6=1,0,((C35+C60)-(C48+C49+C50+C33+C59+C31))*INDEX('1. Assumptions'!$G:$G,MATCH("Vendor Payment Lag",'1. Assumptions'!$B:$B,0))/30)</f>
        <v>27812.592883333331</v>
      </c>
      <c r="E74" s="248">
        <f>(E48+E49+E50+E33+E59+E31)+((E35+E60)-(E48+E49+E50+E33+E59+E31))*(1-INDEX('1. Assumptions'!$G:$G,MATCH("Vendor Payment Lag",'1. Assumptions'!$B:$B,0))/30)+IF(E$6=1,0,((D35+D60)-(D48+D49+D50+D33+D59+D31))*INDEX('1. Assumptions'!$G:$G,MATCH("Vendor Payment Lag",'1. Assumptions'!$B:$B,0))/30)</f>
        <v>50664.668770708333</v>
      </c>
      <c r="F74" s="248">
        <f>(F48+F49+F50+F33+F59+F31)+((F35+F60)-(F48+F49+F50+F33+F59+F31))*(1-INDEX('1. Assumptions'!$G:$G,MATCH("Vendor Payment Lag",'1. Assumptions'!$B:$B,0))/30)+IF(F$6=1,0,((E35+E60)-(E48+E49+E50+E33+E59+E31))*INDEX('1. Assumptions'!$G:$G,MATCH("Vendor Payment Lag",'1. Assumptions'!$B:$B,0))/30)</f>
        <v>66861.937673605265</v>
      </c>
      <c r="G74" s="248">
        <f>(G48+G49+G50+G33+G59+G31)+((G35+G60)-(G48+G49+G50+G33+G59+G31))*(1-INDEX('1. Assumptions'!$G:$G,MATCH("Vendor Payment Lag",'1. Assumptions'!$B:$B,0))/30)+IF(G$6=1,0,((F35+F60)-(F48+F49+F50+F33+F59+F31))*INDEX('1. Assumptions'!$G:$G,MATCH("Vendor Payment Lag",'1. Assumptions'!$B:$B,0))/30)</f>
        <v>83069.000704898703</v>
      </c>
      <c r="H74" s="248">
        <f>(H48+H49+H50+H33+H59+H31)+((H35+H60)-(H48+H49+H50+H33+H59+H31))*(1-INDEX('1. Assumptions'!$G:$G,MATCH("Vendor Payment Lag",'1. Assumptions'!$B:$B,0))/30)+IF(H$6=1,0,((G35+G60)-(G48+G49+G50+G33+G59+G31))*INDEX('1. Assumptions'!$G:$G,MATCH("Vendor Payment Lag",'1. Assumptions'!$B:$B,0))/30)</f>
        <v>94293.90053258586</v>
      </c>
      <c r="I74" s="248">
        <f>(I48+I49+I50+I33+I59+I31)+((I35+I60)-(I48+I49+I50+I33+I59+I31))*(1-INDEX('1. Assumptions'!$G:$G,MATCH("Vendor Payment Lag",'1. Assumptions'!$B:$B,0))/30)+IF(I$6=1,0,((H35+H60)-(H48+H49+H50+H33+H59+H31))*INDEX('1. Assumptions'!$G:$G,MATCH("Vendor Payment Lag",'1. Assumptions'!$B:$B,0))/30)</f>
        <v>111262.51856257142</v>
      </c>
      <c r="J74" s="248">
        <f>(J48+J49+J50+J33+J59+J31)+((J35+J60)-(J48+J49+J50+J33+J59+J31))*(1-INDEX('1. Assumptions'!$G:$G,MATCH("Vendor Payment Lag",'1. Assumptions'!$B:$B,0))/30)+IF(J$6=1,0,((I35+I60)-(I48+I49+I50+I33+I59+I31))*INDEX('1. Assumptions'!$G:$G,MATCH("Vendor Payment Lag",'1. Assumptions'!$B:$B,0))/30)</f>
        <v>115836.31236804914</v>
      </c>
      <c r="K74" s="248">
        <f>(K48+K49+K50+K33+K59+K31)+((K35+K60)-(K48+K49+K50+K33+K59+K31))*(1-INDEX('1. Assumptions'!$G:$G,MATCH("Vendor Payment Lag",'1. Assumptions'!$B:$B,0))/30)+IF(K$6=1,0,((J35+J60)-(J48+J49+J50+J33+J59+J31))*INDEX('1. Assumptions'!$G:$G,MATCH("Vendor Payment Lag",'1. Assumptions'!$B:$B,0))/30)</f>
        <v>126146.09701006075</v>
      </c>
      <c r="L74" s="248">
        <f>(L48+L49+L50+L33+L59+L31)+((L35+L60)-(L48+L49+L50+L33+L59+L31))*(1-INDEX('1. Assumptions'!$G:$G,MATCH("Vendor Payment Lag",'1. Assumptions'!$B:$B,0))/30)+IF(L$6=1,0,((K35+K60)-(K48+K49+K50+K33+K59+K31))*INDEX('1. Assumptions'!$G:$G,MATCH("Vendor Payment Lag",'1. Assumptions'!$B:$B,0))/30)</f>
        <v>142033.16292948407</v>
      </c>
      <c r="M74" s="248">
        <f>(M48+M49+M50+M33+M59+M31)+((M35+M60)-(M48+M49+M50+M33+M59+M31))*(1-INDEX('1. Assumptions'!$G:$G,MATCH("Vendor Payment Lag",'1. Assumptions'!$B:$B,0))/30)+IF(M$6=1,0,((L35+L60)-(L48+L49+L50+L33+L59+L31))*INDEX('1. Assumptions'!$G:$G,MATCH("Vendor Payment Lag",'1. Assumptions'!$B:$B,0))/30)</f>
        <v>156605.52596712171</v>
      </c>
      <c r="N74" s="248">
        <f>(N48+N49+N50+N33+N59+N31)+((N35+N60)-(N48+N49+N50+N33+N59+N31))*(1-INDEX('1. Assumptions'!$G:$G,MATCH("Vendor Payment Lag",'1. Assumptions'!$B:$B,0))/30)+IF(N$6=1,0,((M35+M60)-(M48+M49+M50+M33+M59+M31))*INDEX('1. Assumptions'!$G:$G,MATCH("Vendor Payment Lag",'1. Assumptions'!$B:$B,0))/30)</f>
        <v>158161.73584257823</v>
      </c>
      <c r="O74" s="248">
        <f>(O48+O49+O50+O33+O59+O31)+((O35+O60)-(O48+O49+O50+O33+O59+O31))*(1-INDEX('1. Assumptions'!$G:$G,MATCH("Vendor Payment Lag",'1. Assumptions'!$B:$B,0))/30)+IF(O$6=1,0,((N35+N60)-(N48+N49+N50+N33+N59+N31))*INDEX('1. Assumptions'!$G:$G,MATCH("Vendor Payment Lag",'1. Assumptions'!$B:$B,0))/30)</f>
        <v>173964.3977938818</v>
      </c>
      <c r="P74" s="248">
        <f>(P48+P49+P50+P33+P59+P31)+((P35+P60)-(P48+P49+P50+P33+P59+P31))*(1-INDEX('1. Assumptions'!$G:$G,MATCH("Vendor Payment Lag",'1. Assumptions'!$B:$B,0))/30)+IF(P$6=1,0,((O35+O60)-(O48+O49+O50+O33+O59+O31))*INDEX('1. Assumptions'!$G:$G,MATCH("Vendor Payment Lag",'1. Assumptions'!$B:$B,0))/30)</f>
        <v>176688.12641276259</v>
      </c>
      <c r="Q74" s="248">
        <f>(Q48+Q49+Q50+Q33+Q59+Q31)+((Q35+Q60)-(Q48+Q49+Q50+Q33+Q59+Q31))*(1-INDEX('1. Assumptions'!$G:$G,MATCH("Vendor Payment Lag",'1. Assumptions'!$B:$B,0))/30)+IF(Q$6=1,0,((P35+P60)-(P48+P49+P50+P33+P59+P31))*INDEX('1. Assumptions'!$G:$G,MATCH("Vendor Payment Lag",'1. Assumptions'!$B:$B,0))/30)</f>
        <v>192674.70601503717</v>
      </c>
      <c r="R74" s="248">
        <f>(R48+R49+R50+R33+R59+R31)+((R35+R60)-(R48+R49+R50+R33+R59+R31))*(1-INDEX('1. Assumptions'!$G:$G,MATCH("Vendor Payment Lag",'1. Assumptions'!$B:$B,0))/30)+IF(R$6=1,0,((Q35+Q60)-(Q48+Q49+Q50+Q33+Q59+Q31))*INDEX('1. Assumptions'!$G:$G,MATCH("Vendor Payment Lag",'1. Assumptions'!$B:$B,0))/30)</f>
        <v>194599.84369777434</v>
      </c>
      <c r="S74" s="248">
        <f>(S48+S49+S50+S33+S59+S31)+((S35+S60)-(S48+S49+S50+S33+S59+S31))*(1-INDEX('1. Assumptions'!$G:$G,MATCH("Vendor Payment Lag",'1. Assumptions'!$B:$B,0))/30)+IF(S$6=1,0,((R35+R60)-(R48+R49+R50+R33+R59+R31))*INDEX('1. Assumptions'!$G:$G,MATCH("Vendor Payment Lag",'1. Assumptions'!$B:$B,0))/30)</f>
        <v>205306.58836967323</v>
      </c>
      <c r="T74" s="248">
        <f>(T48+T49+T50+T33+T59+T31)+((T35+T60)-(T48+T49+T50+T33+T59+T31))*(1-INDEX('1. Assumptions'!$G:$G,MATCH("Vendor Payment Lag",'1. Assumptions'!$B:$B,0))/30)+IF(T$6=1,0,((S35+S60)-(S48+S49+S50+S33+S59+S31))*INDEX('1. Assumptions'!$G:$G,MATCH("Vendor Payment Lag",'1. Assumptions'!$B:$B,0))/30)</f>
        <v>207472.08404194826</v>
      </c>
      <c r="U74" s="248">
        <f>(U48+U49+U50+U33+U59+U31)+((U35+U60)-(U48+U49+U50+U33+U59+U31))*(1-INDEX('1. Assumptions'!$G:$G,MATCH("Vendor Payment Lag",'1. Assumptions'!$B:$B,0))/30)+IF(U$6=1,0,((T35+T60)-(T48+T49+T50+T33+T59+T31))*INDEX('1. Assumptions'!$G:$G,MATCH("Vendor Payment Lag",'1. Assumptions'!$B:$B,0))/30)</f>
        <v>209774.325472992</v>
      </c>
      <c r="V74" s="248">
        <f>(V48+V49+V50+V33+V59+V31)+((V35+V60)-(V48+V49+V50+V33+V59+V31))*(1-INDEX('1. Assumptions'!$G:$G,MATCH("Vendor Payment Lag",'1. Assumptions'!$B:$B,0))/30)+IF(V$6=1,0,((U35+U60)-(U48+U49+U50+U33+U59+U31))*INDEX('1. Assumptions'!$G:$G,MATCH("Vendor Payment Lag",'1. Assumptions'!$B:$B,0))/30)</f>
        <v>212225.58411460978</v>
      </c>
      <c r="W74" s="248">
        <f>(W48+W49+W50+W33+W59+W31)+((W35+W60)-(W48+W49+W50+W33+W59+W31))*(1-INDEX('1. Assumptions'!$G:$G,MATCH("Vendor Payment Lag",'1. Assumptions'!$B:$B,0))/30)+IF(W$6=1,0,((V35+V60)-(V48+V49+V50+V33+V59+V31))*INDEX('1. Assumptions'!$G:$G,MATCH("Vendor Payment Lag",'1. Assumptions'!$B:$B,0))/30)</f>
        <v>231005.83886893842</v>
      </c>
      <c r="X74" s="248">
        <f>(X48+X49+X50+X33+X59+X31)+((X35+X60)-(X48+X49+X50+X33+X59+X31))*(1-INDEX('1. Assumptions'!$G:$G,MATCH("Vendor Payment Lag",'1. Assumptions'!$B:$B,0))/30)+IF(X$6=1,0,((W35+W60)-(W48+W49+W50+W33+W59+W31))*INDEX('1. Assumptions'!$G:$G,MATCH("Vendor Payment Lag",'1. Assumptions'!$B:$B,0))/30)</f>
        <v>233796.21275979345</v>
      </c>
      <c r="Y74" s="248">
        <f>(Y48+Y49+Y50+Y33+Y59+Y31)+((Y35+Y60)-(Y48+Y49+Y50+Y33+Y59+Y31))*(1-INDEX('1. Assumptions'!$G:$G,MATCH("Vendor Payment Lag",'1. Assumptions'!$B:$B,0))/30)+IF(Y$6=1,0,((X35+X60)-(X48+X49+X50+X33+X59+X31))*INDEX('1. Assumptions'!$G:$G,MATCH("Vendor Payment Lag",'1. Assumptions'!$B:$B,0))/30)</f>
        <v>236779.08324466491</v>
      </c>
      <c r="Z74" s="248">
        <f>(Z48+Z49+Z50+Z33+Z59+Z31)+((Z35+Z60)-(Z48+Z49+Z50+Z33+Z59+Z31))*(1-INDEX('1. Assumptions'!$G:$G,MATCH("Vendor Payment Lag",'1. Assumptions'!$B:$B,0))/30)+IF(Z$6=1,0,((Y35+Y60)-(Y48+Y49+Y50+Y33+Y59+Y31))*INDEX('1. Assumptions'!$G:$G,MATCH("Vendor Payment Lag",'1. Assumptions'!$B:$B,0))/30)</f>
        <v>239971.53387284884</v>
      </c>
      <c r="AA74" s="248">
        <f>(AA48+AA49+AA50+AA33+AA59+AA31)+((AA35+AA60)-(AA48+AA49+AA50+AA33+AA59+AA31))*(1-INDEX('1. Assumptions'!$G:$G,MATCH("Vendor Payment Lag",'1. Assumptions'!$B:$B,0))/30)+IF(AA$6=1,0,((Z35+Z60)-(Z48+Z49+Z50+Z33+Z59+Z31))*INDEX('1. Assumptions'!$G:$G,MATCH("Vendor Payment Lag",'1. Assumptions'!$B:$B,0))/30)</f>
        <v>243392.14832779058</v>
      </c>
    </row>
    <row r="75" spans="1:27" s="207" customFormat="1" ht="13.2">
      <c r="A75" s="244" t="s">
        <v>1046</v>
      </c>
      <c r="B75" s="244" t="s">
        <v>1049</v>
      </c>
      <c r="C75" s="244" t="s">
        <v>64</v>
      </c>
      <c r="D75" s="248">
        <f>((D35+D60)-(D48+D49+D50+D33+D59+D31))-(D74-(D48+D49+D50+D33+D59+D31))</f>
        <v>22716</v>
      </c>
      <c r="E75" s="248">
        <f t="shared" ref="E75:AA75" si="8">((E35+E60)-(E48+E49+E50+E33+E59+E31))-(E74-(E48+E49+E50+E33+E59+E31))</f>
        <v>887.03068265807815</v>
      </c>
      <c r="F75" s="248">
        <f t="shared" si="8"/>
        <v>887.88048527782666</v>
      </c>
      <c r="G75" s="248">
        <f t="shared" si="8"/>
        <v>895.39447012069286</v>
      </c>
      <c r="H75" s="248">
        <f t="shared" si="8"/>
        <v>908.64662262830825</v>
      </c>
      <c r="I75" s="248">
        <f t="shared" si="8"/>
        <v>4335.9700877109426</v>
      </c>
      <c r="J75" s="248">
        <f t="shared" si="8"/>
        <v>1387.4141367666307</v>
      </c>
      <c r="K75" s="248">
        <f t="shared" si="8"/>
        <v>1445.1745943646092</v>
      </c>
      <c r="L75" s="248">
        <f t="shared" si="8"/>
        <v>1109.2352422145486</v>
      </c>
      <c r="M75" s="248">
        <f t="shared" si="8"/>
        <v>1236.7036365055537</v>
      </c>
      <c r="N75" s="248">
        <f t="shared" si="8"/>
        <v>1291.5253364583477</v>
      </c>
      <c r="O75" s="248">
        <f t="shared" si="8"/>
        <v>2352.2500210887811</v>
      </c>
      <c r="P75" s="248">
        <f t="shared" si="8"/>
        <v>1419.2382158787514</v>
      </c>
      <c r="Q75" s="248">
        <f t="shared" si="8"/>
        <v>1492.9205050063028</v>
      </c>
      <c r="R75" s="248">
        <f t="shared" si="8"/>
        <v>1573.7964112181216</v>
      </c>
      <c r="S75" s="248">
        <f t="shared" si="8"/>
        <v>1662.4346454471815</v>
      </c>
      <c r="T75" s="248">
        <f t="shared" si="8"/>
        <v>1759.47455655667</v>
      </c>
      <c r="U75" s="248">
        <f t="shared" si="8"/>
        <v>1865.628651968902</v>
      </c>
      <c r="V75" s="248">
        <f t="shared" si="8"/>
        <v>1981.6860934304423</v>
      </c>
      <c r="W75" s="248">
        <f t="shared" si="8"/>
        <v>2108.5171000190603</v>
      </c>
      <c r="X75" s="248">
        <f t="shared" si="8"/>
        <v>2247.0782137658389</v>
      </c>
      <c r="Y75" s="248">
        <f t="shared" si="8"/>
        <v>2398.4184028137242</v>
      </c>
      <c r="Z75" s="248">
        <f t="shared" si="8"/>
        <v>2563.685993594554</v>
      </c>
      <c r="AA75" s="248">
        <f t="shared" si="8"/>
        <v>2744.1364376637794</v>
      </c>
    </row>
    <row r="76" spans="1:27" s="207" customFormat="1" ht="13.2">
      <c r="A76" s="244" t="s">
        <v>1046</v>
      </c>
      <c r="B76" s="244" t="s">
        <v>1050</v>
      </c>
      <c r="C76" s="244" t="s">
        <v>64</v>
      </c>
      <c r="D76" s="154">
        <f>-D73+D75</f>
        <v>18400.754999999997</v>
      </c>
      <c r="E76" s="154">
        <f t="shared" ref="E76:AA76" si="9">-E73+E75</f>
        <v>1283.5906424751229</v>
      </c>
      <c r="F76" s="154">
        <f t="shared" si="9"/>
        <v>1735.082462120743</v>
      </c>
      <c r="G76" s="154">
        <f t="shared" si="9"/>
        <v>2206.0269922053267</v>
      </c>
      <c r="H76" s="154">
        <f t="shared" si="9"/>
        <v>2696.6780224562463</v>
      </c>
      <c r="I76" s="154">
        <f t="shared" si="9"/>
        <v>5017.7345221292926</v>
      </c>
      <c r="J76" s="154">
        <f t="shared" si="9"/>
        <v>2480.9150873478138</v>
      </c>
      <c r="K76" s="154">
        <f t="shared" si="9"/>
        <v>2967.9279295775195</v>
      </c>
      <c r="L76" s="154">
        <f t="shared" si="9"/>
        <v>4080.4788870525081</v>
      </c>
      <c r="M76" s="154">
        <f t="shared" si="9"/>
        <v>4720.2469813741045</v>
      </c>
      <c r="N76" s="154">
        <f t="shared" si="9"/>
        <v>5339.59542925797</v>
      </c>
      <c r="O76" s="154">
        <f t="shared" si="9"/>
        <v>6995.1972091688367</v>
      </c>
      <c r="P76" s="154">
        <f t="shared" si="9"/>
        <v>6690.2791731856123</v>
      </c>
      <c r="Q76" s="154">
        <f t="shared" si="9"/>
        <v>7428.4094658397225</v>
      </c>
      <c r="R76" s="154">
        <f t="shared" si="9"/>
        <v>8213.5173856490583</v>
      </c>
      <c r="S76" s="154">
        <f t="shared" si="9"/>
        <v>9049.9173090378899</v>
      </c>
      <c r="T76" s="154">
        <f t="shared" si="9"/>
        <v>9942.3366005889839</v>
      </c>
      <c r="U76" s="154">
        <f t="shared" si="9"/>
        <v>10895.947519328925</v>
      </c>
      <c r="V76" s="154">
        <f t="shared" si="9"/>
        <v>11916.403205691488</v>
      </c>
      <c r="W76" s="154">
        <f t="shared" si="9"/>
        <v>13009.877900697815</v>
      </c>
      <c r="X76" s="154">
        <f t="shared" si="9"/>
        <v>14183.11161003029</v>
      </c>
      <c r="Y76" s="154">
        <f t="shared" si="9"/>
        <v>15443.459482936974</v>
      </c>
      <c r="Z76" s="154">
        <f t="shared" si="9"/>
        <v>16798.946230885078</v>
      </c>
      <c r="AA76" s="154">
        <f t="shared" si="9"/>
        <v>18258.325964910007</v>
      </c>
    </row>
    <row r="77" spans="1:27" s="207" customFormat="1" ht="13.2">
      <c r="A77" s="244"/>
      <c r="B77" s="244"/>
      <c r="C77" s="244"/>
      <c r="D77" s="255"/>
      <c r="E77" s="255"/>
      <c r="F77" s="255"/>
      <c r="G77" s="255"/>
      <c r="H77" s="255"/>
      <c r="I77" s="255"/>
      <c r="J77" s="255"/>
      <c r="K77" s="255"/>
      <c r="L77" s="255"/>
      <c r="M77" s="255"/>
      <c r="N77" s="255"/>
      <c r="O77" s="255"/>
      <c r="P77" s="255"/>
      <c r="Q77" s="255"/>
      <c r="R77" s="255"/>
      <c r="S77" s="255"/>
      <c r="T77" s="255"/>
      <c r="U77" s="255"/>
      <c r="V77" s="255"/>
      <c r="W77" s="255"/>
      <c r="X77" s="255"/>
      <c r="Y77" s="255"/>
      <c r="Z77" s="255"/>
      <c r="AA77" s="255"/>
    </row>
    <row r="78" spans="1:27" s="207" customFormat="1" ht="13.2">
      <c r="A78" s="242" t="s">
        <v>1051</v>
      </c>
      <c r="B78" s="243"/>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c r="AA78" s="242"/>
    </row>
    <row r="79" spans="1:27" s="207" customFormat="1" ht="13.2">
      <c r="A79" s="244" t="s">
        <v>1052</v>
      </c>
      <c r="B79" s="244" t="s">
        <v>1053</v>
      </c>
      <c r="C79" s="244" t="s">
        <v>64</v>
      </c>
      <c r="D79" s="248">
        <f>IF(D$6=1,INDEX('1. Assumptions'!$G:$G,MATCH("Beginning Cash Balance ($)",'1. Assumptions'!$B:$B,0)),C84)</f>
        <v>1500000</v>
      </c>
      <c r="E79" s="248">
        <f>IF(E$6=1,INDEX('1. Assumptions'!$G:$G,MATCH("Beginning Cash Balance ($)",'1. Assumptions'!$B:$B,0)),D84)</f>
        <v>1512335.4621166666</v>
      </c>
      <c r="F79" s="248">
        <f>IF(F$6=1,INDEX('1. Assumptions'!$G:$G,MATCH("Beginning Cash Balance ($)",'1. Assumptions'!$B:$B,0)),E84)</f>
        <v>1508196.7243334583</v>
      </c>
      <c r="G79" s="248">
        <f>IF(G$6=1,INDEX('1. Assumptions'!$G:$G,MATCH("Beginning Cash Balance ($)",'1. Assumptions'!$B:$B,0)),F84)</f>
        <v>1490023.7528328798</v>
      </c>
      <c r="H79" s="248">
        <f>IF(H$6=1,INDEX('1. Assumptions'!$G:$G,MATCH("Beginning Cash Balance ($)",'1. Assumptions'!$B:$B,0)),G84)</f>
        <v>1457902.0742307885</v>
      </c>
      <c r="I79" s="248">
        <f>IF(I$6=1,INDEX('1. Assumptions'!$G:$G,MATCH("Beginning Cash Balance ($)",'1. Assumptions'!$B:$B,0)),H84)</f>
        <v>1416942.7845283854</v>
      </c>
      <c r="J79" s="248">
        <f>IF(J$6=1,INDEX('1. Assumptions'!$G:$G,MATCH("Beginning Cash Balance ($)",'1. Assumptions'!$B:$B,0)),I84)</f>
        <v>1361562.316727173</v>
      </c>
      <c r="K79" s="248">
        <f>IF(K$6=1,INDEX('1. Assumptions'!$G:$G,MATCH("Beginning Cash Balance ($)",'1. Assumptions'!$B:$B,0)),J84)</f>
        <v>1305944.4411794234</v>
      </c>
      <c r="L79" s="248">
        <f>IF(L$6=1,INDEX('1. Assumptions'!$G:$G,MATCH("Beginning Cash Balance ($)",'1. Assumptions'!$B:$B,0)),K84)</f>
        <v>1244676.1563135234</v>
      </c>
      <c r="M79" s="248">
        <f>IF(M$6=1,INDEX('1. Assumptions'!$G:$G,MATCH("Beginning Cash Balance ($)",'1. Assumptions'!$B:$B,0)),L84)</f>
        <v>1172539.7665720116</v>
      </c>
      <c r="N79" s="248">
        <f>IF(N$6=1,INDEX('1. Assumptions'!$G:$G,MATCH("Beginning Cash Balance ($)",'1. Assumptions'!$B:$B,0)),M84)</f>
        <v>1090493.3783798253</v>
      </c>
      <c r="O79" s="248">
        <f>IF(O$6=1,INDEX('1. Assumptions'!$G:$G,MATCH("Beginning Cash Balance ($)",'1. Assumptions'!$B:$B,0)),N84)</f>
        <v>1011976.7843103755</v>
      </c>
      <c r="P79" s="248">
        <f>IF(P$6=1,INDEX('1. Assumptions'!$G:$G,MATCH("Beginning Cash Balance ($)",'1. Assumptions'!$B:$B,0)),O84)</f>
        <v>923184.26222337573</v>
      </c>
      <c r="Q79" s="248">
        <f>IF(Q$6=1,INDEX('1. Assumptions'!$G:$G,MATCH("Beginning Cash Balance ($)",'1. Assumptions'!$B:$B,0)),P84)</f>
        <v>837680.01577680232</v>
      </c>
      <c r="R79" s="248">
        <f>IF(R$6=1,INDEX('1. Assumptions'!$G:$G,MATCH("Beginning Cash Balance ($)",'1. Assumptions'!$B:$B,0)),Q84)</f>
        <v>742734.43658203131</v>
      </c>
      <c r="S79" s="248">
        <f>IF(S$6=1,INDEX('1. Assumptions'!$G:$G,MATCH("Beginning Cash Balance ($)",'1. Assumptions'!$B:$B,0)),R84)</f>
        <v>652994.09296540951</v>
      </c>
      <c r="T79" s="248">
        <f>IF(T$6=1,INDEX('1. Assumptions'!$G:$G,MATCH("Beginning Cash Balance ($)",'1. Assumptions'!$B:$B,0)),S84)</f>
        <v>560318.79583351512</v>
      </c>
      <c r="U79" s="248">
        <f>IF(U$6=1,INDEX('1. Assumptions'!$G:$G,MATCH("Beginning Cash Balance ($)",'1. Assumptions'!$B:$B,0)),T84)</f>
        <v>473952.43196457293</v>
      </c>
      <c r="V79" s="248">
        <f>IF(V$6=1,INDEX('1. Assumptions'!$G:$G,MATCH("Beginning Cash Balance ($)",'1. Assumptions'!$B:$B,0)),U84)</f>
        <v>394527.59451722878</v>
      </c>
      <c r="W79" s="248">
        <f>IF(W$6=1,INDEX('1. Assumptions'!$G:$G,MATCH("Beginning Cash Balance ($)",'1. Assumptions'!$B:$B,0)),V84)</f>
        <v>322737.37984522828</v>
      </c>
      <c r="X79" s="248">
        <f>IF(X$6=1,INDEX('1. Assumptions'!$G:$G,MATCH("Beginning Cash Balance ($)",'1. Assumptions'!$B:$B,0)),W84)</f>
        <v>243174.39232203056</v>
      </c>
      <c r="Y79" s="248">
        <f>IF(Y$6=1,INDEX('1. Assumptions'!$G:$G,MATCH("Beginning Cash Balance ($)",'1. Assumptions'!$B:$B,0)),X84)</f>
        <v>172837.00494782929</v>
      </c>
      <c r="Z79" s="248">
        <f>IF(Z$6=1,INDEX('1. Assumptions'!$G:$G,MATCH("Beginning Cash Balance ($)",'1. Assumptions'!$B:$B,0)),Y84)</f>
        <v>112636.2631522055</v>
      </c>
      <c r="AA79" s="248">
        <f>IF(AA$6=1,INDEX('1. Assumptions'!$G:$G,MATCH("Beginning Cash Balance ($)",'1. Assumptions'!$B:$B,0)),Z84)</f>
        <v>5063570.1591940625</v>
      </c>
    </row>
    <row r="80" spans="1:27" s="207" customFormat="1" ht="13.2">
      <c r="A80" s="244" t="s">
        <v>1052</v>
      </c>
      <c r="B80" s="244" t="s">
        <v>1054</v>
      </c>
      <c r="C80" s="244" t="s">
        <v>64</v>
      </c>
      <c r="D80" s="248">
        <f>D65+D76</f>
        <v>12335.462116666677</v>
      </c>
      <c r="E80" s="248">
        <f t="shared" ref="E80:AA80" si="10">E65+E76</f>
        <v>-4138.7377832083366</v>
      </c>
      <c r="F80" s="248">
        <f t="shared" si="10"/>
        <v>-18172.971500578569</v>
      </c>
      <c r="G80" s="248">
        <f t="shared" si="10"/>
        <v>-32121.678602091284</v>
      </c>
      <c r="H80" s="248">
        <f t="shared" si="10"/>
        <v>-40959.289702403141</v>
      </c>
      <c r="I80" s="248">
        <f t="shared" si="10"/>
        <v>-55380.467801212377</v>
      </c>
      <c r="J80" s="248">
        <f t="shared" si="10"/>
        <v>-55617.875547749652</v>
      </c>
      <c r="K80" s="248">
        <f t="shared" si="10"/>
        <v>-61268.284865899986</v>
      </c>
      <c r="L80" s="248">
        <f t="shared" si="10"/>
        <v>-72136.389741511666</v>
      </c>
      <c r="M80" s="248">
        <f t="shared" si="10"/>
        <v>-82046.388192186365</v>
      </c>
      <c r="N80" s="248">
        <f t="shared" si="10"/>
        <v>-78516.594069449769</v>
      </c>
      <c r="O80" s="248">
        <f t="shared" si="10"/>
        <v>-88792.522086999728</v>
      </c>
      <c r="P80" s="248">
        <f t="shared" si="10"/>
        <v>-85504.246446573408</v>
      </c>
      <c r="Q80" s="248">
        <f t="shared" si="10"/>
        <v>-94945.579194771009</v>
      </c>
      <c r="R80" s="248">
        <f t="shared" si="10"/>
        <v>-89740.343616621802</v>
      </c>
      <c r="S80" s="248">
        <f t="shared" si="10"/>
        <v>-92675.297131894404</v>
      </c>
      <c r="T80" s="248">
        <f t="shared" si="10"/>
        <v>-86366.363868942179</v>
      </c>
      <c r="U80" s="248">
        <f t="shared" si="10"/>
        <v>-79424.837447344151</v>
      </c>
      <c r="V80" s="248">
        <f t="shared" si="10"/>
        <v>-71790.214672000497</v>
      </c>
      <c r="W80" s="248">
        <f t="shared" si="10"/>
        <v>-79562.98752319772</v>
      </c>
      <c r="X80" s="248">
        <f t="shared" si="10"/>
        <v>-70337.387374201266</v>
      </c>
      <c r="Y80" s="248">
        <f t="shared" si="10"/>
        <v>-60200.741795623791</v>
      </c>
      <c r="Z80" s="248">
        <f t="shared" si="10"/>
        <v>-49066.103958142776</v>
      </c>
      <c r="AA80" s="248">
        <f t="shared" si="10"/>
        <v>-36838.147528862493</v>
      </c>
    </row>
    <row r="81" spans="1:27" s="207" customFormat="1" ht="13.2">
      <c r="A81" s="244" t="s">
        <v>1052</v>
      </c>
      <c r="B81" s="244" t="s">
        <v>1055</v>
      </c>
      <c r="C81" s="244" t="s">
        <v>64</v>
      </c>
      <c r="D81" s="152">
        <f>IF(D80&lt;0,-D80,0)</f>
        <v>0</v>
      </c>
      <c r="E81" s="248">
        <f t="shared" ref="E81:AA81" si="11">IF(E80&lt;0,-E80,0)</f>
        <v>4138.7377832083366</v>
      </c>
      <c r="F81" s="248">
        <f t="shared" si="11"/>
        <v>18172.971500578569</v>
      </c>
      <c r="G81" s="248">
        <f t="shared" si="11"/>
        <v>32121.678602091284</v>
      </c>
      <c r="H81" s="248">
        <f t="shared" si="11"/>
        <v>40959.289702403141</v>
      </c>
      <c r="I81" s="248">
        <f t="shared" si="11"/>
        <v>55380.467801212377</v>
      </c>
      <c r="J81" s="248">
        <f t="shared" si="11"/>
        <v>55617.875547749652</v>
      </c>
      <c r="K81" s="248">
        <f t="shared" si="11"/>
        <v>61268.284865899986</v>
      </c>
      <c r="L81" s="248">
        <f t="shared" si="11"/>
        <v>72136.389741511666</v>
      </c>
      <c r="M81" s="248">
        <f t="shared" si="11"/>
        <v>82046.388192186365</v>
      </c>
      <c r="N81" s="248">
        <f t="shared" si="11"/>
        <v>78516.594069449769</v>
      </c>
      <c r="O81" s="248">
        <f t="shared" si="11"/>
        <v>88792.522086999728</v>
      </c>
      <c r="P81" s="248">
        <f t="shared" si="11"/>
        <v>85504.246446573408</v>
      </c>
      <c r="Q81" s="248">
        <f t="shared" si="11"/>
        <v>94945.579194771009</v>
      </c>
      <c r="R81" s="248">
        <f t="shared" si="11"/>
        <v>89740.343616621802</v>
      </c>
      <c r="S81" s="248">
        <f t="shared" si="11"/>
        <v>92675.297131894404</v>
      </c>
      <c r="T81" s="248">
        <f t="shared" si="11"/>
        <v>86366.363868942179</v>
      </c>
      <c r="U81" s="248">
        <f t="shared" si="11"/>
        <v>79424.837447344151</v>
      </c>
      <c r="V81" s="248">
        <f t="shared" si="11"/>
        <v>71790.214672000497</v>
      </c>
      <c r="W81" s="248">
        <f t="shared" si="11"/>
        <v>79562.98752319772</v>
      </c>
      <c r="X81" s="248">
        <f t="shared" si="11"/>
        <v>70337.387374201266</v>
      </c>
      <c r="Y81" s="248">
        <f t="shared" si="11"/>
        <v>60200.741795623791</v>
      </c>
      <c r="Z81" s="248">
        <f t="shared" si="11"/>
        <v>49066.103958142776</v>
      </c>
      <c r="AA81" s="248">
        <f t="shared" si="11"/>
        <v>36838.147528862493</v>
      </c>
    </row>
    <row r="82" spans="1:27" s="207" customFormat="1" ht="13.2">
      <c r="A82" s="244" t="s">
        <v>1052</v>
      </c>
      <c r="B82" s="244" t="s">
        <v>1056</v>
      </c>
      <c r="C82" s="244" t="s">
        <v>64</v>
      </c>
      <c r="D82" s="152">
        <f>IF(AND(D$6&gt;=INDEX('1. Assumptions'!$G:$G,MATCH("Start Fundraising Month",'1. Assumptions'!$B:$B,0))+INDEX('1. Assumptions'!$G:$G,MATCH("Fundraising Process Length",'1. Assumptions'!$B:$B,0)),D14&gt;=INDEX('1. Assumptions'!$G:$G,MATCH("More Credible Series A ARR Range ($)",'1. Assumptions'!$B:$B,0)),COUNTIF($C$82:C82,"&gt;0")=0),INDEX('1. Assumptions'!$G:$G,MATCH("Target Raise Amount ($)",'1. Assumptions'!$B:$B,0)),0)</f>
        <v>0</v>
      </c>
      <c r="E82" s="152">
        <f>IF(AND(E$6&gt;=INDEX('1. Assumptions'!$G:$G,MATCH("Start Fundraising Month",'1. Assumptions'!$B:$B,0))+INDEX('1. Assumptions'!$G:$G,MATCH("Fundraising Process Length",'1. Assumptions'!$B:$B,0)),E14&gt;=INDEX('1. Assumptions'!$G:$G,MATCH("More Credible Series A ARR Range ($)",'1. Assumptions'!$B:$B,0)),COUNTIF($C$82:D82,"&gt;0")=0),INDEX('1. Assumptions'!$G:$G,MATCH("Target Raise Amount ($)",'1. Assumptions'!$B:$B,0)),0)</f>
        <v>0</v>
      </c>
      <c r="F82" s="152">
        <f>IF(AND(F$6&gt;=INDEX('1. Assumptions'!$G:$G,MATCH("Start Fundraising Month",'1. Assumptions'!$B:$B,0))+INDEX('1. Assumptions'!$G:$G,MATCH("Fundraising Process Length",'1. Assumptions'!$B:$B,0)),F14&gt;=INDEX('1. Assumptions'!$G:$G,MATCH("More Credible Series A ARR Range ($)",'1. Assumptions'!$B:$B,0)),COUNTIF($C$82:E82,"&gt;0")=0),INDEX('1. Assumptions'!$G:$G,MATCH("Target Raise Amount ($)",'1. Assumptions'!$B:$B,0)),0)</f>
        <v>0</v>
      </c>
      <c r="G82" s="152">
        <f>IF(AND(G$6&gt;=INDEX('1. Assumptions'!$G:$G,MATCH("Start Fundraising Month",'1. Assumptions'!$B:$B,0))+INDEX('1. Assumptions'!$G:$G,MATCH("Fundraising Process Length",'1. Assumptions'!$B:$B,0)),G14&gt;=INDEX('1. Assumptions'!$G:$G,MATCH("More Credible Series A ARR Range ($)",'1. Assumptions'!$B:$B,0)),COUNTIF($C$82:F82,"&gt;0")=0),INDEX('1. Assumptions'!$G:$G,MATCH("Target Raise Amount ($)",'1. Assumptions'!$B:$B,0)),0)</f>
        <v>0</v>
      </c>
      <c r="H82" s="152">
        <f>IF(AND(H$6&gt;=INDEX('1. Assumptions'!$G:$G,MATCH("Start Fundraising Month",'1. Assumptions'!$B:$B,0))+INDEX('1. Assumptions'!$G:$G,MATCH("Fundraising Process Length",'1. Assumptions'!$B:$B,0)),H14&gt;=INDEX('1. Assumptions'!$G:$G,MATCH("More Credible Series A ARR Range ($)",'1. Assumptions'!$B:$B,0)),COUNTIF($C$82:G82,"&gt;0")=0),INDEX('1. Assumptions'!$G:$G,MATCH("Target Raise Amount ($)",'1. Assumptions'!$B:$B,0)),0)</f>
        <v>0</v>
      </c>
      <c r="I82" s="152">
        <f>IF(AND(I$6&gt;=INDEX('1. Assumptions'!$G:$G,MATCH("Start Fundraising Month",'1. Assumptions'!$B:$B,0))+INDEX('1. Assumptions'!$G:$G,MATCH("Fundraising Process Length",'1. Assumptions'!$B:$B,0)),I14&gt;=INDEX('1. Assumptions'!$G:$G,MATCH("More Credible Series A ARR Range ($)",'1. Assumptions'!$B:$B,0)),COUNTIF($C$82:H82,"&gt;0")=0),INDEX('1. Assumptions'!$G:$G,MATCH("Target Raise Amount ($)",'1. Assumptions'!$B:$B,0)),0)</f>
        <v>0</v>
      </c>
      <c r="J82" s="152">
        <f>IF(AND(J$6&gt;=INDEX('1. Assumptions'!$G:$G,MATCH("Start Fundraising Month",'1. Assumptions'!$B:$B,0))+INDEX('1. Assumptions'!$G:$G,MATCH("Fundraising Process Length",'1. Assumptions'!$B:$B,0)),J14&gt;=INDEX('1. Assumptions'!$G:$G,MATCH("More Credible Series A ARR Range ($)",'1. Assumptions'!$B:$B,0)),COUNTIF($C$82:I82,"&gt;0")=0),INDEX('1. Assumptions'!$G:$G,MATCH("Target Raise Amount ($)",'1. Assumptions'!$B:$B,0)),0)</f>
        <v>0</v>
      </c>
      <c r="K82" s="152">
        <f>IF(AND(K$6&gt;=INDEX('1. Assumptions'!$G:$G,MATCH("Start Fundraising Month",'1. Assumptions'!$B:$B,0))+INDEX('1. Assumptions'!$G:$G,MATCH("Fundraising Process Length",'1. Assumptions'!$B:$B,0)),K14&gt;=INDEX('1. Assumptions'!$G:$G,MATCH("More Credible Series A ARR Range ($)",'1. Assumptions'!$B:$B,0)),COUNTIF($C$82:J82,"&gt;0")=0),INDEX('1. Assumptions'!$G:$G,MATCH("Target Raise Amount ($)",'1. Assumptions'!$B:$B,0)),0)</f>
        <v>0</v>
      </c>
      <c r="L82" s="152">
        <f>IF(AND(L$6&gt;=INDEX('1. Assumptions'!$G:$G,MATCH("Start Fundraising Month",'1. Assumptions'!$B:$B,0))+INDEX('1. Assumptions'!$G:$G,MATCH("Fundraising Process Length",'1. Assumptions'!$B:$B,0)),L14&gt;=INDEX('1. Assumptions'!$G:$G,MATCH("More Credible Series A ARR Range ($)",'1. Assumptions'!$B:$B,0)),COUNTIF($C$82:K82,"&gt;0")=0),INDEX('1. Assumptions'!$G:$G,MATCH("Target Raise Amount ($)",'1. Assumptions'!$B:$B,0)),0)</f>
        <v>0</v>
      </c>
      <c r="M82" s="152">
        <f>IF(AND(M$6&gt;=INDEX('1. Assumptions'!$G:$G,MATCH("Start Fundraising Month",'1. Assumptions'!$B:$B,0))+INDEX('1. Assumptions'!$G:$G,MATCH("Fundraising Process Length",'1. Assumptions'!$B:$B,0)),M14&gt;=INDEX('1. Assumptions'!$G:$G,MATCH("More Credible Series A ARR Range ($)",'1. Assumptions'!$B:$B,0)),COUNTIF($C$82:L82,"&gt;0")=0),INDEX('1. Assumptions'!$G:$G,MATCH("Target Raise Amount ($)",'1. Assumptions'!$B:$B,0)),0)</f>
        <v>0</v>
      </c>
      <c r="N82" s="152">
        <f>IF(AND(N$6&gt;=INDEX('1. Assumptions'!$G:$G,MATCH("Start Fundraising Month",'1. Assumptions'!$B:$B,0))+INDEX('1. Assumptions'!$G:$G,MATCH("Fundraising Process Length",'1. Assumptions'!$B:$B,0)),N14&gt;=INDEX('1. Assumptions'!$G:$G,MATCH("More Credible Series A ARR Range ($)",'1. Assumptions'!$B:$B,0)),COUNTIF($C$82:M82,"&gt;0")=0),INDEX('1. Assumptions'!$G:$G,MATCH("Target Raise Amount ($)",'1. Assumptions'!$B:$B,0)),0)</f>
        <v>0</v>
      </c>
      <c r="O82" s="152">
        <f>IF(AND(O$6&gt;=INDEX('1. Assumptions'!$G:$G,MATCH("Start Fundraising Month",'1. Assumptions'!$B:$B,0))+INDEX('1. Assumptions'!$G:$G,MATCH("Fundraising Process Length",'1. Assumptions'!$B:$B,0)),O14&gt;=INDEX('1. Assumptions'!$G:$G,MATCH("More Credible Series A ARR Range ($)",'1. Assumptions'!$B:$B,0)),COUNTIF($C$82:N82,"&gt;0")=0),INDEX('1. Assumptions'!$G:$G,MATCH("Target Raise Amount ($)",'1. Assumptions'!$B:$B,0)),0)</f>
        <v>0</v>
      </c>
      <c r="P82" s="152">
        <f>IF(AND(P$6&gt;=INDEX('1. Assumptions'!$G:$G,MATCH("Start Fundraising Month",'1. Assumptions'!$B:$B,0))+INDEX('1. Assumptions'!$G:$G,MATCH("Fundraising Process Length",'1. Assumptions'!$B:$B,0)),P14&gt;=INDEX('1. Assumptions'!$G:$G,MATCH("More Credible Series A ARR Range ($)",'1. Assumptions'!$B:$B,0)),COUNTIF($C$82:O82,"&gt;0")=0),INDEX('1. Assumptions'!$G:$G,MATCH("Target Raise Amount ($)",'1. Assumptions'!$B:$B,0)),0)</f>
        <v>0</v>
      </c>
      <c r="Q82" s="152">
        <f>IF(AND(Q$6&gt;=INDEX('1. Assumptions'!$G:$G,MATCH("Start Fundraising Month",'1. Assumptions'!$B:$B,0))+INDEX('1. Assumptions'!$G:$G,MATCH("Fundraising Process Length",'1. Assumptions'!$B:$B,0)),Q14&gt;=INDEX('1. Assumptions'!$G:$G,MATCH("More Credible Series A ARR Range ($)",'1. Assumptions'!$B:$B,0)),COUNTIF($C$82:P82,"&gt;0")=0),INDEX('1. Assumptions'!$G:$G,MATCH("Target Raise Amount ($)",'1. Assumptions'!$B:$B,0)),0)</f>
        <v>0</v>
      </c>
      <c r="R82" s="152">
        <f>IF(AND(R$6&gt;=INDEX('1. Assumptions'!$G:$G,MATCH("Start Fundraising Month",'1. Assumptions'!$B:$B,0))+INDEX('1. Assumptions'!$G:$G,MATCH("Fundraising Process Length",'1. Assumptions'!$B:$B,0)),R14&gt;=INDEX('1. Assumptions'!$G:$G,MATCH("More Credible Series A ARR Range ($)",'1. Assumptions'!$B:$B,0)),COUNTIF($C$82:Q82,"&gt;0")=0),INDEX('1. Assumptions'!$G:$G,MATCH("Target Raise Amount ($)",'1. Assumptions'!$B:$B,0)),0)</f>
        <v>0</v>
      </c>
      <c r="S82" s="152">
        <f>IF(AND(S$6&gt;=INDEX('1. Assumptions'!$G:$G,MATCH("Start Fundraising Month",'1. Assumptions'!$B:$B,0))+INDEX('1. Assumptions'!$G:$G,MATCH("Fundraising Process Length",'1. Assumptions'!$B:$B,0)),S14&gt;=INDEX('1. Assumptions'!$G:$G,MATCH("More Credible Series A ARR Range ($)",'1. Assumptions'!$B:$B,0)),COUNTIF($C$82:R82,"&gt;0")=0),INDEX('1. Assumptions'!$G:$G,MATCH("Target Raise Amount ($)",'1. Assumptions'!$B:$B,0)),0)</f>
        <v>0</v>
      </c>
      <c r="T82" s="152">
        <f>IF(AND(T$6&gt;=INDEX('1. Assumptions'!$G:$G,MATCH("Start Fundraising Month",'1. Assumptions'!$B:$B,0))+INDEX('1. Assumptions'!$G:$G,MATCH("Fundraising Process Length",'1. Assumptions'!$B:$B,0)),T14&gt;=INDEX('1. Assumptions'!$G:$G,MATCH("More Credible Series A ARR Range ($)",'1. Assumptions'!$B:$B,0)),COUNTIF($C$82:S82,"&gt;0")=0),INDEX('1. Assumptions'!$G:$G,MATCH("Target Raise Amount ($)",'1. Assumptions'!$B:$B,0)),0)</f>
        <v>0</v>
      </c>
      <c r="U82" s="152">
        <f>IF(AND(U$6&gt;=INDEX('1. Assumptions'!$G:$G,MATCH("Start Fundraising Month",'1. Assumptions'!$B:$B,0))+INDEX('1. Assumptions'!$G:$G,MATCH("Fundraising Process Length",'1. Assumptions'!$B:$B,0)),U14&gt;=INDEX('1. Assumptions'!$G:$G,MATCH("More Credible Series A ARR Range ($)",'1. Assumptions'!$B:$B,0)),COUNTIF($C$82:T82,"&gt;0")=0),INDEX('1. Assumptions'!$G:$G,MATCH("Target Raise Amount ($)",'1. Assumptions'!$B:$B,0)),0)</f>
        <v>0</v>
      </c>
      <c r="V82" s="152">
        <f>IF(AND(V$6&gt;=INDEX('1. Assumptions'!$G:$G,MATCH("Start Fundraising Month",'1. Assumptions'!$B:$B,0))+INDEX('1. Assumptions'!$G:$G,MATCH("Fundraising Process Length",'1. Assumptions'!$B:$B,0)),V14&gt;=INDEX('1. Assumptions'!$G:$G,MATCH("More Credible Series A ARR Range ($)",'1. Assumptions'!$B:$B,0)),COUNTIF($C$82:U82,"&gt;0")=0),INDEX('1. Assumptions'!$G:$G,MATCH("Target Raise Amount ($)",'1. Assumptions'!$B:$B,0)),0)</f>
        <v>0</v>
      </c>
      <c r="W82" s="152">
        <f>IF(AND(W$6&gt;=INDEX('1. Assumptions'!$G:$G,MATCH("Start Fundraising Month",'1. Assumptions'!$B:$B,0))+INDEX('1. Assumptions'!$G:$G,MATCH("Fundraising Process Length",'1. Assumptions'!$B:$B,0)),W14&gt;=INDEX('1. Assumptions'!$G:$G,MATCH("More Credible Series A ARR Range ($)",'1. Assumptions'!$B:$B,0)),COUNTIF($C$82:V82,"&gt;0")=0),INDEX('1. Assumptions'!$G:$G,MATCH("Target Raise Amount ($)",'1. Assumptions'!$B:$B,0)),0)</f>
        <v>0</v>
      </c>
      <c r="X82" s="152">
        <f>IF(AND(X$6&gt;=INDEX('1. Assumptions'!$G:$G,MATCH("Start Fundraising Month",'1. Assumptions'!$B:$B,0))+INDEX('1. Assumptions'!$G:$G,MATCH("Fundraising Process Length",'1. Assumptions'!$B:$B,0)),X14&gt;=INDEX('1. Assumptions'!$G:$G,MATCH("More Credible Series A ARR Range ($)",'1. Assumptions'!$B:$B,0)),COUNTIF($C$82:W82,"&gt;0")=0),INDEX('1. Assumptions'!$G:$G,MATCH("Target Raise Amount ($)",'1. Assumptions'!$B:$B,0)),0)</f>
        <v>0</v>
      </c>
      <c r="Y82" s="152">
        <f>IF(AND(Y$6&gt;=INDEX('1. Assumptions'!$G:$G,MATCH("Start Fundraising Month",'1. Assumptions'!$B:$B,0))+INDEX('1. Assumptions'!$G:$G,MATCH("Fundraising Process Length",'1. Assumptions'!$B:$B,0)),Y14&gt;=INDEX('1. Assumptions'!$G:$G,MATCH("More Credible Series A ARR Range ($)",'1. Assumptions'!$B:$B,0)),COUNTIF($C$82:X82,"&gt;0")=0),INDEX('1. Assumptions'!$G:$G,MATCH("Target Raise Amount ($)",'1. Assumptions'!$B:$B,0)),0)</f>
        <v>0</v>
      </c>
      <c r="Z82" s="248">
        <f>IF(AND(Z$6&gt;=INDEX('1. Assumptions'!$G:$G,MATCH("Start Fundraising Month",'1. Assumptions'!$B:$B,0))+INDEX('1. Assumptions'!$G:$G,MATCH("Fundraising Process Length",'1. Assumptions'!$B:$B,0)),Z14&gt;=INDEX('1. Assumptions'!$G:$G,MATCH("More Credible Series A ARR Range ($)",'1. Assumptions'!$B:$B,0)),COUNTIF($C$82:Y82,"&gt;0")=0),INDEX('1. Assumptions'!$G:$G,MATCH("Target Raise Amount ($)",'1. Assumptions'!$B:$B,0)),0)</f>
        <v>5000000</v>
      </c>
      <c r="AA82" s="152">
        <f>IF(AND(AA$6&gt;=INDEX('1. Assumptions'!$G:$G,MATCH("Start Fundraising Month",'1. Assumptions'!$B:$B,0))+INDEX('1. Assumptions'!$G:$G,MATCH("Fundraising Process Length",'1. Assumptions'!$B:$B,0)),AA14&gt;=INDEX('1. Assumptions'!$G:$G,MATCH("More Credible Series A ARR Range ($)",'1. Assumptions'!$B:$B,0)),COUNTIF($C$82:Z82,"&gt;0")=0),INDEX('1. Assumptions'!$G:$G,MATCH("Target Raise Amount ($)",'1. Assumptions'!$B:$B,0)),0)</f>
        <v>0</v>
      </c>
    </row>
    <row r="83" spans="1:27" s="207" customFormat="1" ht="13.2">
      <c r="A83" s="244" t="s">
        <v>1052</v>
      </c>
      <c r="B83" s="244" t="s">
        <v>1057</v>
      </c>
      <c r="C83" s="244" t="s">
        <v>64</v>
      </c>
      <c r="D83" s="248">
        <f>D80+D82</f>
        <v>12335.462116666677</v>
      </c>
      <c r="E83" s="248">
        <f t="shared" ref="E83:AA83" si="12">E80+E82</f>
        <v>-4138.7377832083366</v>
      </c>
      <c r="F83" s="248">
        <f t="shared" si="12"/>
        <v>-18172.971500578569</v>
      </c>
      <c r="G83" s="248">
        <f t="shared" si="12"/>
        <v>-32121.678602091284</v>
      </c>
      <c r="H83" s="248">
        <f t="shared" si="12"/>
        <v>-40959.289702403141</v>
      </c>
      <c r="I83" s="248">
        <f t="shared" si="12"/>
        <v>-55380.467801212377</v>
      </c>
      <c r="J83" s="248">
        <f t="shared" si="12"/>
        <v>-55617.875547749652</v>
      </c>
      <c r="K83" s="248">
        <f t="shared" si="12"/>
        <v>-61268.284865899986</v>
      </c>
      <c r="L83" s="248">
        <f t="shared" si="12"/>
        <v>-72136.389741511666</v>
      </c>
      <c r="M83" s="248">
        <f t="shared" si="12"/>
        <v>-82046.388192186365</v>
      </c>
      <c r="N83" s="248">
        <f t="shared" si="12"/>
        <v>-78516.594069449769</v>
      </c>
      <c r="O83" s="248">
        <f t="shared" si="12"/>
        <v>-88792.522086999728</v>
      </c>
      <c r="P83" s="248">
        <f t="shared" si="12"/>
        <v>-85504.246446573408</v>
      </c>
      <c r="Q83" s="248">
        <f t="shared" si="12"/>
        <v>-94945.579194771009</v>
      </c>
      <c r="R83" s="248">
        <f t="shared" si="12"/>
        <v>-89740.343616621802</v>
      </c>
      <c r="S83" s="248">
        <f t="shared" si="12"/>
        <v>-92675.297131894404</v>
      </c>
      <c r="T83" s="248">
        <f t="shared" si="12"/>
        <v>-86366.363868942179</v>
      </c>
      <c r="U83" s="248">
        <f t="shared" si="12"/>
        <v>-79424.837447344151</v>
      </c>
      <c r="V83" s="248">
        <f t="shared" si="12"/>
        <v>-71790.214672000497</v>
      </c>
      <c r="W83" s="248">
        <f t="shared" si="12"/>
        <v>-79562.98752319772</v>
      </c>
      <c r="X83" s="248">
        <f t="shared" si="12"/>
        <v>-70337.387374201266</v>
      </c>
      <c r="Y83" s="248">
        <f t="shared" si="12"/>
        <v>-60200.741795623791</v>
      </c>
      <c r="Z83" s="248">
        <f t="shared" si="12"/>
        <v>4950933.8960418571</v>
      </c>
      <c r="AA83" s="248">
        <f t="shared" si="12"/>
        <v>-36838.147528862493</v>
      </c>
    </row>
    <row r="84" spans="1:27" s="207" customFormat="1" ht="13.2">
      <c r="A84" s="244" t="s">
        <v>1052</v>
      </c>
      <c r="B84" s="244" t="s">
        <v>1058</v>
      </c>
      <c r="C84" s="244" t="s">
        <v>64</v>
      </c>
      <c r="D84" s="154">
        <f>D79+D83</f>
        <v>1512335.4621166666</v>
      </c>
      <c r="E84" s="154">
        <f t="shared" ref="E84:AA84" si="13">E79+E83</f>
        <v>1508196.7243334583</v>
      </c>
      <c r="F84" s="154">
        <f t="shared" si="13"/>
        <v>1490023.7528328798</v>
      </c>
      <c r="G84" s="154">
        <f t="shared" si="13"/>
        <v>1457902.0742307885</v>
      </c>
      <c r="H84" s="154">
        <f t="shared" si="13"/>
        <v>1416942.7845283854</v>
      </c>
      <c r="I84" s="154">
        <f t="shared" si="13"/>
        <v>1361562.316727173</v>
      </c>
      <c r="J84" s="154">
        <f t="shared" si="13"/>
        <v>1305944.4411794234</v>
      </c>
      <c r="K84" s="154">
        <f t="shared" si="13"/>
        <v>1244676.1563135234</v>
      </c>
      <c r="L84" s="154">
        <f t="shared" si="13"/>
        <v>1172539.7665720116</v>
      </c>
      <c r="M84" s="154">
        <f t="shared" si="13"/>
        <v>1090493.3783798253</v>
      </c>
      <c r="N84" s="154">
        <f t="shared" si="13"/>
        <v>1011976.7843103755</v>
      </c>
      <c r="O84" s="154">
        <f t="shared" si="13"/>
        <v>923184.26222337573</v>
      </c>
      <c r="P84" s="154">
        <f t="shared" si="13"/>
        <v>837680.01577680232</v>
      </c>
      <c r="Q84" s="154">
        <f t="shared" si="13"/>
        <v>742734.43658203131</v>
      </c>
      <c r="R84" s="154">
        <f t="shared" si="13"/>
        <v>652994.09296540951</v>
      </c>
      <c r="S84" s="154">
        <f t="shared" si="13"/>
        <v>560318.79583351512</v>
      </c>
      <c r="T84" s="154">
        <f t="shared" si="13"/>
        <v>473952.43196457293</v>
      </c>
      <c r="U84" s="154">
        <f t="shared" si="13"/>
        <v>394527.59451722878</v>
      </c>
      <c r="V84" s="154">
        <f t="shared" si="13"/>
        <v>322737.37984522828</v>
      </c>
      <c r="W84" s="154">
        <f t="shared" si="13"/>
        <v>243174.39232203056</v>
      </c>
      <c r="X84" s="154">
        <f t="shared" si="13"/>
        <v>172837.00494782929</v>
      </c>
      <c r="Y84" s="154">
        <f t="shared" si="13"/>
        <v>112636.2631522055</v>
      </c>
      <c r="Z84" s="154">
        <f t="shared" si="13"/>
        <v>5063570.1591940625</v>
      </c>
      <c r="AA84" s="154">
        <f t="shared" si="13"/>
        <v>5026732.0116651999</v>
      </c>
    </row>
    <row r="85" spans="1:27" s="207" customFormat="1" ht="13.2">
      <c r="A85" s="244" t="s">
        <v>1052</v>
      </c>
      <c r="B85" s="244" t="s">
        <v>1059</v>
      </c>
      <c r="C85" s="244" t="s">
        <v>47</v>
      </c>
      <c r="D85" s="254" t="str">
        <f>IF(D81&gt;0,D84/D81,"No Burn")</f>
        <v>No Burn</v>
      </c>
      <c r="E85" s="257">
        <f t="shared" ref="E85:AA85" si="14">IF(E81&gt;0,E84/E81,"No Burn")</f>
        <v>364.40982814917766</v>
      </c>
      <c r="F85" s="257">
        <f t="shared" si="14"/>
        <v>81.991200656724857</v>
      </c>
      <c r="G85" s="257">
        <f t="shared" si="14"/>
        <v>45.386858273834783</v>
      </c>
      <c r="H85" s="257">
        <f t="shared" si="14"/>
        <v>34.593929602379099</v>
      </c>
      <c r="I85" s="257">
        <f t="shared" si="14"/>
        <v>24.585605192330391</v>
      </c>
      <c r="J85" s="257">
        <f t="shared" si="14"/>
        <v>23.480660279054167</v>
      </c>
      <c r="K85" s="257">
        <f t="shared" si="14"/>
        <v>20.315178710123668</v>
      </c>
      <c r="L85" s="257">
        <f t="shared" si="14"/>
        <v>16.254483635424588</v>
      </c>
      <c r="M85" s="257">
        <f t="shared" si="14"/>
        <v>13.291180786964583</v>
      </c>
      <c r="N85" s="257">
        <f t="shared" si="14"/>
        <v>12.88869946925179</v>
      </c>
      <c r="O85" s="257">
        <f t="shared" si="14"/>
        <v>10.397094716138723</v>
      </c>
      <c r="P85" s="257">
        <f t="shared" si="14"/>
        <v>9.7969405098519804</v>
      </c>
      <c r="Q85" s="257">
        <f t="shared" si="14"/>
        <v>7.8227384874696337</v>
      </c>
      <c r="R85" s="257">
        <f t="shared" si="14"/>
        <v>7.2764830916522278</v>
      </c>
      <c r="S85" s="257">
        <f t="shared" si="14"/>
        <v>6.0460426151758213</v>
      </c>
      <c r="T85" s="257">
        <f t="shared" si="14"/>
        <v>5.4876969543812049</v>
      </c>
      <c r="U85" s="257">
        <f t="shared" si="14"/>
        <v>4.9673075475764943</v>
      </c>
      <c r="V85" s="257">
        <f t="shared" si="14"/>
        <v>4.4955622617897228</v>
      </c>
      <c r="W85" s="257">
        <f t="shared" si="14"/>
        <v>3.0563758336893723</v>
      </c>
      <c r="X85" s="257">
        <f t="shared" si="14"/>
        <v>2.4572565373848874</v>
      </c>
      <c r="Y85" s="257">
        <f t="shared" si="14"/>
        <v>1.8710112166822741</v>
      </c>
      <c r="Z85" s="257">
        <f t="shared" si="14"/>
        <v>103.19894490733734</v>
      </c>
      <c r="AA85" s="257">
        <f t="shared" si="14"/>
        <v>136.4545274087624</v>
      </c>
    </row>
    <row r="86" spans="1:27" s="207" customFormat="1" ht="13.2">
      <c r="A86" s="244"/>
      <c r="B86" s="244"/>
      <c r="C86" s="244"/>
      <c r="E86" s="258"/>
      <c r="F86" s="258"/>
      <c r="G86" s="258"/>
      <c r="H86" s="258"/>
      <c r="I86" s="258"/>
      <c r="J86" s="258"/>
      <c r="K86" s="258"/>
      <c r="L86" s="258"/>
      <c r="M86" s="258"/>
      <c r="N86" s="258"/>
      <c r="O86" s="258"/>
      <c r="P86" s="258"/>
      <c r="Q86" s="258"/>
      <c r="R86" s="258"/>
      <c r="S86" s="258"/>
      <c r="T86" s="258"/>
      <c r="U86" s="258"/>
      <c r="V86" s="258"/>
      <c r="W86" s="258"/>
      <c r="X86" s="258"/>
      <c r="Y86" s="258"/>
      <c r="Z86" s="258"/>
      <c r="AA86" s="258"/>
    </row>
    <row r="87" spans="1:27" s="207" customFormat="1" ht="13.2">
      <c r="A87" s="242" t="s">
        <v>1060</v>
      </c>
      <c r="B87" s="243"/>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row>
    <row r="88" spans="1:27" s="207" customFormat="1" ht="13.2">
      <c r="A88" s="244" t="s">
        <v>1061</v>
      </c>
      <c r="B88" s="244" t="s">
        <v>1062</v>
      </c>
      <c r="C88" s="244" t="s">
        <v>39</v>
      </c>
      <c r="D88" s="245" t="str">
        <f>IF(D85="No Burn","Green",IF(D85&lt;VALUE(SUBSTITUTE(INDEX('1. Assumptions'!$G:$G,MATCH("Runway Red Threshold",'1. Assumptions'!$B:$B,0)),"&lt;","")),"Red",IF(D85&lt;=VALUE(RIGHT(SUBSTITUTE(INDEX('1. Assumptions'!$G:$G,MATCH("Runway Amber Threshold",'1. Assumptions'!$B:$B,0)),"–","-"),2)),"Amber","Green")))</f>
        <v>Green</v>
      </c>
      <c r="E88" s="245" t="str">
        <f>IF(E85="No Burn","Green",IF(E85&lt;VALUE(SUBSTITUTE(INDEX('1. Assumptions'!$G:$G,MATCH("Runway Red Threshold",'1. Assumptions'!$B:$B,0)),"&lt;","")),"Red",IF(E85&lt;=VALUE(RIGHT(SUBSTITUTE(INDEX('1. Assumptions'!$G:$G,MATCH("Runway Amber Threshold",'1. Assumptions'!$B:$B,0)),"–","-"),2)),"Amber","Green")))</f>
        <v>Green</v>
      </c>
      <c r="F88" s="245" t="str">
        <f>IF(F85="No Burn","Green",IF(F85&lt;VALUE(SUBSTITUTE(INDEX('1. Assumptions'!$G:$G,MATCH("Runway Red Threshold",'1. Assumptions'!$B:$B,0)),"&lt;","")),"Red",IF(F85&lt;=VALUE(RIGHT(SUBSTITUTE(INDEX('1. Assumptions'!$G:$G,MATCH("Runway Amber Threshold",'1. Assumptions'!$B:$B,0)),"–","-"),2)),"Amber","Green")))</f>
        <v>Green</v>
      </c>
      <c r="G88" s="245" t="str">
        <f>IF(G85="No Burn","Green",IF(G85&lt;VALUE(SUBSTITUTE(INDEX('1. Assumptions'!$G:$G,MATCH("Runway Red Threshold",'1. Assumptions'!$B:$B,0)),"&lt;","")),"Red",IF(G85&lt;=VALUE(RIGHT(SUBSTITUTE(INDEX('1. Assumptions'!$G:$G,MATCH("Runway Amber Threshold",'1. Assumptions'!$B:$B,0)),"–","-"),2)),"Amber","Green")))</f>
        <v>Green</v>
      </c>
      <c r="H88" s="245" t="str">
        <f>IF(H85="No Burn","Green",IF(H85&lt;VALUE(SUBSTITUTE(INDEX('1. Assumptions'!$G:$G,MATCH("Runway Red Threshold",'1. Assumptions'!$B:$B,0)),"&lt;","")),"Red",IF(H85&lt;=VALUE(RIGHT(SUBSTITUTE(INDEX('1. Assumptions'!$G:$G,MATCH("Runway Amber Threshold",'1. Assumptions'!$B:$B,0)),"–","-"),2)),"Amber","Green")))</f>
        <v>Green</v>
      </c>
      <c r="I88" s="245" t="str">
        <f>IF(I85="No Burn","Green",IF(I85&lt;VALUE(SUBSTITUTE(INDEX('1. Assumptions'!$G:$G,MATCH("Runway Red Threshold",'1. Assumptions'!$B:$B,0)),"&lt;","")),"Red",IF(I85&lt;=VALUE(RIGHT(SUBSTITUTE(INDEX('1. Assumptions'!$G:$G,MATCH("Runway Amber Threshold",'1. Assumptions'!$B:$B,0)),"–","-"),2)),"Amber","Green")))</f>
        <v>Green</v>
      </c>
      <c r="J88" s="245" t="str">
        <f>IF(J85="No Burn","Green",IF(J85&lt;VALUE(SUBSTITUTE(INDEX('1. Assumptions'!$G:$G,MATCH("Runway Red Threshold",'1. Assumptions'!$B:$B,0)),"&lt;","")),"Red",IF(J85&lt;=VALUE(RIGHT(SUBSTITUTE(INDEX('1. Assumptions'!$G:$G,MATCH("Runway Amber Threshold",'1. Assumptions'!$B:$B,0)),"–","-"),2)),"Amber","Green")))</f>
        <v>Green</v>
      </c>
      <c r="K88" s="245" t="str">
        <f>IF(K85="No Burn","Green",IF(K85&lt;VALUE(SUBSTITUTE(INDEX('1. Assumptions'!$G:$G,MATCH("Runway Red Threshold",'1. Assumptions'!$B:$B,0)),"&lt;","")),"Red",IF(K85&lt;=VALUE(RIGHT(SUBSTITUTE(INDEX('1. Assumptions'!$G:$G,MATCH("Runway Amber Threshold",'1. Assumptions'!$B:$B,0)),"–","-"),2)),"Amber","Green")))</f>
        <v>Green</v>
      </c>
      <c r="L88" s="245" t="str">
        <f>IF(L85="No Burn","Green",IF(L85&lt;VALUE(SUBSTITUTE(INDEX('1. Assumptions'!$G:$G,MATCH("Runway Red Threshold",'1. Assumptions'!$B:$B,0)),"&lt;","")),"Red",IF(L85&lt;=VALUE(RIGHT(SUBSTITUTE(INDEX('1. Assumptions'!$G:$G,MATCH("Runway Amber Threshold",'1. Assumptions'!$B:$B,0)),"–","-"),2)),"Amber","Green")))</f>
        <v>Green</v>
      </c>
      <c r="M88" s="245" t="str">
        <f>IF(M85="No Burn","Green",IF(M85&lt;VALUE(SUBSTITUTE(INDEX('1. Assumptions'!$G:$G,MATCH("Runway Red Threshold",'1. Assumptions'!$B:$B,0)),"&lt;","")),"Red",IF(M85&lt;=VALUE(RIGHT(SUBSTITUTE(INDEX('1. Assumptions'!$G:$G,MATCH("Runway Amber Threshold",'1. Assumptions'!$B:$B,0)),"–","-"),2)),"Amber","Green")))</f>
        <v>Green</v>
      </c>
      <c r="N88" s="245" t="str">
        <f>IF(N85="No Burn","Green",IF(N85&lt;VALUE(SUBSTITUTE(INDEX('1. Assumptions'!$G:$G,MATCH("Runway Red Threshold",'1. Assumptions'!$B:$B,0)),"&lt;","")),"Red",IF(N85&lt;=VALUE(RIGHT(SUBSTITUTE(INDEX('1. Assumptions'!$G:$G,MATCH("Runway Amber Threshold",'1. Assumptions'!$B:$B,0)),"–","-"),2)),"Amber","Green")))</f>
        <v>Green</v>
      </c>
      <c r="O88" s="245" t="str">
        <f>IF(O85="No Burn","Green",IF(O85&lt;VALUE(SUBSTITUTE(INDEX('1. Assumptions'!$G:$G,MATCH("Runway Red Threshold",'1. Assumptions'!$B:$B,0)),"&lt;","")),"Red",IF(O85&lt;=VALUE(RIGHT(SUBSTITUTE(INDEX('1. Assumptions'!$G:$G,MATCH("Runway Amber Threshold",'1. Assumptions'!$B:$B,0)),"–","-"),2)),"Amber","Green")))</f>
        <v>Amber</v>
      </c>
      <c r="P88" s="245" t="str">
        <f>IF(P85="No Burn","Green",IF(P85&lt;VALUE(SUBSTITUTE(INDEX('1. Assumptions'!$G:$G,MATCH("Runway Red Threshold",'1. Assumptions'!$B:$B,0)),"&lt;","")),"Red",IF(P85&lt;=VALUE(RIGHT(SUBSTITUTE(INDEX('1. Assumptions'!$G:$G,MATCH("Runway Amber Threshold",'1. Assumptions'!$B:$B,0)),"–","-"),2)),"Amber","Green")))</f>
        <v>Amber</v>
      </c>
      <c r="Q88" s="245" t="str">
        <f>IF(Q85="No Burn","Green",IF(Q85&lt;VALUE(SUBSTITUTE(INDEX('1. Assumptions'!$G:$G,MATCH("Runway Red Threshold",'1. Assumptions'!$B:$B,0)),"&lt;","")),"Red",IF(Q85&lt;=VALUE(RIGHT(SUBSTITUTE(INDEX('1. Assumptions'!$G:$G,MATCH("Runway Amber Threshold",'1. Assumptions'!$B:$B,0)),"–","-"),2)),"Amber","Green")))</f>
        <v>Amber</v>
      </c>
      <c r="R88" s="245" t="str">
        <f>IF(R85="No Burn","Green",IF(R85&lt;VALUE(SUBSTITUTE(INDEX('1. Assumptions'!$G:$G,MATCH("Runway Red Threshold",'1. Assumptions'!$B:$B,0)),"&lt;","")),"Red",IF(R85&lt;=VALUE(RIGHT(SUBSTITUTE(INDEX('1. Assumptions'!$G:$G,MATCH("Runway Amber Threshold",'1. Assumptions'!$B:$B,0)),"–","-"),2)),"Amber","Green")))</f>
        <v>Amber</v>
      </c>
      <c r="S88" s="245" t="str">
        <f>IF(S85="No Burn","Green",IF(S85&lt;VALUE(SUBSTITUTE(INDEX('1. Assumptions'!$G:$G,MATCH("Runway Red Threshold",'1. Assumptions'!$B:$B,0)),"&lt;","")),"Red",IF(S85&lt;=VALUE(RIGHT(SUBSTITUTE(INDEX('1. Assumptions'!$G:$G,MATCH("Runway Amber Threshold",'1. Assumptions'!$B:$B,0)),"–","-"),2)),"Amber","Green")))</f>
        <v>Amber</v>
      </c>
      <c r="T88" s="245" t="str">
        <f>IF(T85="No Burn","Green",IF(T85&lt;VALUE(SUBSTITUTE(INDEX('1. Assumptions'!$G:$G,MATCH("Runway Red Threshold",'1. Assumptions'!$B:$B,0)),"&lt;","")),"Red",IF(T85&lt;=VALUE(RIGHT(SUBSTITUTE(INDEX('1. Assumptions'!$G:$G,MATCH("Runway Amber Threshold",'1. Assumptions'!$B:$B,0)),"–","-"),2)),"Amber","Green")))</f>
        <v>Red</v>
      </c>
      <c r="U88" s="245" t="str">
        <f>IF(U85="No Burn","Green",IF(U85&lt;VALUE(SUBSTITUTE(INDEX('1. Assumptions'!$G:$G,MATCH("Runway Red Threshold",'1. Assumptions'!$B:$B,0)),"&lt;","")),"Red",IF(U85&lt;=VALUE(RIGHT(SUBSTITUTE(INDEX('1. Assumptions'!$G:$G,MATCH("Runway Amber Threshold",'1. Assumptions'!$B:$B,0)),"–","-"),2)),"Amber","Green")))</f>
        <v>Red</v>
      </c>
      <c r="V88" s="245" t="str">
        <f>IF(V85="No Burn","Green",IF(V85&lt;VALUE(SUBSTITUTE(INDEX('1. Assumptions'!$G:$G,MATCH("Runway Red Threshold",'1. Assumptions'!$B:$B,0)),"&lt;","")),"Red",IF(V85&lt;=VALUE(RIGHT(SUBSTITUTE(INDEX('1. Assumptions'!$G:$G,MATCH("Runway Amber Threshold",'1. Assumptions'!$B:$B,0)),"–","-"),2)),"Amber","Green")))</f>
        <v>Red</v>
      </c>
      <c r="W88" s="245" t="str">
        <f>IF(W85="No Burn","Green",IF(W85&lt;VALUE(SUBSTITUTE(INDEX('1. Assumptions'!$G:$G,MATCH("Runway Red Threshold",'1. Assumptions'!$B:$B,0)),"&lt;","")),"Red",IF(W85&lt;=VALUE(RIGHT(SUBSTITUTE(INDEX('1. Assumptions'!$G:$G,MATCH("Runway Amber Threshold",'1. Assumptions'!$B:$B,0)),"–","-"),2)),"Amber","Green")))</f>
        <v>Red</v>
      </c>
      <c r="X88" s="245" t="str">
        <f>IF(X85="No Burn","Green",IF(X85&lt;VALUE(SUBSTITUTE(INDEX('1. Assumptions'!$G:$G,MATCH("Runway Red Threshold",'1. Assumptions'!$B:$B,0)),"&lt;","")),"Red",IF(X85&lt;=VALUE(RIGHT(SUBSTITUTE(INDEX('1. Assumptions'!$G:$G,MATCH("Runway Amber Threshold",'1. Assumptions'!$B:$B,0)),"–","-"),2)),"Amber","Green")))</f>
        <v>Red</v>
      </c>
      <c r="Y88" s="245" t="str">
        <f>IF(Y85="No Burn","Green",IF(Y85&lt;VALUE(SUBSTITUTE(INDEX('1. Assumptions'!$G:$G,MATCH("Runway Red Threshold",'1. Assumptions'!$B:$B,0)),"&lt;","")),"Red",IF(Y85&lt;=VALUE(RIGHT(SUBSTITUTE(INDEX('1. Assumptions'!$G:$G,MATCH("Runway Amber Threshold",'1. Assumptions'!$B:$B,0)),"–","-"),2)),"Amber","Green")))</f>
        <v>Red</v>
      </c>
      <c r="Z88" s="245" t="str">
        <f>IF(Z85="No Burn","Green",IF(Z85&lt;VALUE(SUBSTITUTE(INDEX('1. Assumptions'!$G:$G,MATCH("Runway Red Threshold",'1. Assumptions'!$B:$B,0)),"&lt;","")),"Red",IF(Z85&lt;=VALUE(RIGHT(SUBSTITUTE(INDEX('1. Assumptions'!$G:$G,MATCH("Runway Amber Threshold",'1. Assumptions'!$B:$B,0)),"–","-"),2)),"Amber","Green")))</f>
        <v>Green</v>
      </c>
      <c r="AA88" s="245" t="str">
        <f>IF(AA85="No Burn","Green",IF(AA85&lt;VALUE(SUBSTITUTE(INDEX('1. Assumptions'!$G:$G,MATCH("Runway Red Threshold",'1. Assumptions'!$B:$B,0)),"&lt;","")),"Red",IF(AA85&lt;=VALUE(RIGHT(SUBSTITUTE(INDEX('1. Assumptions'!$G:$G,MATCH("Runway Amber Threshold",'1. Assumptions'!$B:$B,0)),"–","-"),2)),"Amber","Green")))</f>
        <v>Green</v>
      </c>
    </row>
    <row r="89" spans="1:27" s="207" customFormat="1" ht="13.2">
      <c r="A89" s="244" t="s">
        <v>1061</v>
      </c>
      <c r="B89" s="244" t="s">
        <v>996</v>
      </c>
      <c r="C89" s="244" t="s">
        <v>39</v>
      </c>
      <c r="D89" s="245" t="str">
        <f>IF(OR(D14&gt;=INDEX('1. Assumptions'!$G:$G,MATCH("ARR 'Start Conversations' Milestone ($)",'1. Assumptions'!$B:$B,0)),AND(ISNUMBER(D85),D85&lt;=VALUE(RIGHT(SUBSTITUTE(INDEX('1. Assumptions'!$G:$G,MATCH("Runway Amber Threshold",'1. Assumptions'!$B:$B,0)),"–","-"),2)))),"Start Conversations","Not Yet")</f>
        <v>Not Yet</v>
      </c>
      <c r="E89" s="245" t="str">
        <f>IF(OR(E14&gt;=INDEX('1. Assumptions'!$G:$G,MATCH("ARR 'Start Conversations' Milestone ($)",'1. Assumptions'!$B:$B,0)),AND(ISNUMBER(E85),E85&lt;=VALUE(RIGHT(SUBSTITUTE(INDEX('1. Assumptions'!$G:$G,MATCH("Runway Amber Threshold",'1. Assumptions'!$B:$B,0)),"–","-"),2)))),"Start Conversations","Not Yet")</f>
        <v>Not Yet</v>
      </c>
      <c r="F89" s="245" t="str">
        <f>IF(OR(F14&gt;=INDEX('1. Assumptions'!$G:$G,MATCH("ARR 'Start Conversations' Milestone ($)",'1. Assumptions'!$B:$B,0)),AND(ISNUMBER(F85),F85&lt;=VALUE(RIGHT(SUBSTITUTE(INDEX('1. Assumptions'!$G:$G,MATCH("Runway Amber Threshold",'1. Assumptions'!$B:$B,0)),"–","-"),2)))),"Start Conversations","Not Yet")</f>
        <v>Not Yet</v>
      </c>
      <c r="G89" s="245" t="str">
        <f>IF(OR(G14&gt;=INDEX('1. Assumptions'!$G:$G,MATCH("ARR 'Start Conversations' Milestone ($)",'1. Assumptions'!$B:$B,0)),AND(ISNUMBER(G85),G85&lt;=VALUE(RIGHT(SUBSTITUTE(INDEX('1. Assumptions'!$G:$G,MATCH("Runway Amber Threshold",'1. Assumptions'!$B:$B,0)),"–","-"),2)))),"Start Conversations","Not Yet")</f>
        <v>Not Yet</v>
      </c>
      <c r="H89" s="245" t="str">
        <f>IF(OR(H14&gt;=INDEX('1. Assumptions'!$G:$G,MATCH("ARR 'Start Conversations' Milestone ($)",'1. Assumptions'!$B:$B,0)),AND(ISNUMBER(H85),H85&lt;=VALUE(RIGHT(SUBSTITUTE(INDEX('1. Assumptions'!$G:$G,MATCH("Runway Amber Threshold",'1. Assumptions'!$B:$B,0)),"–","-"),2)))),"Start Conversations","Not Yet")</f>
        <v>Not Yet</v>
      </c>
      <c r="I89" s="245" t="str">
        <f>IF(OR(I14&gt;=INDEX('1. Assumptions'!$G:$G,MATCH("ARR 'Start Conversations' Milestone ($)",'1. Assumptions'!$B:$B,0)),AND(ISNUMBER(I85),I85&lt;=VALUE(RIGHT(SUBSTITUTE(INDEX('1. Assumptions'!$G:$G,MATCH("Runway Amber Threshold",'1. Assumptions'!$B:$B,0)),"–","-"),2)))),"Start Conversations","Not Yet")</f>
        <v>Not Yet</v>
      </c>
      <c r="J89" s="245" t="str">
        <f>IF(OR(J14&gt;=INDEX('1. Assumptions'!$G:$G,MATCH("ARR 'Start Conversations' Milestone ($)",'1. Assumptions'!$B:$B,0)),AND(ISNUMBER(J85),J85&lt;=VALUE(RIGHT(SUBSTITUTE(INDEX('1. Assumptions'!$G:$G,MATCH("Runway Amber Threshold",'1. Assumptions'!$B:$B,0)),"–","-"),2)))),"Start Conversations","Not Yet")</f>
        <v>Not Yet</v>
      </c>
      <c r="K89" s="245" t="str">
        <f>IF(OR(K14&gt;=INDEX('1. Assumptions'!$G:$G,MATCH("ARR 'Start Conversations' Milestone ($)",'1. Assumptions'!$B:$B,0)),AND(ISNUMBER(K85),K85&lt;=VALUE(RIGHT(SUBSTITUTE(INDEX('1. Assumptions'!$G:$G,MATCH("Runway Amber Threshold",'1. Assumptions'!$B:$B,0)),"–","-"),2)))),"Start Conversations","Not Yet")</f>
        <v>Not Yet</v>
      </c>
      <c r="L89" s="245" t="str">
        <f>IF(OR(L14&gt;=INDEX('1. Assumptions'!$G:$G,MATCH("ARR 'Start Conversations' Milestone ($)",'1. Assumptions'!$B:$B,0)),AND(ISNUMBER(L85),L85&lt;=VALUE(RIGHT(SUBSTITUTE(INDEX('1. Assumptions'!$G:$G,MATCH("Runway Amber Threshold",'1. Assumptions'!$B:$B,0)),"–","-"),2)))),"Start Conversations","Not Yet")</f>
        <v>Not Yet</v>
      </c>
      <c r="M89" s="245" t="str">
        <f>IF(OR(M14&gt;=INDEX('1. Assumptions'!$G:$G,MATCH("ARR 'Start Conversations' Milestone ($)",'1. Assumptions'!$B:$B,0)),AND(ISNUMBER(M85),M85&lt;=VALUE(RIGHT(SUBSTITUTE(INDEX('1. Assumptions'!$G:$G,MATCH("Runway Amber Threshold",'1. Assumptions'!$B:$B,0)),"–","-"),2)))),"Start Conversations","Not Yet")</f>
        <v>Not Yet</v>
      </c>
      <c r="N89" s="245" t="str">
        <f>IF(OR(N14&gt;=INDEX('1. Assumptions'!$G:$G,MATCH("ARR 'Start Conversations' Milestone ($)",'1. Assumptions'!$B:$B,0)),AND(ISNUMBER(N85),N85&lt;=VALUE(RIGHT(SUBSTITUTE(INDEX('1. Assumptions'!$G:$G,MATCH("Runway Amber Threshold",'1. Assumptions'!$B:$B,0)),"–","-"),2)))),"Start Conversations","Not Yet")</f>
        <v>Not Yet</v>
      </c>
      <c r="O89" s="245" t="str">
        <f>IF(OR(O14&gt;=INDEX('1. Assumptions'!$G:$G,MATCH("ARR 'Start Conversations' Milestone ($)",'1. Assumptions'!$B:$B,0)),AND(ISNUMBER(O85),O85&lt;=VALUE(RIGHT(SUBSTITUTE(INDEX('1. Assumptions'!$G:$G,MATCH("Runway Amber Threshold",'1. Assumptions'!$B:$B,0)),"–","-"),2)))),"Start Conversations","Not Yet")</f>
        <v>Start Conversations</v>
      </c>
      <c r="P89" s="245" t="str">
        <f>IF(OR(P14&gt;=INDEX('1. Assumptions'!$G:$G,MATCH("ARR 'Start Conversations' Milestone ($)",'1. Assumptions'!$B:$B,0)),AND(ISNUMBER(P85),P85&lt;=VALUE(RIGHT(SUBSTITUTE(INDEX('1. Assumptions'!$G:$G,MATCH("Runway Amber Threshold",'1. Assumptions'!$B:$B,0)),"–","-"),2)))),"Start Conversations","Not Yet")</f>
        <v>Start Conversations</v>
      </c>
      <c r="Q89" s="245" t="str">
        <f>IF(OR(Q14&gt;=INDEX('1. Assumptions'!$G:$G,MATCH("ARR 'Start Conversations' Milestone ($)",'1. Assumptions'!$B:$B,0)),AND(ISNUMBER(Q85),Q85&lt;=VALUE(RIGHT(SUBSTITUTE(INDEX('1. Assumptions'!$G:$G,MATCH("Runway Amber Threshold",'1. Assumptions'!$B:$B,0)),"–","-"),2)))),"Start Conversations","Not Yet")</f>
        <v>Start Conversations</v>
      </c>
      <c r="R89" s="245" t="str">
        <f>IF(OR(R14&gt;=INDEX('1. Assumptions'!$G:$G,MATCH("ARR 'Start Conversations' Milestone ($)",'1. Assumptions'!$B:$B,0)),AND(ISNUMBER(R85),R85&lt;=VALUE(RIGHT(SUBSTITUTE(INDEX('1. Assumptions'!$G:$G,MATCH("Runway Amber Threshold",'1. Assumptions'!$B:$B,0)),"–","-"),2)))),"Start Conversations","Not Yet")</f>
        <v>Start Conversations</v>
      </c>
      <c r="S89" s="245" t="str">
        <f>IF(OR(S14&gt;=INDEX('1. Assumptions'!$G:$G,MATCH("ARR 'Start Conversations' Milestone ($)",'1. Assumptions'!$B:$B,0)),AND(ISNUMBER(S85),S85&lt;=VALUE(RIGHT(SUBSTITUTE(INDEX('1. Assumptions'!$G:$G,MATCH("Runway Amber Threshold",'1. Assumptions'!$B:$B,0)),"–","-"),2)))),"Start Conversations","Not Yet")</f>
        <v>Start Conversations</v>
      </c>
      <c r="T89" s="245" t="str">
        <f>IF(OR(T14&gt;=INDEX('1. Assumptions'!$G:$G,MATCH("ARR 'Start Conversations' Milestone ($)",'1. Assumptions'!$B:$B,0)),AND(ISNUMBER(T85),T85&lt;=VALUE(RIGHT(SUBSTITUTE(INDEX('1. Assumptions'!$G:$G,MATCH("Runway Amber Threshold",'1. Assumptions'!$B:$B,0)),"–","-"),2)))),"Start Conversations","Not Yet")</f>
        <v>Start Conversations</v>
      </c>
      <c r="U89" s="245" t="str">
        <f>IF(OR(U14&gt;=INDEX('1. Assumptions'!$G:$G,MATCH("ARR 'Start Conversations' Milestone ($)",'1. Assumptions'!$B:$B,0)),AND(ISNUMBER(U85),U85&lt;=VALUE(RIGHT(SUBSTITUTE(INDEX('1. Assumptions'!$G:$G,MATCH("Runway Amber Threshold",'1. Assumptions'!$B:$B,0)),"–","-"),2)))),"Start Conversations","Not Yet")</f>
        <v>Start Conversations</v>
      </c>
      <c r="V89" s="245" t="str">
        <f>IF(OR(V14&gt;=INDEX('1. Assumptions'!$G:$G,MATCH("ARR 'Start Conversations' Milestone ($)",'1. Assumptions'!$B:$B,0)),AND(ISNUMBER(V85),V85&lt;=VALUE(RIGHT(SUBSTITUTE(INDEX('1. Assumptions'!$G:$G,MATCH("Runway Amber Threshold",'1. Assumptions'!$B:$B,0)),"–","-"),2)))),"Start Conversations","Not Yet")</f>
        <v>Start Conversations</v>
      </c>
      <c r="W89" s="245" t="str">
        <f>IF(OR(W14&gt;=INDEX('1. Assumptions'!$G:$G,MATCH("ARR 'Start Conversations' Milestone ($)",'1. Assumptions'!$B:$B,0)),AND(ISNUMBER(W85),W85&lt;=VALUE(RIGHT(SUBSTITUTE(INDEX('1. Assumptions'!$G:$G,MATCH("Runway Amber Threshold",'1. Assumptions'!$B:$B,0)),"–","-"),2)))),"Start Conversations","Not Yet")</f>
        <v>Start Conversations</v>
      </c>
      <c r="X89" s="245" t="str">
        <f>IF(OR(X14&gt;=INDEX('1. Assumptions'!$G:$G,MATCH("ARR 'Start Conversations' Milestone ($)",'1. Assumptions'!$B:$B,0)),AND(ISNUMBER(X85),X85&lt;=VALUE(RIGHT(SUBSTITUTE(INDEX('1. Assumptions'!$G:$G,MATCH("Runway Amber Threshold",'1. Assumptions'!$B:$B,0)),"–","-"),2)))),"Start Conversations","Not Yet")</f>
        <v>Start Conversations</v>
      </c>
      <c r="Y89" s="245" t="str">
        <f>IF(OR(Y14&gt;=INDEX('1. Assumptions'!$G:$G,MATCH("ARR 'Start Conversations' Milestone ($)",'1. Assumptions'!$B:$B,0)),AND(ISNUMBER(Y85),Y85&lt;=VALUE(RIGHT(SUBSTITUTE(INDEX('1. Assumptions'!$G:$G,MATCH("Runway Amber Threshold",'1. Assumptions'!$B:$B,0)),"–","-"),2)))),"Start Conversations","Not Yet")</f>
        <v>Start Conversations</v>
      </c>
      <c r="Z89" s="245" t="str">
        <f>IF(OR(Z14&gt;=INDEX('1. Assumptions'!$G:$G,MATCH("ARR 'Start Conversations' Milestone ($)",'1. Assumptions'!$B:$B,0)),AND(ISNUMBER(Z85),Z85&lt;=VALUE(RIGHT(SUBSTITUTE(INDEX('1. Assumptions'!$G:$G,MATCH("Runway Amber Threshold",'1. Assumptions'!$B:$B,0)),"–","-"),2)))),"Start Conversations","Not Yet")</f>
        <v>Start Conversations</v>
      </c>
      <c r="AA89" s="245" t="str">
        <f>IF(OR(AA14&gt;=INDEX('1. Assumptions'!$G:$G,MATCH("ARR 'Start Conversations' Milestone ($)",'1. Assumptions'!$B:$B,0)),AND(ISNUMBER(AA85),AA85&lt;=VALUE(RIGHT(SUBSTITUTE(INDEX('1. Assumptions'!$G:$G,MATCH("Runway Amber Threshold",'1. Assumptions'!$B:$B,0)),"–","-"),2)))),"Start Conversations","Not Yet")</f>
        <v>Start Conversations</v>
      </c>
    </row>
    <row r="90" spans="1:27" s="207" customFormat="1" ht="13.2">
      <c r="A90" s="244" t="s">
        <v>1061</v>
      </c>
      <c r="B90" s="244" t="s">
        <v>1063</v>
      </c>
      <c r="C90" s="244" t="s">
        <v>39</v>
      </c>
      <c r="D90" s="245" t="str">
        <f>IF(AND(ISNUMBER(D85),D85&lt;VALUE(SUBSTITUTE(INDEX('1. Assumptions'!$G:$G,MATCH("Runway Red Threshold",'1. Assumptions'!$B:$B,0)),"&lt;",""))),"Raise Now","")</f>
        <v/>
      </c>
      <c r="E90" s="245" t="str">
        <f>IF(AND(ISNUMBER(E85),E85&lt;VALUE(SUBSTITUTE(INDEX('1. Assumptions'!$G:$G,MATCH("Runway Red Threshold",'1. Assumptions'!$B:$B,0)),"&lt;",""))),"Raise Now","")</f>
        <v/>
      </c>
      <c r="F90" s="245" t="str">
        <f>IF(AND(ISNUMBER(F85),F85&lt;VALUE(SUBSTITUTE(INDEX('1. Assumptions'!$G:$G,MATCH("Runway Red Threshold",'1. Assumptions'!$B:$B,0)),"&lt;",""))),"Raise Now","")</f>
        <v/>
      </c>
      <c r="G90" s="245" t="str">
        <f>IF(AND(ISNUMBER(G85),G85&lt;VALUE(SUBSTITUTE(INDEX('1. Assumptions'!$G:$G,MATCH("Runway Red Threshold",'1. Assumptions'!$B:$B,0)),"&lt;",""))),"Raise Now","")</f>
        <v/>
      </c>
      <c r="H90" s="245" t="str">
        <f>IF(AND(ISNUMBER(H85),H85&lt;VALUE(SUBSTITUTE(INDEX('1. Assumptions'!$G:$G,MATCH("Runway Red Threshold",'1. Assumptions'!$B:$B,0)),"&lt;",""))),"Raise Now","")</f>
        <v/>
      </c>
      <c r="I90" s="245" t="str">
        <f>IF(AND(ISNUMBER(I85),I85&lt;VALUE(SUBSTITUTE(INDEX('1. Assumptions'!$G:$G,MATCH("Runway Red Threshold",'1. Assumptions'!$B:$B,0)),"&lt;",""))),"Raise Now","")</f>
        <v/>
      </c>
      <c r="J90" s="245" t="str">
        <f>IF(AND(ISNUMBER(J85),J85&lt;VALUE(SUBSTITUTE(INDEX('1. Assumptions'!$G:$G,MATCH("Runway Red Threshold",'1. Assumptions'!$B:$B,0)),"&lt;",""))),"Raise Now","")</f>
        <v/>
      </c>
      <c r="K90" s="245" t="str">
        <f>IF(AND(ISNUMBER(K85),K85&lt;VALUE(SUBSTITUTE(INDEX('1. Assumptions'!$G:$G,MATCH("Runway Red Threshold",'1. Assumptions'!$B:$B,0)),"&lt;",""))),"Raise Now","")</f>
        <v/>
      </c>
      <c r="L90" s="245" t="str">
        <f>IF(AND(ISNUMBER(L85),L85&lt;VALUE(SUBSTITUTE(INDEX('1. Assumptions'!$G:$G,MATCH("Runway Red Threshold",'1. Assumptions'!$B:$B,0)),"&lt;",""))),"Raise Now","")</f>
        <v/>
      </c>
      <c r="M90" s="245" t="str">
        <f>IF(AND(ISNUMBER(M85),M85&lt;VALUE(SUBSTITUTE(INDEX('1. Assumptions'!$G:$G,MATCH("Runway Red Threshold",'1. Assumptions'!$B:$B,0)),"&lt;",""))),"Raise Now","")</f>
        <v/>
      </c>
      <c r="N90" s="245" t="str">
        <f>IF(AND(ISNUMBER(N85),N85&lt;VALUE(SUBSTITUTE(INDEX('1. Assumptions'!$G:$G,MATCH("Runway Red Threshold",'1. Assumptions'!$B:$B,0)),"&lt;",""))),"Raise Now","")</f>
        <v/>
      </c>
      <c r="O90" s="245" t="str">
        <f>IF(AND(ISNUMBER(O85),O85&lt;VALUE(SUBSTITUTE(INDEX('1. Assumptions'!$G:$G,MATCH("Runway Red Threshold",'1. Assumptions'!$B:$B,0)),"&lt;",""))),"Raise Now","")</f>
        <v/>
      </c>
      <c r="P90" s="245" t="str">
        <f>IF(AND(ISNUMBER(P85),P85&lt;VALUE(SUBSTITUTE(INDEX('1. Assumptions'!$G:$G,MATCH("Runway Red Threshold",'1. Assumptions'!$B:$B,0)),"&lt;",""))),"Raise Now","")</f>
        <v/>
      </c>
      <c r="Q90" s="245" t="str">
        <f>IF(AND(ISNUMBER(Q85),Q85&lt;VALUE(SUBSTITUTE(INDEX('1. Assumptions'!$G:$G,MATCH("Runway Red Threshold",'1. Assumptions'!$B:$B,0)),"&lt;",""))),"Raise Now","")</f>
        <v/>
      </c>
      <c r="R90" s="245" t="str">
        <f>IF(AND(ISNUMBER(R85),R85&lt;VALUE(SUBSTITUTE(INDEX('1. Assumptions'!$G:$G,MATCH("Runway Red Threshold",'1. Assumptions'!$B:$B,0)),"&lt;",""))),"Raise Now","")</f>
        <v/>
      </c>
      <c r="S90" s="245" t="str">
        <f>IF(AND(ISNUMBER(S85),S85&lt;VALUE(SUBSTITUTE(INDEX('1. Assumptions'!$G:$G,MATCH("Runway Red Threshold",'1. Assumptions'!$B:$B,0)),"&lt;",""))),"Raise Now","")</f>
        <v/>
      </c>
      <c r="T90" s="245" t="str">
        <f>IF(AND(ISNUMBER(T85),T85&lt;VALUE(SUBSTITUTE(INDEX('1. Assumptions'!$G:$G,MATCH("Runway Red Threshold",'1. Assumptions'!$B:$B,0)),"&lt;",""))),"Raise Now","")</f>
        <v>Raise Now</v>
      </c>
      <c r="U90" s="245" t="str">
        <f>IF(AND(ISNUMBER(U85),U85&lt;VALUE(SUBSTITUTE(INDEX('1. Assumptions'!$G:$G,MATCH("Runway Red Threshold",'1. Assumptions'!$B:$B,0)),"&lt;",""))),"Raise Now","")</f>
        <v>Raise Now</v>
      </c>
      <c r="V90" s="245" t="str">
        <f>IF(AND(ISNUMBER(V85),V85&lt;VALUE(SUBSTITUTE(INDEX('1. Assumptions'!$G:$G,MATCH("Runway Red Threshold",'1. Assumptions'!$B:$B,0)),"&lt;",""))),"Raise Now","")</f>
        <v>Raise Now</v>
      </c>
      <c r="W90" s="245" t="str">
        <f>IF(AND(ISNUMBER(W85),W85&lt;VALUE(SUBSTITUTE(INDEX('1. Assumptions'!$G:$G,MATCH("Runway Red Threshold",'1. Assumptions'!$B:$B,0)),"&lt;",""))),"Raise Now","")</f>
        <v>Raise Now</v>
      </c>
      <c r="X90" s="245" t="str">
        <f>IF(AND(ISNUMBER(X85),X85&lt;VALUE(SUBSTITUTE(INDEX('1. Assumptions'!$G:$G,MATCH("Runway Red Threshold",'1. Assumptions'!$B:$B,0)),"&lt;",""))),"Raise Now","")</f>
        <v>Raise Now</v>
      </c>
      <c r="Y90" s="245" t="str">
        <f>IF(AND(ISNUMBER(Y85),Y85&lt;VALUE(SUBSTITUTE(INDEX('1. Assumptions'!$G:$G,MATCH("Runway Red Threshold",'1. Assumptions'!$B:$B,0)),"&lt;",""))),"Raise Now","")</f>
        <v>Raise Now</v>
      </c>
      <c r="Z90" s="245" t="str">
        <f>IF(AND(ISNUMBER(Z85),Z85&lt;VALUE(SUBSTITUTE(INDEX('1. Assumptions'!$G:$G,MATCH("Runway Red Threshold",'1. Assumptions'!$B:$B,0)),"&lt;",""))),"Raise Now","")</f>
        <v/>
      </c>
      <c r="AA90" s="245" t="str">
        <f>IF(AND(ISNUMBER(AA85),AA85&lt;VALUE(SUBSTITUTE(INDEX('1. Assumptions'!$G:$G,MATCH("Runway Red Threshold",'1. Assumptions'!$B:$B,0)),"&lt;",""))),"Raise Now","")</f>
        <v/>
      </c>
    </row>
    <row r="91" spans="1:27" s="207" customFormat="1" ht="13.2">
      <c r="A91" s="244" t="s">
        <v>1061</v>
      </c>
      <c r="B91" s="244" t="s">
        <v>997</v>
      </c>
      <c r="C91" s="244" t="s">
        <v>39</v>
      </c>
      <c r="D91" s="245" t="str">
        <f>IF(D14&gt;=INDEX('1. Assumptions'!$G:$G,MATCH("More Credible Series A ARR Range ($)",'1. Assumptions'!$B:$B,0)),"Series A Ready","Not Yet")</f>
        <v>Not Yet</v>
      </c>
      <c r="E91" s="245" t="str">
        <f>IF(E14&gt;=INDEX('1. Assumptions'!$G:$G,MATCH("More Credible Series A ARR Range ($)",'1. Assumptions'!$B:$B,0)),"Series A Ready","Not Yet")</f>
        <v>Not Yet</v>
      </c>
      <c r="F91" s="245" t="str">
        <f>IF(F14&gt;=INDEX('1. Assumptions'!$G:$G,MATCH("More Credible Series A ARR Range ($)",'1. Assumptions'!$B:$B,0)),"Series A Ready","Not Yet")</f>
        <v>Not Yet</v>
      </c>
      <c r="G91" s="245" t="str">
        <f>IF(G14&gt;=INDEX('1. Assumptions'!$G:$G,MATCH("More Credible Series A ARR Range ($)",'1. Assumptions'!$B:$B,0)),"Series A Ready","Not Yet")</f>
        <v>Not Yet</v>
      </c>
      <c r="H91" s="245" t="str">
        <f>IF(H14&gt;=INDEX('1. Assumptions'!$G:$G,MATCH("More Credible Series A ARR Range ($)",'1. Assumptions'!$B:$B,0)),"Series A Ready","Not Yet")</f>
        <v>Not Yet</v>
      </c>
      <c r="I91" s="245" t="str">
        <f>IF(I14&gt;=INDEX('1. Assumptions'!$G:$G,MATCH("More Credible Series A ARR Range ($)",'1. Assumptions'!$B:$B,0)),"Series A Ready","Not Yet")</f>
        <v>Not Yet</v>
      </c>
      <c r="J91" s="245" t="str">
        <f>IF(J14&gt;=INDEX('1. Assumptions'!$G:$G,MATCH("More Credible Series A ARR Range ($)",'1. Assumptions'!$B:$B,0)),"Series A Ready","Not Yet")</f>
        <v>Not Yet</v>
      </c>
      <c r="K91" s="245" t="str">
        <f>IF(K14&gt;=INDEX('1. Assumptions'!$G:$G,MATCH("More Credible Series A ARR Range ($)",'1. Assumptions'!$B:$B,0)),"Series A Ready","Not Yet")</f>
        <v>Not Yet</v>
      </c>
      <c r="L91" s="245" t="str">
        <f>IF(L14&gt;=INDEX('1. Assumptions'!$G:$G,MATCH("More Credible Series A ARR Range ($)",'1. Assumptions'!$B:$B,0)),"Series A Ready","Not Yet")</f>
        <v>Not Yet</v>
      </c>
      <c r="M91" s="245" t="str">
        <f>IF(M14&gt;=INDEX('1. Assumptions'!$G:$G,MATCH("More Credible Series A ARR Range ($)",'1. Assumptions'!$B:$B,0)),"Series A Ready","Not Yet")</f>
        <v>Not Yet</v>
      </c>
      <c r="N91" s="245" t="str">
        <f>IF(N14&gt;=INDEX('1. Assumptions'!$G:$G,MATCH("More Credible Series A ARR Range ($)",'1. Assumptions'!$B:$B,0)),"Series A Ready","Not Yet")</f>
        <v>Not Yet</v>
      </c>
      <c r="O91" s="245" t="str">
        <f>IF(O14&gt;=INDEX('1. Assumptions'!$G:$G,MATCH("More Credible Series A ARR Range ($)",'1. Assumptions'!$B:$B,0)),"Series A Ready","Not Yet")</f>
        <v>Not Yet</v>
      </c>
      <c r="P91" s="245" t="str">
        <f>IF(P14&gt;=INDEX('1. Assumptions'!$G:$G,MATCH("More Credible Series A ARR Range ($)",'1. Assumptions'!$B:$B,0)),"Series A Ready","Not Yet")</f>
        <v>Not Yet</v>
      </c>
      <c r="Q91" s="245" t="str">
        <f>IF(Q14&gt;=INDEX('1. Assumptions'!$G:$G,MATCH("More Credible Series A ARR Range ($)",'1. Assumptions'!$B:$B,0)),"Series A Ready","Not Yet")</f>
        <v>Not Yet</v>
      </c>
      <c r="R91" s="245" t="str">
        <f>IF(R14&gt;=INDEX('1. Assumptions'!$G:$G,MATCH("More Credible Series A ARR Range ($)",'1. Assumptions'!$B:$B,0)),"Series A Ready","Not Yet")</f>
        <v>Not Yet</v>
      </c>
      <c r="S91" s="245" t="str">
        <f>IF(S14&gt;=INDEX('1. Assumptions'!$G:$G,MATCH("More Credible Series A ARR Range ($)",'1. Assumptions'!$B:$B,0)),"Series A Ready","Not Yet")</f>
        <v>Not Yet</v>
      </c>
      <c r="T91" s="245" t="str">
        <f>IF(T14&gt;=INDEX('1. Assumptions'!$G:$G,MATCH("More Credible Series A ARR Range ($)",'1. Assumptions'!$B:$B,0)),"Series A Ready","Not Yet")</f>
        <v>Not Yet</v>
      </c>
      <c r="U91" s="245" t="str">
        <f>IF(U14&gt;=INDEX('1. Assumptions'!$G:$G,MATCH("More Credible Series A ARR Range ($)",'1. Assumptions'!$B:$B,0)),"Series A Ready","Not Yet")</f>
        <v>Not Yet</v>
      </c>
      <c r="V91" s="245" t="str">
        <f>IF(V14&gt;=INDEX('1. Assumptions'!$G:$G,MATCH("More Credible Series A ARR Range ($)",'1. Assumptions'!$B:$B,0)),"Series A Ready","Not Yet")</f>
        <v>Not Yet</v>
      </c>
      <c r="W91" s="245" t="str">
        <f>IF(W14&gt;=INDEX('1. Assumptions'!$G:$G,MATCH("More Credible Series A ARR Range ($)",'1. Assumptions'!$B:$B,0)),"Series A Ready","Not Yet")</f>
        <v>Not Yet</v>
      </c>
      <c r="X91" s="245" t="str">
        <f>IF(X14&gt;=INDEX('1. Assumptions'!$G:$G,MATCH("More Credible Series A ARR Range ($)",'1. Assumptions'!$B:$B,0)),"Series A Ready","Not Yet")</f>
        <v>Not Yet</v>
      </c>
      <c r="Y91" s="245" t="str">
        <f>IF(Y14&gt;=INDEX('1. Assumptions'!$G:$G,MATCH("More Credible Series A ARR Range ($)",'1. Assumptions'!$B:$B,0)),"Series A Ready","Not Yet")</f>
        <v>Not Yet</v>
      </c>
      <c r="Z91" s="245" t="str">
        <f>IF(Z14&gt;=INDEX('1. Assumptions'!$G:$G,MATCH("More Credible Series A ARR Range ($)",'1. Assumptions'!$B:$B,0)),"Series A Ready","Not Yet")</f>
        <v>Series A Ready</v>
      </c>
      <c r="AA91" s="245" t="str">
        <f>IF(AA14&gt;=INDEX('1. Assumptions'!$G:$G,MATCH("More Credible Series A ARR Range ($)",'1. Assumptions'!$B:$B,0)),"Series A Ready","Not Yet")</f>
        <v>Series A Ready</v>
      </c>
    </row>
    <row r="92" spans="1:27" s="207" customFormat="1" ht="13.2">
      <c r="A92" s="244"/>
      <c r="B92" s="244"/>
      <c r="C92" s="244"/>
    </row>
    <row r="93" spans="1:27" s="207" customFormat="1" ht="13.2">
      <c r="A93" s="242" t="s">
        <v>1064</v>
      </c>
      <c r="B93" s="243"/>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row>
    <row r="94" spans="1:27" s="207" customFormat="1" ht="13.2">
      <c r="A94" s="244" t="s">
        <v>807</v>
      </c>
      <c r="B94" s="244" t="s">
        <v>1065</v>
      </c>
      <c r="C94" s="244" t="s">
        <v>785</v>
      </c>
      <c r="D94" s="245" t="str">
        <f>IF(ROUND(D13-INDEX('3. Revenue Model'!$D:$AA,MATCH("Total Monthly Revenue",'3. Revenue Model'!$B:$B,0),MATCH(D$3,'3. Revenue Model'!$D$2:$AA$2,0)),0)=0,"OK","Check")</f>
        <v>OK</v>
      </c>
      <c r="E94" s="245" t="str">
        <f>IF(ROUND(E13-INDEX('3. Revenue Model'!$D:$AA,MATCH("Total Monthly Revenue",'3. Revenue Model'!$B:$B,0),MATCH(E$3,'3. Revenue Model'!$D$2:$AA$2,0)),0)=0,"OK","Check")</f>
        <v>OK</v>
      </c>
      <c r="F94" s="245" t="str">
        <f>IF(ROUND(F13-INDEX('3. Revenue Model'!$D:$AA,MATCH("Total Monthly Revenue",'3. Revenue Model'!$B:$B,0),MATCH(F$3,'3. Revenue Model'!$D$2:$AA$2,0)),0)=0,"OK","Check")</f>
        <v>OK</v>
      </c>
      <c r="G94" s="245" t="str">
        <f>IF(ROUND(G13-INDEX('3. Revenue Model'!$D:$AA,MATCH("Total Monthly Revenue",'3. Revenue Model'!$B:$B,0),MATCH(G$3,'3. Revenue Model'!$D$2:$AA$2,0)),0)=0,"OK","Check")</f>
        <v>OK</v>
      </c>
      <c r="H94" s="245" t="str">
        <f>IF(ROUND(H13-INDEX('3. Revenue Model'!$D:$AA,MATCH("Total Monthly Revenue",'3. Revenue Model'!$B:$B,0),MATCH(H$3,'3. Revenue Model'!$D$2:$AA$2,0)),0)=0,"OK","Check")</f>
        <v>OK</v>
      </c>
      <c r="I94" s="245" t="str">
        <f>IF(ROUND(I13-INDEX('3. Revenue Model'!$D:$AA,MATCH("Total Monthly Revenue",'3. Revenue Model'!$B:$B,0),MATCH(I$3,'3. Revenue Model'!$D$2:$AA$2,0)),0)=0,"OK","Check")</f>
        <v>OK</v>
      </c>
      <c r="J94" s="245" t="str">
        <f>IF(ROUND(J13-INDEX('3. Revenue Model'!$D:$AA,MATCH("Total Monthly Revenue",'3. Revenue Model'!$B:$B,0),MATCH(J$3,'3. Revenue Model'!$D$2:$AA$2,0)),0)=0,"OK","Check")</f>
        <v>OK</v>
      </c>
      <c r="K94" s="245" t="str">
        <f>IF(ROUND(K13-INDEX('3. Revenue Model'!$D:$AA,MATCH("Total Monthly Revenue",'3. Revenue Model'!$B:$B,0),MATCH(K$3,'3. Revenue Model'!$D$2:$AA$2,0)),0)=0,"OK","Check")</f>
        <v>OK</v>
      </c>
      <c r="L94" s="245" t="str">
        <f>IF(ROUND(L13-INDEX('3. Revenue Model'!$D:$AA,MATCH("Total Monthly Revenue",'3. Revenue Model'!$B:$B,0),MATCH(L$3,'3. Revenue Model'!$D$2:$AA$2,0)),0)=0,"OK","Check")</f>
        <v>OK</v>
      </c>
      <c r="M94" s="245" t="str">
        <f>IF(ROUND(M13-INDEX('3. Revenue Model'!$D:$AA,MATCH("Total Monthly Revenue",'3. Revenue Model'!$B:$B,0),MATCH(M$3,'3. Revenue Model'!$D$2:$AA$2,0)),0)=0,"OK","Check")</f>
        <v>OK</v>
      </c>
      <c r="N94" s="245" t="str">
        <f>IF(ROUND(N13-INDEX('3. Revenue Model'!$D:$AA,MATCH("Total Monthly Revenue",'3. Revenue Model'!$B:$B,0),MATCH(N$3,'3. Revenue Model'!$D$2:$AA$2,0)),0)=0,"OK","Check")</f>
        <v>OK</v>
      </c>
      <c r="O94" s="245" t="str">
        <f>IF(ROUND(O13-INDEX('3. Revenue Model'!$D:$AA,MATCH("Total Monthly Revenue",'3. Revenue Model'!$B:$B,0),MATCH(O$3,'3. Revenue Model'!$D$2:$AA$2,0)),0)=0,"OK","Check")</f>
        <v>OK</v>
      </c>
      <c r="P94" s="245" t="str">
        <f>IF(ROUND(P13-INDEX('3. Revenue Model'!$D:$AA,MATCH("Total Monthly Revenue",'3. Revenue Model'!$B:$B,0),MATCH(P$3,'3. Revenue Model'!$D$2:$AA$2,0)),0)=0,"OK","Check")</f>
        <v>OK</v>
      </c>
      <c r="Q94" s="245" t="str">
        <f>IF(ROUND(Q13-INDEX('3. Revenue Model'!$D:$AA,MATCH("Total Monthly Revenue",'3. Revenue Model'!$B:$B,0),MATCH(Q$3,'3. Revenue Model'!$D$2:$AA$2,0)),0)=0,"OK","Check")</f>
        <v>OK</v>
      </c>
      <c r="R94" s="245" t="str">
        <f>IF(ROUND(R13-INDEX('3. Revenue Model'!$D:$AA,MATCH("Total Monthly Revenue",'3. Revenue Model'!$B:$B,0),MATCH(R$3,'3. Revenue Model'!$D$2:$AA$2,0)),0)=0,"OK","Check")</f>
        <v>OK</v>
      </c>
      <c r="S94" s="245" t="str">
        <f>IF(ROUND(S13-INDEX('3. Revenue Model'!$D:$AA,MATCH("Total Monthly Revenue",'3. Revenue Model'!$B:$B,0),MATCH(S$3,'3. Revenue Model'!$D$2:$AA$2,0)),0)=0,"OK","Check")</f>
        <v>OK</v>
      </c>
      <c r="T94" s="245" t="str">
        <f>IF(ROUND(T13-INDEX('3. Revenue Model'!$D:$AA,MATCH("Total Monthly Revenue",'3. Revenue Model'!$B:$B,0),MATCH(T$3,'3. Revenue Model'!$D$2:$AA$2,0)),0)=0,"OK","Check")</f>
        <v>OK</v>
      </c>
      <c r="U94" s="245" t="str">
        <f>IF(ROUND(U13-INDEX('3. Revenue Model'!$D:$AA,MATCH("Total Monthly Revenue",'3. Revenue Model'!$B:$B,0),MATCH(U$3,'3. Revenue Model'!$D$2:$AA$2,0)),0)=0,"OK","Check")</f>
        <v>OK</v>
      </c>
      <c r="V94" s="245" t="str">
        <f>IF(ROUND(V13-INDEX('3. Revenue Model'!$D:$AA,MATCH("Total Monthly Revenue",'3. Revenue Model'!$B:$B,0),MATCH(V$3,'3. Revenue Model'!$D$2:$AA$2,0)),0)=0,"OK","Check")</f>
        <v>OK</v>
      </c>
      <c r="W94" s="245" t="str">
        <f>IF(ROUND(W13-INDEX('3. Revenue Model'!$D:$AA,MATCH("Total Monthly Revenue",'3. Revenue Model'!$B:$B,0),MATCH(W$3,'3. Revenue Model'!$D$2:$AA$2,0)),0)=0,"OK","Check")</f>
        <v>OK</v>
      </c>
      <c r="X94" s="245" t="str">
        <f>IF(ROUND(X13-INDEX('3. Revenue Model'!$D:$AA,MATCH("Total Monthly Revenue",'3. Revenue Model'!$B:$B,0),MATCH(X$3,'3. Revenue Model'!$D$2:$AA$2,0)),0)=0,"OK","Check")</f>
        <v>OK</v>
      </c>
      <c r="Y94" s="245" t="str">
        <f>IF(ROUND(Y13-INDEX('3. Revenue Model'!$D:$AA,MATCH("Total Monthly Revenue",'3. Revenue Model'!$B:$B,0),MATCH(Y$3,'3. Revenue Model'!$D$2:$AA$2,0)),0)=0,"OK","Check")</f>
        <v>OK</v>
      </c>
      <c r="Z94" s="245" t="str">
        <f>IF(ROUND(Z13-INDEX('3. Revenue Model'!$D:$AA,MATCH("Total Monthly Revenue",'3. Revenue Model'!$B:$B,0),MATCH(Z$3,'3. Revenue Model'!$D$2:$AA$2,0)),0)=0,"OK","Check")</f>
        <v>OK</v>
      </c>
      <c r="AA94" s="245" t="str">
        <f>IF(ROUND(AA13-INDEX('3. Revenue Model'!$D:$AA,MATCH("Total Monthly Revenue",'3. Revenue Model'!$B:$B,0),MATCH(AA$3,'3. Revenue Model'!$D$2:$AA$2,0)),0)=0,"OK","Check")</f>
        <v>OK</v>
      </c>
    </row>
    <row r="95" spans="1:27" s="207" customFormat="1" ht="13.2">
      <c r="A95" s="244" t="s">
        <v>807</v>
      </c>
      <c r="B95" s="244" t="s">
        <v>1014</v>
      </c>
      <c r="C95" s="244" t="s">
        <v>785</v>
      </c>
      <c r="D95" s="245" t="str">
        <f>IF(D26="OK","OK","Check")</f>
        <v>OK</v>
      </c>
      <c r="E95" s="245" t="str">
        <f t="shared" ref="E95:AA95" si="15">IF(E26="OK","OK","Check")</f>
        <v>OK</v>
      </c>
      <c r="F95" s="245" t="str">
        <f t="shared" si="15"/>
        <v>OK</v>
      </c>
      <c r="G95" s="245" t="str">
        <f t="shared" si="15"/>
        <v>OK</v>
      </c>
      <c r="H95" s="245" t="str">
        <f t="shared" si="15"/>
        <v>OK</v>
      </c>
      <c r="I95" s="245" t="str">
        <f t="shared" si="15"/>
        <v>OK</v>
      </c>
      <c r="J95" s="245" t="str">
        <f t="shared" si="15"/>
        <v>OK</v>
      </c>
      <c r="K95" s="245" t="str">
        <f t="shared" si="15"/>
        <v>OK</v>
      </c>
      <c r="L95" s="245" t="str">
        <f t="shared" si="15"/>
        <v>OK</v>
      </c>
      <c r="M95" s="245" t="str">
        <f t="shared" si="15"/>
        <v>OK</v>
      </c>
      <c r="N95" s="245" t="str">
        <f t="shared" si="15"/>
        <v>OK</v>
      </c>
      <c r="O95" s="245" t="str">
        <f t="shared" si="15"/>
        <v>OK</v>
      </c>
      <c r="P95" s="245" t="str">
        <f t="shared" si="15"/>
        <v>OK</v>
      </c>
      <c r="Q95" s="245" t="str">
        <f t="shared" si="15"/>
        <v>OK</v>
      </c>
      <c r="R95" s="245" t="str">
        <f t="shared" si="15"/>
        <v>OK</v>
      </c>
      <c r="S95" s="245" t="str">
        <f t="shared" si="15"/>
        <v>OK</v>
      </c>
      <c r="T95" s="245" t="str">
        <f t="shared" si="15"/>
        <v>OK</v>
      </c>
      <c r="U95" s="245" t="str">
        <f t="shared" si="15"/>
        <v>OK</v>
      </c>
      <c r="V95" s="245" t="str">
        <f t="shared" si="15"/>
        <v>OK</v>
      </c>
      <c r="W95" s="245" t="str">
        <f t="shared" si="15"/>
        <v>OK</v>
      </c>
      <c r="X95" s="245" t="str">
        <f t="shared" si="15"/>
        <v>OK</v>
      </c>
      <c r="Y95" s="245" t="str">
        <f t="shared" si="15"/>
        <v>OK</v>
      </c>
      <c r="Z95" s="245" t="str">
        <f t="shared" si="15"/>
        <v>OK</v>
      </c>
      <c r="AA95" s="245" t="str">
        <f t="shared" si="15"/>
        <v>OK</v>
      </c>
    </row>
    <row r="96" spans="1:27" s="207" customFormat="1" ht="13.2">
      <c r="A96" s="244" t="s">
        <v>807</v>
      </c>
      <c r="B96" s="244" t="s">
        <v>1066</v>
      </c>
      <c r="C96" s="244" t="s">
        <v>785</v>
      </c>
      <c r="D96" s="245" t="str">
        <f>IF(ROUND(D36-(D13-D35),0)=0,"OK","Check")</f>
        <v>OK</v>
      </c>
      <c r="E96" s="245" t="str">
        <f t="shared" ref="E96:AA96" si="16">IF(ROUND(E36-(E13-E35),0)=0,"OK","Check")</f>
        <v>OK</v>
      </c>
      <c r="F96" s="245" t="str">
        <f t="shared" si="16"/>
        <v>OK</v>
      </c>
      <c r="G96" s="245" t="str">
        <f t="shared" si="16"/>
        <v>OK</v>
      </c>
      <c r="H96" s="245" t="str">
        <f t="shared" si="16"/>
        <v>OK</v>
      </c>
      <c r="I96" s="245" t="str">
        <f t="shared" si="16"/>
        <v>OK</v>
      </c>
      <c r="J96" s="245" t="str">
        <f t="shared" si="16"/>
        <v>OK</v>
      </c>
      <c r="K96" s="245" t="str">
        <f t="shared" si="16"/>
        <v>OK</v>
      </c>
      <c r="L96" s="245" t="str">
        <f t="shared" si="16"/>
        <v>OK</v>
      </c>
      <c r="M96" s="245" t="str">
        <f t="shared" si="16"/>
        <v>OK</v>
      </c>
      <c r="N96" s="245" t="str">
        <f t="shared" si="16"/>
        <v>OK</v>
      </c>
      <c r="O96" s="245" t="str">
        <f t="shared" si="16"/>
        <v>OK</v>
      </c>
      <c r="P96" s="245" t="str">
        <f t="shared" si="16"/>
        <v>OK</v>
      </c>
      <c r="Q96" s="245" t="str">
        <f t="shared" si="16"/>
        <v>OK</v>
      </c>
      <c r="R96" s="245" t="str">
        <f t="shared" si="16"/>
        <v>OK</v>
      </c>
      <c r="S96" s="245" t="str">
        <f t="shared" si="16"/>
        <v>OK</v>
      </c>
      <c r="T96" s="245" t="str">
        <f t="shared" si="16"/>
        <v>OK</v>
      </c>
      <c r="U96" s="245" t="str">
        <f t="shared" si="16"/>
        <v>OK</v>
      </c>
      <c r="V96" s="245" t="str">
        <f t="shared" si="16"/>
        <v>OK</v>
      </c>
      <c r="W96" s="245" t="str">
        <f t="shared" si="16"/>
        <v>OK</v>
      </c>
      <c r="X96" s="245" t="str">
        <f t="shared" si="16"/>
        <v>OK</v>
      </c>
      <c r="Y96" s="245" t="str">
        <f t="shared" si="16"/>
        <v>OK</v>
      </c>
      <c r="Z96" s="245" t="str">
        <f t="shared" si="16"/>
        <v>OK</v>
      </c>
      <c r="AA96" s="245" t="str">
        <f t="shared" si="16"/>
        <v>OK</v>
      </c>
    </row>
    <row r="97" spans="1:27" s="207" customFormat="1" ht="13.2">
      <c r="A97" s="244" t="s">
        <v>807</v>
      </c>
      <c r="B97" s="244" t="s">
        <v>1067</v>
      </c>
      <c r="C97" s="244" t="s">
        <v>785</v>
      </c>
      <c r="D97" s="245" t="str">
        <f>IF(ROUND(D84-(D79+D83),0)=0,"OK","Check")</f>
        <v>OK</v>
      </c>
      <c r="E97" s="245" t="str">
        <f t="shared" ref="E97:AA97" si="17">IF(ROUND(E84-(E79+E83),0)=0,"OK","Check")</f>
        <v>OK</v>
      </c>
      <c r="F97" s="245" t="str">
        <f t="shared" si="17"/>
        <v>OK</v>
      </c>
      <c r="G97" s="245" t="str">
        <f t="shared" si="17"/>
        <v>OK</v>
      </c>
      <c r="H97" s="245" t="str">
        <f t="shared" si="17"/>
        <v>OK</v>
      </c>
      <c r="I97" s="245" t="str">
        <f t="shared" si="17"/>
        <v>OK</v>
      </c>
      <c r="J97" s="245" t="str">
        <f t="shared" si="17"/>
        <v>OK</v>
      </c>
      <c r="K97" s="245" t="str">
        <f t="shared" si="17"/>
        <v>OK</v>
      </c>
      <c r="L97" s="245" t="str">
        <f t="shared" si="17"/>
        <v>OK</v>
      </c>
      <c r="M97" s="245" t="str">
        <f t="shared" si="17"/>
        <v>OK</v>
      </c>
      <c r="N97" s="245" t="str">
        <f t="shared" si="17"/>
        <v>OK</v>
      </c>
      <c r="O97" s="245" t="str">
        <f t="shared" si="17"/>
        <v>OK</v>
      </c>
      <c r="P97" s="245" t="str">
        <f t="shared" si="17"/>
        <v>OK</v>
      </c>
      <c r="Q97" s="245" t="str">
        <f t="shared" si="17"/>
        <v>OK</v>
      </c>
      <c r="R97" s="245" t="str">
        <f t="shared" si="17"/>
        <v>OK</v>
      </c>
      <c r="S97" s="245" t="str">
        <f t="shared" si="17"/>
        <v>OK</v>
      </c>
      <c r="T97" s="245" t="str">
        <f t="shared" si="17"/>
        <v>OK</v>
      </c>
      <c r="U97" s="245" t="str">
        <f t="shared" si="17"/>
        <v>OK</v>
      </c>
      <c r="V97" s="245" t="str">
        <f t="shared" si="17"/>
        <v>OK</v>
      </c>
      <c r="W97" s="245" t="str">
        <f t="shared" si="17"/>
        <v>OK</v>
      </c>
      <c r="X97" s="245" t="str">
        <f t="shared" si="17"/>
        <v>OK</v>
      </c>
      <c r="Y97" s="245" t="str">
        <f t="shared" si="17"/>
        <v>OK</v>
      </c>
      <c r="Z97" s="245" t="str">
        <f t="shared" si="17"/>
        <v>OK</v>
      </c>
      <c r="AA97" s="245" t="str">
        <f t="shared" si="17"/>
        <v>OK</v>
      </c>
    </row>
    <row r="98" spans="1:27" s="207" customFormat="1" ht="13.2">
      <c r="A98" s="244" t="s">
        <v>807</v>
      </c>
      <c r="B98" s="244" t="s">
        <v>1068</v>
      </c>
      <c r="C98" s="244" t="s">
        <v>785</v>
      </c>
      <c r="D98" s="245" t="str">
        <f>IF(OR(AND(D82=0,COUNTIF($D$82:D82,"&gt;0")=0),AND(D82=0,COUNTIF($D$82:D82,"&gt;0")&gt;0),AND(D82=INDEX('1. Assumptions'!$G:$G,MATCH("Target Raise Amount ($)",'1. Assumptions'!$B:$B,0)),D91="Series A Ready",COUNTIF($D$82:D82,"&gt;0")=1)),"OK","Check")</f>
        <v>OK</v>
      </c>
      <c r="E98" s="245" t="str">
        <f>IF(OR(AND(E82=0,COUNTIF($D$82:E82,"&gt;0")=0),AND(E82=0,COUNTIF($D$82:E82,"&gt;0")&gt;0),AND(E82=INDEX('1. Assumptions'!$G:$G,MATCH("Target Raise Amount ($)",'1. Assumptions'!$B:$B,0)),E91="Series A Ready",COUNTIF($D$82:E82,"&gt;0")=1)),"OK","Check")</f>
        <v>OK</v>
      </c>
      <c r="F98" s="245" t="str">
        <f>IF(OR(AND(F82=0,COUNTIF($D$82:F82,"&gt;0")=0),AND(F82=0,COUNTIF($D$82:F82,"&gt;0")&gt;0),AND(F82=INDEX('1. Assumptions'!$G:$G,MATCH("Target Raise Amount ($)",'1. Assumptions'!$B:$B,0)),F91="Series A Ready",COUNTIF($D$82:F82,"&gt;0")=1)),"OK","Check")</f>
        <v>OK</v>
      </c>
      <c r="G98" s="245" t="str">
        <f>IF(OR(AND(G82=0,COUNTIF($D$82:G82,"&gt;0")=0),AND(G82=0,COUNTIF($D$82:G82,"&gt;0")&gt;0),AND(G82=INDEX('1. Assumptions'!$G:$G,MATCH("Target Raise Amount ($)",'1. Assumptions'!$B:$B,0)),G91="Series A Ready",COUNTIF($D$82:G82,"&gt;0")=1)),"OK","Check")</f>
        <v>OK</v>
      </c>
      <c r="H98" s="245" t="str">
        <f>IF(OR(AND(H82=0,COUNTIF($D$82:H82,"&gt;0")=0),AND(H82=0,COUNTIF($D$82:H82,"&gt;0")&gt;0),AND(H82=INDEX('1. Assumptions'!$G:$G,MATCH("Target Raise Amount ($)",'1. Assumptions'!$B:$B,0)),H91="Series A Ready",COUNTIF($D$82:H82,"&gt;0")=1)),"OK","Check")</f>
        <v>OK</v>
      </c>
      <c r="I98" s="245" t="str">
        <f>IF(OR(AND(I82=0,COUNTIF($D$82:I82,"&gt;0")=0),AND(I82=0,COUNTIF($D$82:I82,"&gt;0")&gt;0),AND(I82=INDEX('1. Assumptions'!$G:$G,MATCH("Target Raise Amount ($)",'1. Assumptions'!$B:$B,0)),I91="Series A Ready",COUNTIF($D$82:I82,"&gt;0")=1)),"OK","Check")</f>
        <v>OK</v>
      </c>
      <c r="J98" s="245" t="str">
        <f>IF(OR(AND(J82=0,COUNTIF($D$82:J82,"&gt;0")=0),AND(J82=0,COUNTIF($D$82:J82,"&gt;0")&gt;0),AND(J82=INDEX('1. Assumptions'!$G:$G,MATCH("Target Raise Amount ($)",'1. Assumptions'!$B:$B,0)),J91="Series A Ready",COUNTIF($D$82:J82,"&gt;0")=1)),"OK","Check")</f>
        <v>OK</v>
      </c>
      <c r="K98" s="245" t="str">
        <f>IF(OR(AND(K82=0,COUNTIF($D$82:K82,"&gt;0")=0),AND(K82=0,COUNTIF($D$82:K82,"&gt;0")&gt;0),AND(K82=INDEX('1. Assumptions'!$G:$G,MATCH("Target Raise Amount ($)",'1. Assumptions'!$B:$B,0)),K91="Series A Ready",COUNTIF($D$82:K82,"&gt;0")=1)),"OK","Check")</f>
        <v>OK</v>
      </c>
      <c r="L98" s="245" t="str">
        <f>IF(OR(AND(L82=0,COUNTIF($D$82:L82,"&gt;0")=0),AND(L82=0,COUNTIF($D$82:L82,"&gt;0")&gt;0),AND(L82=INDEX('1. Assumptions'!$G:$G,MATCH("Target Raise Amount ($)",'1. Assumptions'!$B:$B,0)),L91="Series A Ready",COUNTIF($D$82:L82,"&gt;0")=1)),"OK","Check")</f>
        <v>OK</v>
      </c>
      <c r="M98" s="245" t="str">
        <f>IF(OR(AND(M82=0,COUNTIF($D$82:M82,"&gt;0")=0),AND(M82=0,COUNTIF($D$82:M82,"&gt;0")&gt;0),AND(M82=INDEX('1. Assumptions'!$G:$G,MATCH("Target Raise Amount ($)",'1. Assumptions'!$B:$B,0)),M91="Series A Ready",COUNTIF($D$82:M82,"&gt;0")=1)),"OK","Check")</f>
        <v>OK</v>
      </c>
      <c r="N98" s="245" t="str">
        <f>IF(OR(AND(N82=0,COUNTIF($D$82:N82,"&gt;0")=0),AND(N82=0,COUNTIF($D$82:N82,"&gt;0")&gt;0),AND(N82=INDEX('1. Assumptions'!$G:$G,MATCH("Target Raise Amount ($)",'1. Assumptions'!$B:$B,0)),N91="Series A Ready",COUNTIF($D$82:N82,"&gt;0")=1)),"OK","Check")</f>
        <v>OK</v>
      </c>
      <c r="O98" s="245" t="str">
        <f>IF(OR(AND(O82=0,COUNTIF($D$82:O82,"&gt;0")=0),AND(O82=0,COUNTIF($D$82:O82,"&gt;0")&gt;0),AND(O82=INDEX('1. Assumptions'!$G:$G,MATCH("Target Raise Amount ($)",'1. Assumptions'!$B:$B,0)),O91="Series A Ready",COUNTIF($D$82:O82,"&gt;0")=1)),"OK","Check")</f>
        <v>OK</v>
      </c>
      <c r="P98" s="245" t="str">
        <f>IF(OR(AND(P82=0,COUNTIF($D$82:P82,"&gt;0")=0),AND(P82=0,COUNTIF($D$82:P82,"&gt;0")&gt;0),AND(P82=INDEX('1. Assumptions'!$G:$G,MATCH("Target Raise Amount ($)",'1. Assumptions'!$B:$B,0)),P91="Series A Ready",COUNTIF($D$82:P82,"&gt;0")=1)),"OK","Check")</f>
        <v>OK</v>
      </c>
      <c r="Q98" s="245" t="str">
        <f>IF(OR(AND(Q82=0,COUNTIF($D$82:Q82,"&gt;0")=0),AND(Q82=0,COUNTIF($D$82:Q82,"&gt;0")&gt;0),AND(Q82=INDEX('1. Assumptions'!$G:$G,MATCH("Target Raise Amount ($)",'1. Assumptions'!$B:$B,0)),Q91="Series A Ready",COUNTIF($D$82:Q82,"&gt;0")=1)),"OK","Check")</f>
        <v>OK</v>
      </c>
      <c r="R98" s="245" t="str">
        <f>IF(OR(AND(R82=0,COUNTIF($D$82:R82,"&gt;0")=0),AND(R82=0,COUNTIF($D$82:R82,"&gt;0")&gt;0),AND(R82=INDEX('1. Assumptions'!$G:$G,MATCH("Target Raise Amount ($)",'1. Assumptions'!$B:$B,0)),R91="Series A Ready",COUNTIF($D$82:R82,"&gt;0")=1)),"OK","Check")</f>
        <v>OK</v>
      </c>
      <c r="S98" s="245" t="str">
        <f>IF(OR(AND(S82=0,COUNTIF($D$82:S82,"&gt;0")=0),AND(S82=0,COUNTIF($D$82:S82,"&gt;0")&gt;0),AND(S82=INDEX('1. Assumptions'!$G:$G,MATCH("Target Raise Amount ($)",'1. Assumptions'!$B:$B,0)),S91="Series A Ready",COUNTIF($D$82:S82,"&gt;0")=1)),"OK","Check")</f>
        <v>OK</v>
      </c>
      <c r="T98" s="245" t="str">
        <f>IF(OR(AND(T82=0,COUNTIF($D$82:T82,"&gt;0")=0),AND(T82=0,COUNTIF($D$82:T82,"&gt;0")&gt;0),AND(T82=INDEX('1. Assumptions'!$G:$G,MATCH("Target Raise Amount ($)",'1. Assumptions'!$B:$B,0)),T91="Series A Ready",COUNTIF($D$82:T82,"&gt;0")=1)),"OK","Check")</f>
        <v>OK</v>
      </c>
      <c r="U98" s="245" t="str">
        <f>IF(OR(AND(U82=0,COUNTIF($D$82:U82,"&gt;0")=0),AND(U82=0,COUNTIF($D$82:U82,"&gt;0")&gt;0),AND(U82=INDEX('1. Assumptions'!$G:$G,MATCH("Target Raise Amount ($)",'1. Assumptions'!$B:$B,0)),U91="Series A Ready",COUNTIF($D$82:U82,"&gt;0")=1)),"OK","Check")</f>
        <v>OK</v>
      </c>
      <c r="V98" s="245" t="str">
        <f>IF(OR(AND(V82=0,COUNTIF($D$82:V82,"&gt;0")=0),AND(V82=0,COUNTIF($D$82:V82,"&gt;0")&gt;0),AND(V82=INDEX('1. Assumptions'!$G:$G,MATCH("Target Raise Amount ($)",'1. Assumptions'!$B:$B,0)),V91="Series A Ready",COUNTIF($D$82:V82,"&gt;0")=1)),"OK","Check")</f>
        <v>OK</v>
      </c>
      <c r="W98" s="245" t="str">
        <f>IF(OR(AND(W82=0,COUNTIF($D$82:W82,"&gt;0")=0),AND(W82=0,COUNTIF($D$82:W82,"&gt;0")&gt;0),AND(W82=INDEX('1. Assumptions'!$G:$G,MATCH("Target Raise Amount ($)",'1. Assumptions'!$B:$B,0)),W91="Series A Ready",COUNTIF($D$82:W82,"&gt;0")=1)),"OK","Check")</f>
        <v>OK</v>
      </c>
      <c r="X98" s="245" t="str">
        <f>IF(OR(AND(X82=0,COUNTIF($D$82:X82,"&gt;0")=0),AND(X82=0,COUNTIF($D$82:X82,"&gt;0")&gt;0),AND(X82=INDEX('1. Assumptions'!$G:$G,MATCH("Target Raise Amount ($)",'1. Assumptions'!$B:$B,0)),X91="Series A Ready",COUNTIF($D$82:X82,"&gt;0")=1)),"OK","Check")</f>
        <v>OK</v>
      </c>
      <c r="Y98" s="245" t="str">
        <f>IF(OR(AND(Y82=0,COUNTIF($D$82:Y82,"&gt;0")=0),AND(Y82=0,COUNTIF($D$82:Y82,"&gt;0")&gt;0),AND(Y82=INDEX('1. Assumptions'!$G:$G,MATCH("Target Raise Amount ($)",'1. Assumptions'!$B:$B,0)),Y91="Series A Ready",COUNTIF($D$82:Y82,"&gt;0")=1)),"OK","Check")</f>
        <v>OK</v>
      </c>
      <c r="Z98" s="245" t="str">
        <f>IF(OR(AND(Z82=0,COUNTIF($D$82:Z82,"&gt;0")=0),AND(Z82=0,COUNTIF($D$82:Z82,"&gt;0")&gt;0),AND(Z82=INDEX('1. Assumptions'!$G:$G,MATCH("Target Raise Amount ($)",'1. Assumptions'!$B:$B,0)),Z91="Series A Ready",COUNTIF($D$82:Z82,"&gt;0")=1)),"OK","Check")</f>
        <v>OK</v>
      </c>
      <c r="AA98" s="245" t="str">
        <f>IF(OR(AND(AA82=0,COUNTIF($D$82:AA82,"&gt;0")=0),AND(AA82=0,COUNTIF($D$82:AA82,"&gt;0")&gt;0),AND(AA82=INDEX('1. Assumptions'!$G:$G,MATCH("Target Raise Amount ($)",'1. Assumptions'!$B:$B,0)),AA91="Series A Ready",COUNTIF($D$82:AA82,"&gt;0")=1)),"OK","Check")</f>
        <v>OK</v>
      </c>
    </row>
    <row r="99" spans="1:27" s="207" customFormat="1" ht="13.2">
      <c r="A99" s="244" t="s">
        <v>807</v>
      </c>
      <c r="B99" s="244" t="s">
        <v>1069</v>
      </c>
      <c r="C99" s="244" t="s">
        <v>785</v>
      </c>
      <c r="D99" s="245" t="str">
        <f>IF(D81=0,IF(D85="No Burn","OK","Check"),IF(ROUND(D85-D84/D81,1)=0,"OK","Check"))</f>
        <v>OK</v>
      </c>
      <c r="E99" s="245" t="str">
        <f t="shared" ref="E99:AA99" si="18">IF(E81=0,IF(E85="No Burn","OK","Check"),IF(ROUND(E85-E84/E81,1)=0,"OK","Check"))</f>
        <v>OK</v>
      </c>
      <c r="F99" s="245" t="str">
        <f t="shared" si="18"/>
        <v>OK</v>
      </c>
      <c r="G99" s="245" t="str">
        <f t="shared" si="18"/>
        <v>OK</v>
      </c>
      <c r="H99" s="245" t="str">
        <f t="shared" si="18"/>
        <v>OK</v>
      </c>
      <c r="I99" s="245" t="str">
        <f t="shared" si="18"/>
        <v>OK</v>
      </c>
      <c r="J99" s="245" t="str">
        <f t="shared" si="18"/>
        <v>OK</v>
      </c>
      <c r="K99" s="245" t="str">
        <f t="shared" si="18"/>
        <v>OK</v>
      </c>
      <c r="L99" s="245" t="str">
        <f t="shared" si="18"/>
        <v>OK</v>
      </c>
      <c r="M99" s="245" t="str">
        <f t="shared" si="18"/>
        <v>OK</v>
      </c>
      <c r="N99" s="245" t="str">
        <f t="shared" si="18"/>
        <v>OK</v>
      </c>
      <c r="O99" s="245" t="str">
        <f t="shared" si="18"/>
        <v>OK</v>
      </c>
      <c r="P99" s="245" t="str">
        <f t="shared" si="18"/>
        <v>OK</v>
      </c>
      <c r="Q99" s="245" t="str">
        <f t="shared" si="18"/>
        <v>OK</v>
      </c>
      <c r="R99" s="245" t="str">
        <f t="shared" si="18"/>
        <v>OK</v>
      </c>
      <c r="S99" s="245" t="str">
        <f t="shared" si="18"/>
        <v>OK</v>
      </c>
      <c r="T99" s="245" t="str">
        <f t="shared" si="18"/>
        <v>OK</v>
      </c>
      <c r="U99" s="245" t="str">
        <f t="shared" si="18"/>
        <v>OK</v>
      </c>
      <c r="V99" s="245" t="str">
        <f t="shared" si="18"/>
        <v>OK</v>
      </c>
      <c r="W99" s="245" t="str">
        <f t="shared" si="18"/>
        <v>OK</v>
      </c>
      <c r="X99" s="245" t="str">
        <f t="shared" si="18"/>
        <v>OK</v>
      </c>
      <c r="Y99" s="245" t="str">
        <f t="shared" si="18"/>
        <v>OK</v>
      </c>
      <c r="Z99" s="245" t="str">
        <f t="shared" si="18"/>
        <v>OK</v>
      </c>
      <c r="AA99" s="245" t="str">
        <f t="shared" si="18"/>
        <v>OK</v>
      </c>
    </row>
    <row r="100" spans="1:27" s="207" customFormat="1" ht="13.2">
      <c r="A100" s="244" t="s">
        <v>807</v>
      </c>
      <c r="B100" s="244" t="s">
        <v>1070</v>
      </c>
      <c r="C100" s="244" t="s">
        <v>785</v>
      </c>
      <c r="D100" s="245" t="str" cm="1">
        <f t="array" ref="D100">IF(SUMPRODUCT(--ISERROR(D10:D99))=0,"OK","Check")</f>
        <v>OK</v>
      </c>
      <c r="E100" s="245" t="str" cm="1">
        <f t="array" ref="E100">IF(SUMPRODUCT(--ISERROR(E10:E99))=0,"OK","Check")</f>
        <v>OK</v>
      </c>
      <c r="F100" s="245" t="str" cm="1">
        <f t="array" ref="F100">IF(SUMPRODUCT(--ISERROR(F10:F99))=0,"OK","Check")</f>
        <v>OK</v>
      </c>
      <c r="G100" s="245" t="str" cm="1">
        <f t="array" ref="G100">IF(SUMPRODUCT(--ISERROR(G10:G99))=0,"OK","Check")</f>
        <v>OK</v>
      </c>
      <c r="H100" s="245" t="str" cm="1">
        <f t="array" ref="H100">IF(SUMPRODUCT(--ISERROR(H10:H99))=0,"OK","Check")</f>
        <v>OK</v>
      </c>
      <c r="I100" s="245" t="str" cm="1">
        <f t="array" ref="I100">IF(SUMPRODUCT(--ISERROR(I10:I99))=0,"OK","Check")</f>
        <v>OK</v>
      </c>
      <c r="J100" s="245" t="str" cm="1">
        <f t="array" ref="J100">IF(SUMPRODUCT(--ISERROR(J10:J99))=0,"OK","Check")</f>
        <v>OK</v>
      </c>
      <c r="K100" s="245" t="str" cm="1">
        <f t="array" ref="K100">IF(SUMPRODUCT(--ISERROR(K10:K99))=0,"OK","Check")</f>
        <v>OK</v>
      </c>
      <c r="L100" s="245" t="str" cm="1">
        <f t="array" ref="L100">IF(SUMPRODUCT(--ISERROR(L10:L99))=0,"OK","Check")</f>
        <v>OK</v>
      </c>
      <c r="M100" s="245" t="str" cm="1">
        <f t="array" ref="M100">IF(SUMPRODUCT(--ISERROR(M10:M99))=0,"OK","Check")</f>
        <v>OK</v>
      </c>
      <c r="N100" s="245" t="str" cm="1">
        <f t="array" ref="N100">IF(SUMPRODUCT(--ISERROR(N10:N99))=0,"OK","Check")</f>
        <v>OK</v>
      </c>
      <c r="O100" s="245" t="str" cm="1">
        <f t="array" ref="O100">IF(SUMPRODUCT(--ISERROR(O10:O99))=0,"OK","Check")</f>
        <v>OK</v>
      </c>
      <c r="P100" s="245" t="str" cm="1">
        <f t="array" ref="P100">IF(SUMPRODUCT(--ISERROR(P10:P99))=0,"OK","Check")</f>
        <v>OK</v>
      </c>
      <c r="Q100" s="245" t="str" cm="1">
        <f t="array" ref="Q100">IF(SUMPRODUCT(--ISERROR(Q10:Q99))=0,"OK","Check")</f>
        <v>OK</v>
      </c>
      <c r="R100" s="245" t="str" cm="1">
        <f t="array" ref="R100">IF(SUMPRODUCT(--ISERROR(R10:R99))=0,"OK","Check")</f>
        <v>OK</v>
      </c>
      <c r="S100" s="245" t="str" cm="1">
        <f t="array" ref="S100">IF(SUMPRODUCT(--ISERROR(S10:S99))=0,"OK","Check")</f>
        <v>OK</v>
      </c>
      <c r="T100" s="245" t="str" cm="1">
        <f t="array" ref="T100">IF(SUMPRODUCT(--ISERROR(T10:T99))=0,"OK","Check")</f>
        <v>OK</v>
      </c>
      <c r="U100" s="245" t="str" cm="1">
        <f t="array" ref="U100">IF(SUMPRODUCT(--ISERROR(U10:U99))=0,"OK","Check")</f>
        <v>OK</v>
      </c>
      <c r="V100" s="245" t="str" cm="1">
        <f t="array" ref="V100">IF(SUMPRODUCT(--ISERROR(V10:V99))=0,"OK","Check")</f>
        <v>OK</v>
      </c>
      <c r="W100" s="245" t="str" cm="1">
        <f t="array" ref="W100">IF(SUMPRODUCT(--ISERROR(W10:W99))=0,"OK","Check")</f>
        <v>OK</v>
      </c>
      <c r="X100" s="245" t="str" cm="1">
        <f t="array" ref="X100">IF(SUMPRODUCT(--ISERROR(X10:X99))=0,"OK","Check")</f>
        <v>OK</v>
      </c>
      <c r="Y100" s="245" t="str" cm="1">
        <f t="array" ref="Y100">IF(SUMPRODUCT(--ISERROR(Y10:Y99))=0,"OK","Check")</f>
        <v>OK</v>
      </c>
      <c r="Z100" s="245" t="str" cm="1">
        <f t="array" ref="Z100">IF(SUMPRODUCT(--ISERROR(Z10:Z99))=0,"OK","Check")</f>
        <v>OK</v>
      </c>
      <c r="AA100" s="245" t="str" cm="1">
        <f t="array" ref="AA100">IF(SUMPRODUCT(--ISERROR(AA10:AA99))=0,"OK","Check")</f>
        <v>OK</v>
      </c>
    </row>
    <row r="101" spans="1:27" s="207" customFormat="1" ht="13.2">
      <c r="A101" s="259" t="s">
        <v>1072</v>
      </c>
      <c r="B101" s="227"/>
    </row>
    <row r="102" spans="1:27" s="207" customFormat="1" ht="13.2">
      <c r="B102" s="227"/>
    </row>
  </sheetData>
  <autoFilter ref="A3:AC101" xr:uid="{CFB583B9-ED0D-42EE-8A43-76059FB5191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523A-FA70-42A1-BAE5-B6BF45BEC6C5}">
  <dimension ref="A1:Y118"/>
  <sheetViews>
    <sheetView showGridLines="0" zoomScaleNormal="100" workbookViewId="0">
      <selection activeCell="A2" sqref="A2"/>
    </sheetView>
  </sheetViews>
  <sheetFormatPr defaultRowHeight="14.4"/>
  <cols>
    <col min="1" max="1" width="31.109375" customWidth="1"/>
    <col min="2" max="2" width="28.6640625" customWidth="1"/>
    <col min="3" max="3" width="25.33203125" customWidth="1"/>
    <col min="4" max="4" width="22.88671875" customWidth="1"/>
    <col min="5" max="5" width="24.6640625" customWidth="1"/>
    <col min="6" max="6" width="27.5546875" customWidth="1"/>
    <col min="7" max="7" width="18.88671875" bestFit="1" customWidth="1"/>
    <col min="8" max="8" width="32.33203125" customWidth="1"/>
    <col min="9" max="9" width="31.33203125" customWidth="1"/>
    <col min="10" max="12" width="11" bestFit="1" customWidth="1"/>
    <col min="13" max="13" width="18.109375" customWidth="1"/>
    <col min="14" max="14" width="9.77734375" bestFit="1" customWidth="1"/>
    <col min="15" max="25" width="11" bestFit="1" customWidth="1"/>
  </cols>
  <sheetData>
    <row r="1" spans="1:25" ht="21" customHeight="1">
      <c r="A1" s="62" t="s">
        <v>1323</v>
      </c>
      <c r="B1" s="62"/>
      <c r="C1" s="62"/>
      <c r="D1" s="62"/>
      <c r="E1" s="62"/>
      <c r="F1" s="62"/>
      <c r="G1" s="62"/>
      <c r="H1" s="62"/>
      <c r="I1" s="62"/>
      <c r="J1" s="62"/>
      <c r="K1" s="62"/>
      <c r="L1" s="62"/>
      <c r="M1" s="62"/>
      <c r="N1" s="62"/>
      <c r="O1" s="62"/>
      <c r="P1" s="62"/>
      <c r="Q1" s="62"/>
      <c r="R1" s="62"/>
      <c r="S1" s="62"/>
      <c r="T1" s="62"/>
      <c r="U1" s="62"/>
      <c r="V1" s="62"/>
      <c r="W1" s="62"/>
      <c r="X1" s="62"/>
      <c r="Y1" s="62"/>
    </row>
    <row r="2" spans="1:25" ht="14.4" customHeight="1">
      <c r="A2" s="64" t="s">
        <v>1073</v>
      </c>
      <c r="B2" s="63"/>
      <c r="C2" s="63"/>
      <c r="D2" s="63"/>
      <c r="E2" s="63"/>
      <c r="F2" s="63"/>
      <c r="G2" s="63"/>
      <c r="H2" s="63"/>
      <c r="I2" s="63"/>
      <c r="J2" s="63"/>
      <c r="K2" s="63"/>
      <c r="L2" s="63"/>
      <c r="M2" s="63"/>
      <c r="N2" s="63"/>
      <c r="O2" s="63"/>
      <c r="P2" s="63"/>
      <c r="Q2" s="63"/>
      <c r="R2" s="63"/>
      <c r="S2" s="63"/>
      <c r="T2" s="63"/>
      <c r="U2" s="63"/>
      <c r="V2" s="63"/>
      <c r="W2" s="63"/>
      <c r="X2" s="63"/>
      <c r="Y2" s="63"/>
    </row>
    <row r="4" spans="1:25" s="3" customFormat="1" ht="14.4" customHeight="1">
      <c r="A4" s="208" t="s">
        <v>1074</v>
      </c>
      <c r="B4" s="208"/>
      <c r="C4" s="209"/>
      <c r="D4" s="209"/>
      <c r="E4" s="209"/>
      <c r="F4" s="209"/>
      <c r="K4" s="260"/>
      <c r="L4" s="260"/>
      <c r="M4" s="260"/>
      <c r="N4" s="260"/>
      <c r="O4" s="260"/>
      <c r="P4" s="260"/>
      <c r="Q4" s="260"/>
      <c r="R4" s="260"/>
      <c r="S4" s="260"/>
      <c r="T4" s="260"/>
      <c r="U4" s="260"/>
      <c r="V4" s="260"/>
      <c r="W4" s="260"/>
      <c r="X4" s="260"/>
      <c r="Y4" s="260"/>
    </row>
    <row r="5" spans="1:25" s="3" customFormat="1" ht="14.4" customHeight="1">
      <c r="A5" s="261" t="s">
        <v>38</v>
      </c>
      <c r="B5" s="109" t="str">
        <f>'1. Assumptions'!G5</f>
        <v>Base</v>
      </c>
      <c r="D5" s="262"/>
      <c r="J5" s="263"/>
      <c r="K5" s="264"/>
      <c r="L5" s="264"/>
      <c r="M5" s="264"/>
      <c r="N5" s="264"/>
      <c r="O5" s="264"/>
      <c r="P5" s="264"/>
      <c r="Q5" s="264"/>
      <c r="S5" s="263"/>
      <c r="T5" s="264"/>
      <c r="U5" s="264"/>
      <c r="V5" s="264"/>
      <c r="W5" s="264"/>
      <c r="X5" s="264"/>
      <c r="Y5" s="264"/>
    </row>
    <row r="6" spans="1:25" s="3" customFormat="1" ht="13.2">
      <c r="A6" s="261" t="s">
        <v>1075</v>
      </c>
      <c r="B6" s="96">
        <f>+'1. Assumptions'!G6</f>
        <v>46023</v>
      </c>
      <c r="D6" s="262"/>
      <c r="J6" s="264"/>
      <c r="K6" s="264"/>
      <c r="L6" s="264"/>
      <c r="M6" s="264"/>
      <c r="N6" s="264"/>
      <c r="O6" s="264"/>
      <c r="P6" s="264"/>
      <c r="Q6" s="264"/>
      <c r="S6" s="264"/>
      <c r="T6" s="264"/>
      <c r="U6" s="264"/>
      <c r="V6" s="264"/>
      <c r="W6" s="264"/>
      <c r="X6" s="264"/>
      <c r="Y6" s="264"/>
    </row>
    <row r="7" spans="1:25" s="3" customFormat="1" ht="13.2">
      <c r="A7" s="261" t="s">
        <v>46</v>
      </c>
      <c r="B7" s="265">
        <f>+'1. Assumptions'!G7</f>
        <v>24</v>
      </c>
      <c r="D7" s="262"/>
      <c r="J7" s="264"/>
      <c r="K7" s="264"/>
      <c r="L7" s="264"/>
      <c r="M7" s="264"/>
      <c r="N7" s="264"/>
      <c r="O7" s="264"/>
      <c r="P7" s="264"/>
      <c r="Q7" s="264"/>
      <c r="S7" s="264"/>
      <c r="T7" s="264"/>
      <c r="U7" s="264"/>
      <c r="V7" s="264"/>
      <c r="W7" s="264"/>
      <c r="X7" s="264"/>
      <c r="Y7" s="264"/>
    </row>
    <row r="8" spans="1:25" s="3" customFormat="1" ht="13.2">
      <c r="J8" s="264"/>
      <c r="K8" s="264"/>
      <c r="L8" s="264"/>
      <c r="M8" s="264"/>
      <c r="N8" s="264"/>
      <c r="O8" s="264"/>
      <c r="P8" s="264"/>
      <c r="Q8" s="264"/>
      <c r="S8" s="264"/>
      <c r="T8" s="264"/>
      <c r="U8" s="264"/>
      <c r="V8" s="264"/>
      <c r="W8" s="264"/>
      <c r="X8" s="264"/>
      <c r="Y8" s="264"/>
    </row>
    <row r="9" spans="1:25" s="3" customFormat="1" ht="13.2">
      <c r="A9" s="105" t="s">
        <v>1076</v>
      </c>
      <c r="B9" s="105"/>
      <c r="C9" s="105"/>
      <c r="D9" s="105"/>
      <c r="E9" s="105"/>
      <c r="F9" s="105"/>
      <c r="G9" s="105"/>
      <c r="H9" s="106"/>
      <c r="J9" s="264"/>
      <c r="K9" s="264"/>
      <c r="L9" s="264"/>
      <c r="M9" s="264"/>
      <c r="N9" s="264"/>
      <c r="O9" s="264"/>
      <c r="P9" s="264"/>
      <c r="Q9" s="264"/>
      <c r="S9" s="264"/>
      <c r="T9" s="264"/>
      <c r="U9" s="264"/>
      <c r="V9" s="264"/>
      <c r="W9" s="264"/>
      <c r="X9" s="264"/>
      <c r="Y9" s="264"/>
    </row>
    <row r="10" spans="1:25" s="3" customFormat="1" ht="13.2">
      <c r="A10" s="104" t="s">
        <v>4</v>
      </c>
      <c r="B10" s="104" t="s">
        <v>32</v>
      </c>
      <c r="C10" s="104" t="s">
        <v>0</v>
      </c>
      <c r="D10" s="104" t="s">
        <v>1</v>
      </c>
      <c r="E10" s="104" t="s">
        <v>2</v>
      </c>
      <c r="F10" s="104" t="s">
        <v>1212</v>
      </c>
      <c r="G10" s="104" t="s">
        <v>38</v>
      </c>
      <c r="H10" s="266"/>
      <c r="J10" s="264"/>
      <c r="K10" s="264"/>
      <c r="L10" s="264"/>
      <c r="M10" s="264"/>
      <c r="N10" s="264"/>
      <c r="O10" s="264"/>
      <c r="P10" s="264"/>
      <c r="Q10" s="264"/>
      <c r="S10" s="264"/>
      <c r="T10" s="264"/>
      <c r="U10" s="264"/>
      <c r="V10" s="264"/>
      <c r="W10" s="264"/>
      <c r="X10" s="264"/>
      <c r="Y10" s="264"/>
    </row>
    <row r="11" spans="1:25" s="3" customFormat="1" ht="13.2">
      <c r="A11" s="267" t="s">
        <v>1077</v>
      </c>
      <c r="B11" s="268" t="s">
        <v>64</v>
      </c>
      <c r="C11" s="269">
        <v>307045.09310702607</v>
      </c>
      <c r="D11" s="269">
        <v>2178586.8004370267</v>
      </c>
      <c r="E11" s="269">
        <v>20712567.647660889</v>
      </c>
      <c r="F11" s="270">
        <f>+E11-C11</f>
        <v>20405522.554553863</v>
      </c>
      <c r="G11" s="270">
        <f>INDEX('3. Revenue Model'!$D:$AA,MATCH("ARR (Recurring Only)",'3. Revenue Model'!$B:$B,0),MATCH("Month 24",'3. Revenue Model'!$D$2:$AA$2,0))</f>
        <v>2178586.8004370267</v>
      </c>
      <c r="H11" s="271"/>
      <c r="J11" s="264"/>
      <c r="K11" s="264"/>
      <c r="L11" s="264"/>
      <c r="M11" s="264"/>
      <c r="N11" s="264"/>
      <c r="O11" s="264"/>
      <c r="P11" s="264"/>
      <c r="Q11" s="264"/>
      <c r="S11" s="264"/>
      <c r="T11" s="264"/>
      <c r="U11" s="264"/>
      <c r="V11" s="264"/>
      <c r="W11" s="264"/>
      <c r="X11" s="264"/>
      <c r="Y11" s="264"/>
    </row>
    <row r="12" spans="1:25" s="3" customFormat="1" ht="14.4" customHeight="1">
      <c r="A12" s="267" t="s">
        <v>1078</v>
      </c>
      <c r="B12" s="268" t="s">
        <v>64</v>
      </c>
      <c r="C12" s="269">
        <v>-668719.93979457975</v>
      </c>
      <c r="D12" s="269">
        <v>5026732.0116651999</v>
      </c>
      <c r="E12" s="269">
        <v>13993729.635151226</v>
      </c>
      <c r="F12" s="270">
        <f t="shared" ref="F12:F17" si="0">+E12-C12</f>
        <v>14662449.574945806</v>
      </c>
      <c r="G12" s="270">
        <f>INDEX('7. P&amp;L + cash'!$D:$AA,MATCH("Ending Cash Balance",'7. P&amp;L + cash'!$B:$B,0),MATCH("Month 24",'7. P&amp;L + cash'!$D$3:$AA$3,0))</f>
        <v>5026732.0116651999</v>
      </c>
      <c r="H12" s="271"/>
      <c r="J12" s="264"/>
      <c r="K12" s="264"/>
      <c r="L12" s="264"/>
      <c r="M12" s="264"/>
      <c r="N12" s="264"/>
      <c r="O12" s="264"/>
      <c r="P12" s="264"/>
      <c r="Q12" s="264"/>
      <c r="S12" s="264"/>
      <c r="T12" s="264"/>
      <c r="U12" s="264"/>
      <c r="V12" s="264"/>
      <c r="W12" s="264"/>
      <c r="X12" s="264"/>
      <c r="Y12" s="264"/>
    </row>
    <row r="13" spans="1:25" s="3" customFormat="1" ht="13.2">
      <c r="A13" s="267" t="s">
        <v>1079</v>
      </c>
      <c r="B13" s="268" t="s">
        <v>47</v>
      </c>
      <c r="C13" s="272">
        <v>-4.5509855485667803</v>
      </c>
      <c r="D13" s="272">
        <v>136.4545274087624</v>
      </c>
      <c r="E13" s="272">
        <v>0</v>
      </c>
      <c r="F13" s="273">
        <f t="shared" si="0"/>
        <v>4.5509855485667803</v>
      </c>
      <c r="G13" s="274">
        <f>INDEX('7. P&amp;L + cash'!$D:$AA,MATCH("Runway Months",'7. P&amp;L + cash'!$B:$B,0),MATCH("Month 24",'7. P&amp;L + cash'!$D$3:$AA$3,0))</f>
        <v>136.4545274087624</v>
      </c>
      <c r="H13" s="271"/>
    </row>
    <row r="14" spans="1:25" s="3" customFormat="1" ht="13.2">
      <c r="A14" s="267" t="s">
        <v>1080</v>
      </c>
      <c r="B14" s="268" t="s">
        <v>173</v>
      </c>
      <c r="C14" s="275">
        <v>0.65176962003212335</v>
      </c>
      <c r="D14" s="275">
        <v>0.73694967780662013</v>
      </c>
      <c r="E14" s="275">
        <v>0.84970985593569481</v>
      </c>
      <c r="F14" s="270">
        <f t="shared" si="0"/>
        <v>0.19794023590357146</v>
      </c>
      <c r="G14" s="276">
        <f>INDEX('7. P&amp;L + cash'!$D:$AA,MATCH("Gross Margin %",'7. P&amp;L + cash'!$B:$B,0),MATCH("Month 24",'7. P&amp;L + cash'!$D$3:$AA$3,0))</f>
        <v>0.73694967780662013</v>
      </c>
      <c r="H14" s="271"/>
      <c r="J14" s="263"/>
      <c r="K14" s="263"/>
      <c r="L14" s="263"/>
      <c r="M14" s="263"/>
      <c r="N14" s="263"/>
      <c r="O14" s="263"/>
      <c r="P14" s="263"/>
      <c r="Q14" s="263"/>
      <c r="S14" s="263"/>
      <c r="T14" s="264"/>
      <c r="U14" s="264"/>
      <c r="V14" s="264"/>
      <c r="W14" s="264"/>
      <c r="X14" s="264"/>
      <c r="Y14" s="264"/>
    </row>
    <row r="15" spans="1:25" s="3" customFormat="1" ht="13.2">
      <c r="A15" s="267" t="s">
        <v>1081</v>
      </c>
      <c r="B15" s="268" t="s">
        <v>47</v>
      </c>
      <c r="C15" s="272">
        <v>22.043604534302393</v>
      </c>
      <c r="D15" s="272">
        <v>10.547331421849993</v>
      </c>
      <c r="E15" s="272">
        <v>5.6332068712936474</v>
      </c>
      <c r="F15" s="270">
        <f t="shared" si="0"/>
        <v>-16.410397663008744</v>
      </c>
      <c r="G15" s="273">
        <f>INDEX('6. Unit Economics'!$B:$Y,MATCH("Blended CAC Payback",'6. Unit Economics'!$A:$A,0),MATCH("Month 24",'6. Unit Economics'!$B$47:$Y$47,0))</f>
        <v>10.547331421849993</v>
      </c>
      <c r="H15" s="271"/>
      <c r="J15" s="264"/>
      <c r="K15" s="264"/>
      <c r="L15" s="264"/>
      <c r="M15" s="264"/>
      <c r="N15" s="264"/>
      <c r="O15" s="264"/>
      <c r="P15" s="264"/>
      <c r="Q15" s="264"/>
      <c r="S15" s="264"/>
      <c r="T15" s="264"/>
      <c r="U15" s="264"/>
      <c r="V15" s="264"/>
      <c r="W15" s="264"/>
      <c r="X15" s="264"/>
      <c r="Y15" s="264"/>
    </row>
    <row r="16" spans="1:25" s="3" customFormat="1" ht="13.2">
      <c r="A16" s="267" t="s">
        <v>21</v>
      </c>
      <c r="B16" s="268" t="s">
        <v>88</v>
      </c>
      <c r="C16" s="272">
        <v>11</v>
      </c>
      <c r="D16" s="272">
        <v>13</v>
      </c>
      <c r="E16" s="272">
        <v>13</v>
      </c>
      <c r="F16" s="273">
        <f t="shared" si="0"/>
        <v>2</v>
      </c>
      <c r="G16" s="273">
        <f>INDEX('4. Headcount'!$D:$AA,MATCH("Total Role FTE",'4. Headcount'!$B:$B,0),MATCH("Month 24",'4. Headcount'!$D$3:$AA$3,0))</f>
        <v>13</v>
      </c>
      <c r="H16" s="271"/>
      <c r="J16" s="264"/>
      <c r="K16" s="264"/>
      <c r="L16" s="264"/>
      <c r="M16" s="264"/>
      <c r="N16" s="264"/>
      <c r="O16" s="264"/>
      <c r="P16" s="264"/>
      <c r="Q16" s="264"/>
      <c r="S16" s="264"/>
      <c r="T16" s="264"/>
      <c r="U16" s="264"/>
      <c r="V16" s="264"/>
      <c r="W16" s="264"/>
      <c r="X16" s="264"/>
      <c r="Y16" s="264"/>
    </row>
    <row r="17" spans="1:25" s="3" customFormat="1" ht="13.2">
      <c r="A17" s="277" t="s">
        <v>1082</v>
      </c>
      <c r="B17" s="268" t="s">
        <v>1083</v>
      </c>
      <c r="C17" s="269" t="s">
        <v>1214</v>
      </c>
      <c r="D17" s="269" t="s">
        <v>686</v>
      </c>
      <c r="E17" s="269" t="s">
        <v>674</v>
      </c>
      <c r="F17" s="278"/>
      <c r="G17" s="270" t="str">
        <f>IFERROR(INDEX('7. P&amp;L + cash'!$D$3:$AA$3,1,MATCH("Series A Ready",INDEX('7. P&amp;L + cash'!$D:$AA,MATCH("Series A Ready Signal",'7. P&amp;L + cash'!$B:$B,0),0),
0)
),
"Not Ready")</f>
        <v>Month 23</v>
      </c>
      <c r="H17" s="271"/>
      <c r="J17" s="264"/>
      <c r="K17" s="264"/>
      <c r="L17" s="264"/>
      <c r="M17" s="264"/>
      <c r="N17" s="264"/>
      <c r="O17" s="264"/>
      <c r="P17" s="264"/>
      <c r="Q17" s="264"/>
      <c r="S17" s="264"/>
      <c r="T17" s="264"/>
      <c r="U17" s="264"/>
      <c r="V17" s="264"/>
      <c r="W17" s="264"/>
      <c r="X17" s="264"/>
      <c r="Y17" s="264"/>
    </row>
    <row r="18" spans="1:25" s="3" customFormat="1" ht="13.2">
      <c r="J18" s="264"/>
      <c r="K18" s="264"/>
      <c r="L18" s="264"/>
      <c r="M18" s="264"/>
      <c r="N18" s="264"/>
      <c r="O18" s="264"/>
      <c r="P18" s="264"/>
      <c r="Q18" s="264"/>
      <c r="S18" s="264"/>
      <c r="T18" s="264"/>
      <c r="U18" s="264"/>
      <c r="V18" s="264"/>
      <c r="W18" s="264"/>
      <c r="X18" s="264"/>
      <c r="Y18" s="264"/>
    </row>
    <row r="19" spans="1:25" s="3" customFormat="1" ht="13.2"/>
    <row r="20" spans="1:25" s="3" customFormat="1" ht="14.4" customHeight="1">
      <c r="A20" s="105" t="s">
        <v>1084</v>
      </c>
      <c r="B20" s="208"/>
      <c r="C20" s="208"/>
      <c r="D20" s="208"/>
      <c r="E20" s="208"/>
      <c r="F20" s="208"/>
      <c r="G20" s="208"/>
      <c r="H20" s="208"/>
      <c r="I20" s="208"/>
      <c r="J20" s="208"/>
      <c r="K20" s="208"/>
      <c r="L20" s="208"/>
      <c r="M20" s="208"/>
      <c r="N20" s="208"/>
      <c r="O20" s="208"/>
      <c r="P20" s="208"/>
      <c r="Q20" s="208"/>
      <c r="R20" s="208"/>
      <c r="S20" s="208"/>
      <c r="T20" s="208"/>
      <c r="U20" s="208"/>
      <c r="V20" s="208"/>
      <c r="W20" s="208"/>
      <c r="X20" s="208"/>
      <c r="Y20" s="208"/>
    </row>
    <row r="21" spans="1:25" s="3" customFormat="1" ht="13.2">
      <c r="A21" s="104" t="s">
        <v>4</v>
      </c>
      <c r="B21" s="104" t="str">
        <f>+'3. Revenue Model'!D2</f>
        <v>Month 1</v>
      </c>
      <c r="C21" s="104" t="str">
        <f>+'3. Revenue Model'!E2</f>
        <v>Month 2</v>
      </c>
      <c r="D21" s="104" t="str">
        <f>+'3. Revenue Model'!F2</f>
        <v>Month 3</v>
      </c>
      <c r="E21" s="104" t="str">
        <f>+'3. Revenue Model'!G2</f>
        <v>Month 4</v>
      </c>
      <c r="F21" s="104" t="str">
        <f>+'3. Revenue Model'!H2</f>
        <v>Month 5</v>
      </c>
      <c r="G21" s="104" t="str">
        <f>+'3. Revenue Model'!I2</f>
        <v>Month 6</v>
      </c>
      <c r="H21" s="104" t="str">
        <f>+'3. Revenue Model'!J2</f>
        <v>Month 7</v>
      </c>
      <c r="I21" s="104" t="str">
        <f>+'3. Revenue Model'!K2</f>
        <v>Month 8</v>
      </c>
      <c r="J21" s="104" t="str">
        <f>+'3. Revenue Model'!L2</f>
        <v>Month 9</v>
      </c>
      <c r="K21" s="104" t="str">
        <f>+'3. Revenue Model'!M2</f>
        <v>Month 10</v>
      </c>
      <c r="L21" s="104" t="str">
        <f>+'3. Revenue Model'!N2</f>
        <v>Month 11</v>
      </c>
      <c r="M21" s="104" t="str">
        <f>+'3. Revenue Model'!O2</f>
        <v>Month 12</v>
      </c>
      <c r="N21" s="104" t="str">
        <f>+'3. Revenue Model'!P2</f>
        <v>Month 13</v>
      </c>
      <c r="O21" s="104" t="str">
        <f>+'3. Revenue Model'!Q2</f>
        <v>Month 14</v>
      </c>
      <c r="P21" s="104" t="str">
        <f>+'3. Revenue Model'!R2</f>
        <v>Month 15</v>
      </c>
      <c r="Q21" s="104" t="str">
        <f>+'3. Revenue Model'!S2</f>
        <v>Month 16</v>
      </c>
      <c r="R21" s="104" t="str">
        <f>+'3. Revenue Model'!T2</f>
        <v>Month 17</v>
      </c>
      <c r="S21" s="104" t="str">
        <f>+'3. Revenue Model'!U2</f>
        <v>Month 18</v>
      </c>
      <c r="T21" s="104" t="str">
        <f>+'3. Revenue Model'!V2</f>
        <v>Month 19</v>
      </c>
      <c r="U21" s="104" t="str">
        <f>+'3. Revenue Model'!W2</f>
        <v>Month 20</v>
      </c>
      <c r="V21" s="104" t="str">
        <f>+'3. Revenue Model'!X2</f>
        <v>Month 21</v>
      </c>
      <c r="W21" s="104" t="str">
        <f>+'3. Revenue Model'!Y2</f>
        <v>Month 22</v>
      </c>
      <c r="X21" s="104" t="str">
        <f>+'3. Revenue Model'!Z2</f>
        <v>Month 23</v>
      </c>
      <c r="Y21" s="104" t="str">
        <f>+'3. Revenue Model'!AA2</f>
        <v>Month 24</v>
      </c>
    </row>
    <row r="22" spans="1:25" s="3" customFormat="1" ht="13.2">
      <c r="A22" s="279" t="s">
        <v>24</v>
      </c>
      <c r="B22" s="280">
        <f>INDEX('3. Revenue Model'!$D:$AA,MATCH("ARR (Recurring Only)",'3. Revenue Model'!$B:$B,0),MATCH(B$21,'3. Revenue Model'!$D$2:$AA$2,0))</f>
        <v>533559.60000000009</v>
      </c>
      <c r="C22" s="280">
        <f>INDEX('3. Revenue Model'!$D:$AA,MATCH("ARR (Recurring Only)",'3. Revenue Model'!$B:$B,0),MATCH(C$21,'3. Revenue Model'!$D$2:$AA$2,0))</f>
        <v>553552.45233219536</v>
      </c>
      <c r="D22" s="280">
        <f>INDEX('3. Revenue Model'!$D:$AA,MATCH("ARR (Recurring Only)",'3. Revenue Model'!$B:$B,0),MATCH(D$21,'3. Revenue Model'!$D$2:$AA$2,0))</f>
        <v>574101.17035420542</v>
      </c>
      <c r="E22" s="280">
        <f>INDEX('3. Revenue Model'!$D:$AA,MATCH("ARR (Recurring Only)",'3. Revenue Model'!$B:$B,0),MATCH(E$21,'3. Revenue Model'!$D$2:$AA$2,0))</f>
        <v>595640.27496867348</v>
      </c>
      <c r="F22" s="280">
        <f>INDEX('3. Revenue Model'!$D:$AA,MATCH("ARR (Recurring Only)",'3. Revenue Model'!$B:$B,0),MATCH(F$21,'3. Revenue Model'!$D$2:$AA$2,0))</f>
        <v>618558.95316425734</v>
      </c>
      <c r="G22" s="280">
        <f>INDEX('3. Revenue Model'!$D:$AA,MATCH("ARR (Recurring Only)",'3. Revenue Model'!$B:$B,0),MATCH(G$21,'3. Revenue Model'!$D$2:$AA$2,0))</f>
        <v>650403.43592328834</v>
      </c>
      <c r="H22" s="280">
        <f>INDEX('3. Revenue Model'!$D:$AA,MATCH("ARR (Recurring Only)",'3. Revenue Model'!$B:$B,0),MATCH(H$21,'3. Revenue Model'!$D$2:$AA$2,0))</f>
        <v>684659.2304366196</v>
      </c>
      <c r="I22" s="280">
        <f>INDEX('3. Revenue Model'!$D:$AA,MATCH("ARR (Recurring Only)",'3. Revenue Model'!$B:$B,0),MATCH(I$21,'3. Revenue Model'!$D$2:$AA$2,0))</f>
        <v>721681.90570737433</v>
      </c>
      <c r="J22" s="280">
        <f>INDEX('3. Revenue Model'!$D:$AA,MATCH("ARR (Recurring Only)",'3. Revenue Model'!$B:$B,0),MATCH(J$21,'3. Revenue Model'!$D$2:$AA$2,0))</f>
        <v>761827.03851761343</v>
      </c>
      <c r="K22" s="280">
        <f>INDEX('3. Revenue Model'!$D:$AA,MATCH("ARR (Recurring Only)",'3. Revenue Model'!$B:$B,0),MATCH(K$21,'3. Revenue Model'!$D$2:$AA$2,0))</f>
        <v>808738.26504080137</v>
      </c>
      <c r="L22" s="280">
        <f>INDEX('3. Revenue Model'!$D:$AA,MATCH("ARR (Recurring Only)",'3. Revenue Model'!$B:$B,0),MATCH(L$21,'3. Revenue Model'!$D$2:$AA$2,0))</f>
        <v>859904.17127554596</v>
      </c>
      <c r="M22" s="280">
        <f>INDEX('3. Revenue Model'!$D:$AA,MATCH("ARR (Recurring Only)",'3. Revenue Model'!$B:$B,0),MATCH(M$21,'3. Revenue Model'!$D$2:$AA$2,0))</f>
        <v>915778.20511503622</v>
      </c>
      <c r="N22" s="280">
        <f>INDEX('3. Revenue Model'!$D:$AA,MATCH("ARR (Recurring Only)",'3. Revenue Model'!$B:$B,0),MATCH(N$21,'3. Revenue Model'!$D$2:$AA$2,0))</f>
        <v>976845.3053982585</v>
      </c>
      <c r="O22" s="280">
        <f>INDEX('3. Revenue Model'!$D:$AA,MATCH("ARR (Recurring Only)",'3. Revenue Model'!$B:$B,0),MATCH(O$21,'3. Revenue Model'!$D$2:$AA$2,0))</f>
        <v>1043627.2782152807</v>
      </c>
      <c r="P22" s="280">
        <f>INDEX('3. Revenue Model'!$D:$AA,MATCH("ARR (Recurring Only)",'3. Revenue Model'!$B:$B,0),MATCH(P$21,'3. Revenue Model'!$D$2:$AA$2,0))</f>
        <v>1116688.2268558932</v>
      </c>
      <c r="Q22" s="280">
        <f>INDEX('3. Revenue Model'!$D:$AA,MATCH("ARR (Recurring Only)",'3. Revenue Model'!$B:$B,0),MATCH(Q$21,'3. Revenue Model'!$D$2:$AA$2,0))</f>
        <v>1196640.1418957575</v>
      </c>
      <c r="R22" s="280">
        <f>INDEX('3. Revenue Model'!$D:$AA,MATCH("ARR (Recurring Only)",'3. Revenue Model'!$B:$B,0),MATCH(R$21,'3. Revenue Model'!$D$2:$AA$2,0))</f>
        <v>1284148.7472835707</v>
      </c>
      <c r="S22" s="280">
        <f>INDEX('3. Revenue Model'!$D:$AA,MATCH("ARR (Recurring Only)",'3. Revenue Model'!$B:$B,0),MATCH(S$21,'3. Revenue Model'!$D$2:$AA$2,0))</f>
        <v>1379939.6911168513</v>
      </c>
      <c r="T22" s="280">
        <f>INDEX('3. Revenue Model'!$D:$AA,MATCH("ARR (Recurring Only)",'3. Revenue Model'!$B:$B,0),MATCH(T$21,'3. Revenue Model'!$D$2:$AA$2,0))</f>
        <v>1484805.1654667938</v>
      </c>
      <c r="U22" s="280">
        <f>INDEX('3. Revenue Model'!$D:$AA,MATCH("ARR (Recurring Only)",'3. Revenue Model'!$B:$B,0),MATCH(U$21,'3. Revenue Model'!$D$2:$AA$2,0))</f>
        <v>1599611.0376685413</v>
      </c>
      <c r="V22" s="280">
        <f>INDEX('3. Revenue Model'!$D:$AA,MATCH("ARR (Recurring Only)",'3. Revenue Model'!$B:$B,0),MATCH(V$21,'3. Revenue Model'!$D$2:$AA$2,0))</f>
        <v>1725304.575578677</v>
      </c>
      <c r="W22" s="280">
        <f>INDEX('3. Revenue Model'!$D:$AA,MATCH("ARR (Recurring Only)",'3. Revenue Model'!$B:$B,0),MATCH(W$21,'3. Revenue Model'!$D$2:$AA$2,0))</f>
        <v>1862922.8511532308</v>
      </c>
      <c r="X22" s="280">
        <f>INDEX('3. Revenue Model'!$D:$AA,MATCH("ARR (Recurring Only)",'3. Revenue Model'!$B:$B,0),MATCH(X$21,'3. Revenue Model'!$D$2:$AA$2,0))</f>
        <v>2013601.9101260379</v>
      </c>
      <c r="Y22" s="280">
        <f>INDEX('3. Revenue Model'!$D:$AA,MATCH("ARR (Recurring Only)",'3. Revenue Model'!$B:$B,0),MATCH(Y$21,'3. Revenue Model'!$D$2:$AA$2,0))</f>
        <v>2178586.8004370267</v>
      </c>
    </row>
    <row r="23" spans="1:25" s="3" customFormat="1" ht="13.2">
      <c r="A23" s="279" t="s">
        <v>1085</v>
      </c>
      <c r="B23" s="280">
        <f>INDEX('3. Revenue Model'!$D:$AA,MATCH("Total Recurring MRR",'3. Revenue Model'!$B:$B,0),MATCH(B$21,'3. Revenue Model'!$D$2:$AA$2,0))</f>
        <v>44463.3</v>
      </c>
      <c r="C23" s="280">
        <f>INDEX('3. Revenue Model'!$D:$AA,MATCH("Total Recurring MRR",'3. Revenue Model'!$B:$B,0),MATCH(C$21,'3. Revenue Model'!$D$2:$AA$2,0))</f>
        <v>46129.371027682952</v>
      </c>
      <c r="D23" s="280">
        <f>INDEX('3. Revenue Model'!$D:$AA,MATCH("Total Recurring MRR",'3. Revenue Model'!$B:$B,0),MATCH(D$21,'3. Revenue Model'!$D$2:$AA$2,0))</f>
        <v>47841.764196183787</v>
      </c>
      <c r="E23" s="280">
        <f>INDEX('3. Revenue Model'!$D:$AA,MATCH("Total Recurring MRR",'3. Revenue Model'!$B:$B,0),MATCH(E$21,'3. Revenue Model'!$D$2:$AA$2,0))</f>
        <v>49636.689580722785</v>
      </c>
      <c r="F23" s="280">
        <f>INDEX('3. Revenue Model'!$D:$AA,MATCH("Total Recurring MRR",'3. Revenue Model'!$B:$B,0),MATCH(F$21,'3. Revenue Model'!$D$2:$AA$2,0))</f>
        <v>51546.579430354774</v>
      </c>
      <c r="G23" s="280">
        <f>INDEX('3. Revenue Model'!$D:$AA,MATCH("Total Recurring MRR",'3. Revenue Model'!$B:$B,0),MATCH(G$21,'3. Revenue Model'!$D$2:$AA$2,0))</f>
        <v>54200.286326940695</v>
      </c>
      <c r="H23" s="280">
        <f>INDEX('3. Revenue Model'!$D:$AA,MATCH("Total Recurring MRR",'3. Revenue Model'!$B:$B,0),MATCH(H$21,'3. Revenue Model'!$D$2:$AA$2,0))</f>
        <v>57054.935869718305</v>
      </c>
      <c r="I23" s="280">
        <f>INDEX('3. Revenue Model'!$D:$AA,MATCH("Total Recurring MRR",'3. Revenue Model'!$B:$B,0),MATCH(I$21,'3. Revenue Model'!$D$2:$AA$2,0))</f>
        <v>60140.158808947861</v>
      </c>
      <c r="J23" s="280">
        <f>INDEX('3. Revenue Model'!$D:$AA,MATCH("Total Recurring MRR",'3. Revenue Model'!$B:$B,0),MATCH(J$21,'3. Revenue Model'!$D$2:$AA$2,0))</f>
        <v>63485.58654313445</v>
      </c>
      <c r="K23" s="280">
        <f>INDEX('3. Revenue Model'!$D:$AA,MATCH("Total Recurring MRR",'3. Revenue Model'!$B:$B,0),MATCH(K$21,'3. Revenue Model'!$D$2:$AA$2,0))</f>
        <v>67394.855420066786</v>
      </c>
      <c r="L23" s="280">
        <f>INDEX('3. Revenue Model'!$D:$AA,MATCH("Total Recurring MRR",'3. Revenue Model'!$B:$B,0),MATCH(L$21,'3. Revenue Model'!$D$2:$AA$2,0))</f>
        <v>71658.68093962883</v>
      </c>
      <c r="M23" s="280">
        <f>INDEX('3. Revenue Model'!$D:$AA,MATCH("Total Recurring MRR",'3. Revenue Model'!$B:$B,0),MATCH(M$21,'3. Revenue Model'!$D$2:$AA$2,0))</f>
        <v>76314.850426253019</v>
      </c>
      <c r="N23" s="280">
        <f>INDEX('3. Revenue Model'!$D:$AA,MATCH("Total Recurring MRR",'3. Revenue Model'!$B:$B,0),MATCH(N$21,'3. Revenue Model'!$D$2:$AA$2,0))</f>
        <v>81403.775449854875</v>
      </c>
      <c r="O23" s="280">
        <f>INDEX('3. Revenue Model'!$D:$AA,MATCH("Total Recurring MRR",'3. Revenue Model'!$B:$B,0),MATCH(O$21,'3. Revenue Model'!$D$2:$AA$2,0))</f>
        <v>86968.93985127339</v>
      </c>
      <c r="P23" s="280">
        <f>INDEX('3. Revenue Model'!$D:$AA,MATCH("Total Recurring MRR",'3. Revenue Model'!$B:$B,0),MATCH(P$21,'3. Revenue Model'!$D$2:$AA$2,0))</f>
        <v>93057.352237991101</v>
      </c>
      <c r="Q23" s="280">
        <f>INDEX('3. Revenue Model'!$D:$AA,MATCH("Total Recurring MRR",'3. Revenue Model'!$B:$B,0),MATCH(Q$21,'3. Revenue Model'!$D$2:$AA$2,0))</f>
        <v>99720.01182464647</v>
      </c>
      <c r="R23" s="280">
        <f>INDEX('3. Revenue Model'!$D:$AA,MATCH("Total Recurring MRR",'3. Revenue Model'!$B:$B,0),MATCH(R$21,'3. Revenue Model'!$D$2:$AA$2,0))</f>
        <v>107012.39560696423</v>
      </c>
      <c r="S23" s="280">
        <f>INDEX('3. Revenue Model'!$D:$AA,MATCH("Total Recurring MRR",'3. Revenue Model'!$B:$B,0),MATCH(S$21,'3. Revenue Model'!$D$2:$AA$2,0))</f>
        <v>114994.9742597376</v>
      </c>
      <c r="T23" s="280">
        <f>INDEX('3. Revenue Model'!$D:$AA,MATCH("Total Recurring MRR",'3. Revenue Model'!$B:$B,0),MATCH(T$21,'3. Revenue Model'!$D$2:$AA$2,0))</f>
        <v>123733.76378889949</v>
      </c>
      <c r="U23" s="280">
        <f>INDEX('3. Revenue Model'!$D:$AA,MATCH("Total Recurring MRR",'3. Revenue Model'!$B:$B,0),MATCH(U$21,'3. Revenue Model'!$D$2:$AA$2,0))</f>
        <v>133300.91980571178</v>
      </c>
      <c r="V23" s="280">
        <f>INDEX('3. Revenue Model'!$D:$AA,MATCH("Total Recurring MRR",'3. Revenue Model'!$B:$B,0),MATCH(V$21,'3. Revenue Model'!$D$2:$AA$2,0))</f>
        <v>143775.38129822307</v>
      </c>
      <c r="W23" s="280">
        <f>INDEX('3. Revenue Model'!$D:$AA,MATCH("Total Recurring MRR",'3. Revenue Model'!$B:$B,0),MATCH(W$21,'3. Revenue Model'!$D$2:$AA$2,0))</f>
        <v>155243.5709294359</v>
      </c>
      <c r="X23" s="280">
        <f>INDEX('3. Revenue Model'!$D:$AA,MATCH("Total Recurring MRR",'3. Revenue Model'!$B:$B,0),MATCH(X$21,'3. Revenue Model'!$D$2:$AA$2,0))</f>
        <v>167800.15917716981</v>
      </c>
      <c r="Y23" s="280">
        <f>INDEX('3. Revenue Model'!$D:$AA,MATCH("Total Recurring MRR",'3. Revenue Model'!$B:$B,0),MATCH(Y$21,'3. Revenue Model'!$D$2:$AA$2,0))</f>
        <v>181548.9000364189</v>
      </c>
    </row>
    <row r="24" spans="1:25" s="3" customFormat="1" ht="13.2">
      <c r="A24" s="279" t="s">
        <v>77</v>
      </c>
      <c r="B24" s="280">
        <f>INDEX('3. Revenue Model'!$D:$AA,MATCH("Total Monthly Revenue",'3. Revenue Model'!$B:$B,0),MATCH(B$21,'3. Revenue Model'!$D$2:$AA$2,0))</f>
        <v>44463.3</v>
      </c>
      <c r="C24" s="280">
        <f>INDEX('3. Revenue Model'!$D:$AA,MATCH("Total Monthly Revenue",'3. Revenue Model'!$B:$B,0),MATCH(C$21,'3. Revenue Model'!$D$2:$AA$2,0))</f>
        <v>46129.371027682952</v>
      </c>
      <c r="D24" s="280">
        <f>INDEX('3. Revenue Model'!$D:$AA,MATCH("Total Monthly Revenue",'3. Revenue Model'!$B:$B,0),MATCH(D$21,'3. Revenue Model'!$D$2:$AA$2,0))</f>
        <v>47841.764196183787</v>
      </c>
      <c r="E24" s="280">
        <f>INDEX('3. Revenue Model'!$D:$AA,MATCH("Total Monthly Revenue",'3. Revenue Model'!$B:$B,0),MATCH(E$21,'3. Revenue Model'!$D$2:$AA$2,0))</f>
        <v>49636.689580722785</v>
      </c>
      <c r="F24" s="280">
        <f>INDEX('3. Revenue Model'!$D:$AA,MATCH("Total Monthly Revenue",'3. Revenue Model'!$B:$B,0),MATCH(F$21,'3. Revenue Model'!$D$2:$AA$2,0))</f>
        <v>51546.579430354774</v>
      </c>
      <c r="G24" s="280">
        <f>INDEX('3. Revenue Model'!$D:$AA,MATCH("Total Monthly Revenue",'3. Revenue Model'!$B:$B,0),MATCH(G$21,'3. Revenue Model'!$D$2:$AA$2,0))</f>
        <v>55200.286326940695</v>
      </c>
      <c r="H24" s="280">
        <f>INDEX('3. Revenue Model'!$D:$AA,MATCH("Total Monthly Revenue",'3. Revenue Model'!$B:$B,0),MATCH(H$21,'3. Revenue Model'!$D$2:$AA$2,0))</f>
        <v>59124.935869718305</v>
      </c>
      <c r="I24" s="280">
        <f>INDEX('3. Revenue Model'!$D:$AA,MATCH("Total Monthly Revenue",'3. Revenue Model'!$B:$B,0),MATCH(I$21,'3. Revenue Model'!$D$2:$AA$2,0))</f>
        <v>63355.058808947862</v>
      </c>
      <c r="J24" s="280">
        <f>INDEX('3. Revenue Model'!$D:$AA,MATCH("Total Monthly Revenue",'3. Revenue Model'!$B:$B,0),MATCH(J$21,'3. Revenue Model'!$D$2:$AA$2,0))</f>
        <v>66925.529543134457</v>
      </c>
      <c r="K24" s="280">
        <f>INDEX('3. Revenue Model'!$D:$AA,MATCH("Total Monthly Revenue",'3. Revenue Model'!$B:$B,0),MATCH(K$21,'3. Revenue Model'!$D$2:$AA$2,0))</f>
        <v>71075.594430066791</v>
      </c>
      <c r="L24" s="280">
        <f>INDEX('3. Revenue Model'!$D:$AA,MATCH("Total Monthly Revenue",'3. Revenue Model'!$B:$B,0),MATCH(L$21,'3. Revenue Model'!$D$2:$AA$2,0))</f>
        <v>75597.071680328838</v>
      </c>
      <c r="M24" s="280">
        <f>INDEX('3. Revenue Model'!$D:$AA,MATCH("Total Monthly Revenue",'3. Revenue Model'!$B:$B,0),MATCH(M$21,'3. Revenue Model'!$D$2:$AA$2,0))</f>
        <v>80528.928518802015</v>
      </c>
      <c r="N24" s="280">
        <f>INDEX('3. Revenue Model'!$D:$AA,MATCH("Total Monthly Revenue",'3. Revenue Model'!$B:$B,0),MATCH(N$21,'3. Revenue Model'!$D$2:$AA$2,0))</f>
        <v>85912.839008882307</v>
      </c>
      <c r="O24" s="280">
        <f>INDEX('3. Revenue Model'!$D:$AA,MATCH("Total Monthly Revenue",'3. Revenue Model'!$B:$B,0),MATCH(O$21,'3. Revenue Model'!$D$2:$AA$2,0))</f>
        <v>91793.63785943274</v>
      </c>
      <c r="P24" s="280">
        <f>INDEX('3. Revenue Model'!$D:$AA,MATCH("Total Monthly Revenue",'3. Revenue Model'!$B:$B,0),MATCH(P$21,'3. Revenue Model'!$D$2:$AA$2,0))</f>
        <v>98219.779106721602</v>
      </c>
      <c r="Q24" s="280">
        <f>INDEX('3. Revenue Model'!$D:$AA,MATCH("Total Monthly Revenue",'3. Revenue Model'!$B:$B,0),MATCH(Q$21,'3. Revenue Model'!$D$2:$AA$2,0))</f>
        <v>105243.80857418811</v>
      </c>
      <c r="R24" s="280">
        <f>INDEX('3. Revenue Model'!$D:$AA,MATCH("Total Monthly Revenue",'3. Revenue Model'!$B:$B,0),MATCH(R$21,'3. Revenue Model'!$D$2:$AA$2,0))</f>
        <v>112922.85812897378</v>
      </c>
      <c r="S24" s="280">
        <f>INDEX('3. Revenue Model'!$D:$AA,MATCH("Total Monthly Revenue",'3. Revenue Model'!$B:$B,0),MATCH(S$21,'3. Revenue Model'!$D$2:$AA$2,0))</f>
        <v>121319.16915828783</v>
      </c>
      <c r="T24" s="280">
        <f>INDEX('3. Revenue Model'!$D:$AA,MATCH("Total Monthly Revenue",'3. Revenue Model'!$B:$B,0),MATCH(T$21,'3. Revenue Model'!$D$2:$AA$2,0))</f>
        <v>130500.65233034824</v>
      </c>
      <c r="U24" s="280">
        <f>INDEX('3. Revenue Model'!$D:$AA,MATCH("Total Monthly Revenue",'3. Revenue Model'!$B:$B,0),MATCH(U$21,'3. Revenue Model'!$D$2:$AA$2,0))</f>
        <v>140541.49054506194</v>
      </c>
      <c r="V24" s="280">
        <f>INDEX('3. Revenue Model'!$D:$AA,MATCH("Total Monthly Revenue",'3. Revenue Model'!$B:$B,0),MATCH(V$21,'3. Revenue Model'!$D$2:$AA$2,0))</f>
        <v>151522.79198932773</v>
      </c>
      <c r="W24" s="280">
        <f>INDEX('3. Revenue Model'!$D:$AA,MATCH("Total Monthly Revenue",'3. Revenue Model'!$B:$B,0),MATCH(W$21,'3. Revenue Model'!$D$2:$AA$2,0))</f>
        <v>163533.30036891787</v>
      </c>
      <c r="X24" s="280">
        <f>INDEX('3. Revenue Model'!$D:$AA,MATCH("Total Monthly Revenue",'3. Revenue Model'!$B:$B,0),MATCH(X$21,'3. Revenue Model'!$D$2:$AA$2,0))</f>
        <v>176670.16967741554</v>
      </c>
      <c r="Y24" s="280">
        <f>INDEX('3. Revenue Model'!$D:$AA,MATCH("Total Monthly Revenue",'3. Revenue Model'!$B:$B,0),MATCH(Y$21,'3. Revenue Model'!$D$2:$AA$2,0))</f>
        <v>191039.81127168183</v>
      </c>
    </row>
    <row r="25" spans="1:25" s="3" customFormat="1" ht="13.2">
      <c r="A25" s="279" t="s">
        <v>936</v>
      </c>
      <c r="B25" s="281">
        <f>INDEX('5. COGS '!$D:$AA,MATCH("Gross Margin %",'5. COGS '!$B:$B,0),MATCH(B$21,'5. COGS '!$D$3:$AA$3,0))</f>
        <v>0.81985908490822779</v>
      </c>
      <c r="C25" s="281">
        <f>INDEX('5. COGS '!$D:$AA,MATCH("Gross Margin %",'5. COGS '!$B:$B,0),MATCH(C$21,'5. COGS '!$D$3:$AA$3,0))</f>
        <v>0.82012327456166512</v>
      </c>
      <c r="D25" s="281">
        <f>INDEX('5. COGS '!$D:$AA,MATCH("Gross Margin %",'5. COGS '!$B:$B,0),MATCH(D$21,'5. COGS '!$D$3:$AA$3,0))</f>
        <v>0.82048996233543603</v>
      </c>
      <c r="E25" s="281">
        <f>INDEX('5. COGS '!$D:$AA,MATCH("Gross Margin %",'5. COGS '!$B:$B,0),MATCH(E$21,'5. COGS '!$D$3:$AA$3,0))</f>
        <v>0.82092287250609863</v>
      </c>
      <c r="F25" s="281">
        <f>INDEX('5. COGS '!$D:$AA,MATCH("Gross Margin %",'5. COGS '!$B:$B,0),MATCH(F$21,'5. COGS '!$D$3:$AA$3,0))</f>
        <v>0.82139574493609535</v>
      </c>
      <c r="G25" s="281">
        <f>INDEX('5. COGS '!$D:$AA,MATCH("Gross Margin %",'5. COGS '!$B:$B,0),MATCH(G$21,'5. COGS '!$D$3:$AA$3,0))</f>
        <v>0.81963945450971321</v>
      </c>
      <c r="H25" s="281">
        <f>INDEX('5. COGS '!$D:$AA,MATCH("Gross Margin %",'5. COGS '!$B:$B,0),MATCH(H$21,'5. COGS '!$D$3:$AA$3,0))</f>
        <v>0.8179735679524891</v>
      </c>
      <c r="I25" s="281">
        <f>INDEX('5. COGS '!$D:$AA,MATCH("Gross Margin %",'5. COGS '!$B:$B,0),MATCH(I$21,'5. COGS '!$D$3:$AA$3,0))</f>
        <v>0.67959487440738942</v>
      </c>
      <c r="J25" s="281">
        <f>INDEX('5. COGS '!$D:$AA,MATCH("Gross Margin %",'5. COGS '!$B:$B,0),MATCH(J$21,'5. COGS '!$D$3:$AA$3,0))</f>
        <v>0.68859868723125639</v>
      </c>
      <c r="K25" s="281">
        <f>INDEX('5. COGS '!$D:$AA,MATCH("Gross Margin %",'5. COGS '!$B:$B,0),MATCH(K$21,'5. COGS '!$D$3:$AA$3,0))</f>
        <v>0.69725960350791172</v>
      </c>
      <c r="L25" s="281">
        <f>INDEX('5. COGS '!$D:$AA,MATCH("Gross Margin %",'5. COGS '!$B:$B,0),MATCH(L$21,'5. COGS '!$D$3:$AA$3,0))</f>
        <v>0.70557351776589405</v>
      </c>
      <c r="M25" s="281">
        <f>INDEX('5. COGS '!$D:$AA,MATCH("Gross Margin %",'5. COGS '!$B:$B,0),MATCH(M$21,'5. COGS '!$D$3:$AA$3,0))</f>
        <v>0.71353775911037398</v>
      </c>
      <c r="N25" s="281">
        <f>INDEX('5. COGS '!$D:$AA,MATCH("Gross Margin %",'5. COGS '!$B:$B,0),MATCH(N$21,'5. COGS '!$D$3:$AA$3,0))</f>
        <v>0.72114943615728833</v>
      </c>
      <c r="O25" s="281">
        <f>INDEX('5. COGS '!$D:$AA,MATCH("Gross Margin %",'5. COGS '!$B:$B,0),MATCH(O$21,'5. COGS '!$D$3:$AA$3,0))</f>
        <v>0.72840650935195994</v>
      </c>
      <c r="P25" s="281">
        <f>INDEX('5. COGS '!$D:$AA,MATCH("Gross Margin %",'5. COGS '!$B:$B,0),MATCH(P$21,'5. COGS '!$D$3:$AA$3,0))</f>
        <v>0.73530846509945214</v>
      </c>
      <c r="Q25" s="281">
        <f>INDEX('5. COGS '!$D:$AA,MATCH("Gross Margin %",'5. COGS '!$B:$B,0),MATCH(Q$21,'5. COGS '!$D$3:$AA$3,0))</f>
        <v>0.65950822240294249</v>
      </c>
      <c r="R25" s="281">
        <f>INDEX('5. COGS '!$D:$AA,MATCH("Gross Margin %",'5. COGS '!$B:$B,0),MATCH(R$21,'5. COGS '!$D$3:$AA$3,0))</f>
        <v>0.67130608439668193</v>
      </c>
      <c r="S25" s="281">
        <f>INDEX('5. COGS '!$D:$AA,MATCH("Gross Margin %",'5. COGS '!$B:$B,0),MATCH(S$21,'5. COGS '!$D$3:$AA$3,0))</f>
        <v>0.6824709188534831</v>
      </c>
      <c r="T25" s="281">
        <f>INDEX('5. COGS '!$D:$AA,MATCH("Gross Margin %",'5. COGS '!$B:$B,0),MATCH(T$21,'5. COGS '!$D$3:$AA$3,0))</f>
        <v>0.6930128079901503</v>
      </c>
      <c r="U25" s="281">
        <f>INDEX('5. COGS '!$D:$AA,MATCH("Gross Margin %",'5. COGS '!$B:$B,0),MATCH(U$21,'5. COGS '!$D$3:$AA$3,0))</f>
        <v>0.70294528161623926</v>
      </c>
      <c r="V25" s="281">
        <f>INDEX('5. COGS '!$D:$AA,MATCH("Gross Margin %",'5. COGS '!$B:$B,0),MATCH(V$21,'5. COGS '!$D$3:$AA$3,0))</f>
        <v>0.71228493722424824</v>
      </c>
      <c r="W25" s="281">
        <f>INDEX('5. COGS '!$D:$AA,MATCH("Gross Margin %",'5. COGS '!$B:$B,0),MATCH(W$21,'5. COGS '!$D$3:$AA$3,0))</f>
        <v>0.72105100317048632</v>
      </c>
      <c r="X25" s="281">
        <f>INDEX('5. COGS '!$D:$AA,MATCH("Gross Margin %",'5. COGS '!$B:$B,0),MATCH(X$21,'5. COGS '!$D$3:$AA$3,0))</f>
        <v>0.72926487897986281</v>
      </c>
      <c r="Y25" s="281">
        <f>INDEX('5. COGS '!$D:$AA,MATCH("Gross Margin %",'5. COGS '!$B:$B,0),MATCH(Y$21,'5. COGS '!$D$3:$AA$3,0))</f>
        <v>0.73694967780662013</v>
      </c>
    </row>
    <row r="26" spans="1:25" s="3" customFormat="1" ht="13.2">
      <c r="A26" s="279" t="s">
        <v>1086</v>
      </c>
      <c r="B26" s="280">
        <f>INDEX('7. P&amp;L + cash'!$D:$AA,MATCH("Ending Cash Balance",'7. P&amp;L + cash'!$B:$B,0),MATCH(B$21,'7. P&amp;L + cash'!$D$3:$AA$3,0))</f>
        <v>1512335.4621166666</v>
      </c>
      <c r="C26" s="280">
        <f>INDEX('7. P&amp;L + cash'!$D:$AA,MATCH("Ending Cash Balance",'7. P&amp;L + cash'!$B:$B,0),MATCH(C$21,'7. P&amp;L + cash'!$D$3:$AA$3,0))</f>
        <v>1508196.7243334583</v>
      </c>
      <c r="D26" s="280">
        <f>INDEX('7. P&amp;L + cash'!$D:$AA,MATCH("Ending Cash Balance",'7. P&amp;L + cash'!$B:$B,0),MATCH(D$21,'7. P&amp;L + cash'!$D$3:$AA$3,0))</f>
        <v>1490023.7528328798</v>
      </c>
      <c r="E26" s="280">
        <f>INDEX('7. P&amp;L + cash'!$D:$AA,MATCH("Ending Cash Balance",'7. P&amp;L + cash'!$B:$B,0),MATCH(E$21,'7. P&amp;L + cash'!$D$3:$AA$3,0))</f>
        <v>1457902.0742307885</v>
      </c>
      <c r="F26" s="280">
        <f>INDEX('7. P&amp;L + cash'!$D:$AA,MATCH("Ending Cash Balance",'7. P&amp;L + cash'!$B:$B,0),MATCH(F$21,'7. P&amp;L + cash'!$D$3:$AA$3,0))</f>
        <v>1416942.7845283854</v>
      </c>
      <c r="G26" s="280">
        <f>INDEX('7. P&amp;L + cash'!$D:$AA,MATCH("Ending Cash Balance",'7. P&amp;L + cash'!$B:$B,0),MATCH(G$21,'7. P&amp;L + cash'!$D$3:$AA$3,0))</f>
        <v>1361562.316727173</v>
      </c>
      <c r="H26" s="280">
        <f>INDEX('7. P&amp;L + cash'!$D:$AA,MATCH("Ending Cash Balance",'7. P&amp;L + cash'!$B:$B,0),MATCH(H$21,'7. P&amp;L + cash'!$D$3:$AA$3,0))</f>
        <v>1305944.4411794234</v>
      </c>
      <c r="I26" s="280">
        <f>INDEX('7. P&amp;L + cash'!$D:$AA,MATCH("Ending Cash Balance",'7. P&amp;L + cash'!$B:$B,0),MATCH(I$21,'7. P&amp;L + cash'!$D$3:$AA$3,0))</f>
        <v>1244676.1563135234</v>
      </c>
      <c r="J26" s="280">
        <f>INDEX('7. P&amp;L + cash'!$D:$AA,MATCH("Ending Cash Balance",'7. P&amp;L + cash'!$B:$B,0),MATCH(J$21,'7. P&amp;L + cash'!$D$3:$AA$3,0))</f>
        <v>1172539.7665720116</v>
      </c>
      <c r="K26" s="280">
        <f>INDEX('7. P&amp;L + cash'!$D:$AA,MATCH("Ending Cash Balance",'7. P&amp;L + cash'!$B:$B,0),MATCH(K$21,'7. P&amp;L + cash'!$D$3:$AA$3,0))</f>
        <v>1090493.3783798253</v>
      </c>
      <c r="L26" s="280">
        <f>INDEX('7. P&amp;L + cash'!$D:$AA,MATCH("Ending Cash Balance",'7. P&amp;L + cash'!$B:$B,0),MATCH(L$21,'7. P&amp;L + cash'!$D$3:$AA$3,0))</f>
        <v>1011976.7843103755</v>
      </c>
      <c r="M26" s="280">
        <f>INDEX('7. P&amp;L + cash'!$D:$AA,MATCH("Ending Cash Balance",'7. P&amp;L + cash'!$B:$B,0),MATCH(M$21,'7. P&amp;L + cash'!$D$3:$AA$3,0))</f>
        <v>923184.26222337573</v>
      </c>
      <c r="N26" s="280">
        <f>INDEX('7. P&amp;L + cash'!$D:$AA,MATCH("Ending Cash Balance",'7. P&amp;L + cash'!$B:$B,0),MATCH(N$21,'7. P&amp;L + cash'!$D$3:$AA$3,0))</f>
        <v>837680.01577680232</v>
      </c>
      <c r="O26" s="280">
        <f>INDEX('7. P&amp;L + cash'!$D:$AA,MATCH("Ending Cash Balance",'7. P&amp;L + cash'!$B:$B,0),MATCH(O$21,'7. P&amp;L + cash'!$D$3:$AA$3,0))</f>
        <v>742734.43658203131</v>
      </c>
      <c r="P26" s="280">
        <f>INDEX('7. P&amp;L + cash'!$D:$AA,MATCH("Ending Cash Balance",'7. P&amp;L + cash'!$B:$B,0),MATCH(P$21,'7. P&amp;L + cash'!$D$3:$AA$3,0))</f>
        <v>652994.09296540951</v>
      </c>
      <c r="Q26" s="280">
        <f>INDEX('7. P&amp;L + cash'!$D:$AA,MATCH("Ending Cash Balance",'7. P&amp;L + cash'!$B:$B,0),MATCH(Q$21,'7. P&amp;L + cash'!$D$3:$AA$3,0))</f>
        <v>560318.79583351512</v>
      </c>
      <c r="R26" s="280">
        <f>INDEX('7. P&amp;L + cash'!$D:$AA,MATCH("Ending Cash Balance",'7. P&amp;L + cash'!$B:$B,0),MATCH(R$21,'7. P&amp;L + cash'!$D$3:$AA$3,0))</f>
        <v>473952.43196457293</v>
      </c>
      <c r="S26" s="280">
        <f>INDEX('7. P&amp;L + cash'!$D:$AA,MATCH("Ending Cash Balance",'7. P&amp;L + cash'!$B:$B,0),MATCH(S$21,'7. P&amp;L + cash'!$D$3:$AA$3,0))</f>
        <v>394527.59451722878</v>
      </c>
      <c r="T26" s="280">
        <f>INDEX('7. P&amp;L + cash'!$D:$AA,MATCH("Ending Cash Balance",'7. P&amp;L + cash'!$B:$B,0),MATCH(T$21,'7. P&amp;L + cash'!$D$3:$AA$3,0))</f>
        <v>322737.37984522828</v>
      </c>
      <c r="U26" s="280">
        <f>INDEX('7. P&amp;L + cash'!$D:$AA,MATCH("Ending Cash Balance",'7. P&amp;L + cash'!$B:$B,0),MATCH(U$21,'7. P&amp;L + cash'!$D$3:$AA$3,0))</f>
        <v>243174.39232203056</v>
      </c>
      <c r="V26" s="280">
        <f>INDEX('7. P&amp;L + cash'!$D:$AA,MATCH("Ending Cash Balance",'7. P&amp;L + cash'!$B:$B,0),MATCH(V$21,'7. P&amp;L + cash'!$D$3:$AA$3,0))</f>
        <v>172837.00494782929</v>
      </c>
      <c r="W26" s="280">
        <f>INDEX('7. P&amp;L + cash'!$D:$AA,MATCH("Ending Cash Balance",'7. P&amp;L + cash'!$B:$B,0),MATCH(W$21,'7. P&amp;L + cash'!$D$3:$AA$3,0))</f>
        <v>112636.2631522055</v>
      </c>
      <c r="X26" s="280">
        <f>INDEX('7. P&amp;L + cash'!$D:$AA,MATCH("Ending Cash Balance",'7. P&amp;L + cash'!$B:$B,0),MATCH(X$21,'7. P&amp;L + cash'!$D$3:$AA$3,0))</f>
        <v>5063570.1591940625</v>
      </c>
      <c r="Y26" s="280">
        <f>INDEX('7. P&amp;L + cash'!$D:$AA,MATCH("Ending Cash Balance",'7. P&amp;L + cash'!$B:$B,0),MATCH(Y$21,'7. P&amp;L + cash'!$D$3:$AA$3,0))</f>
        <v>5026732.0116651999</v>
      </c>
    </row>
    <row r="27" spans="1:25" s="3" customFormat="1" ht="13.2">
      <c r="A27" s="279" t="s">
        <v>1087</v>
      </c>
      <c r="B27" s="280">
        <f>INDEX('7. P&amp;L + cash'!$D:$AA,MATCH("Net Cash Burn",'7. P&amp;L + cash'!$B:$B,0),MATCH(B$21,'7. P&amp;L + cash'!$D$3:$AA$3,0))</f>
        <v>0</v>
      </c>
      <c r="C27" s="280">
        <f>INDEX('7. P&amp;L + cash'!$D:$AA,MATCH("Net Cash Burn",'7. P&amp;L + cash'!$B:$B,0),MATCH(C$21,'7. P&amp;L + cash'!$D$3:$AA$3,0))</f>
        <v>4138.7377832083366</v>
      </c>
      <c r="D27" s="280">
        <f>INDEX('7. P&amp;L + cash'!$D:$AA,MATCH("Net Cash Burn",'7. P&amp;L + cash'!$B:$B,0),MATCH(D$21,'7. P&amp;L + cash'!$D$3:$AA$3,0))</f>
        <v>18172.971500578569</v>
      </c>
      <c r="E27" s="280">
        <f>INDEX('7. P&amp;L + cash'!$D:$AA,MATCH("Net Cash Burn",'7. P&amp;L + cash'!$B:$B,0),MATCH(E$21,'7. P&amp;L + cash'!$D$3:$AA$3,0))</f>
        <v>32121.678602091284</v>
      </c>
      <c r="F27" s="280">
        <f>INDEX('7. P&amp;L + cash'!$D:$AA,MATCH("Net Cash Burn",'7. P&amp;L + cash'!$B:$B,0),MATCH(F$21,'7. P&amp;L + cash'!$D$3:$AA$3,0))</f>
        <v>40959.289702403141</v>
      </c>
      <c r="G27" s="280">
        <f>INDEX('7. P&amp;L + cash'!$D:$AA,MATCH("Net Cash Burn",'7. P&amp;L + cash'!$B:$B,0),MATCH(G$21,'7. P&amp;L + cash'!$D$3:$AA$3,0))</f>
        <v>55380.467801212377</v>
      </c>
      <c r="H27" s="280">
        <f>INDEX('7. P&amp;L + cash'!$D:$AA,MATCH("Net Cash Burn",'7. P&amp;L + cash'!$B:$B,0),MATCH(H$21,'7. P&amp;L + cash'!$D$3:$AA$3,0))</f>
        <v>55617.875547749652</v>
      </c>
      <c r="I27" s="280">
        <f>INDEX('7. P&amp;L + cash'!$D:$AA,MATCH("Net Cash Burn",'7. P&amp;L + cash'!$B:$B,0),MATCH(I$21,'7. P&amp;L + cash'!$D$3:$AA$3,0))</f>
        <v>61268.284865899986</v>
      </c>
      <c r="J27" s="280">
        <f>INDEX('7. P&amp;L + cash'!$D:$AA,MATCH("Net Cash Burn",'7. P&amp;L + cash'!$B:$B,0),MATCH(J$21,'7. P&amp;L + cash'!$D$3:$AA$3,0))</f>
        <v>72136.389741511666</v>
      </c>
      <c r="K27" s="280">
        <f>INDEX('7. P&amp;L + cash'!$D:$AA,MATCH("Net Cash Burn",'7. P&amp;L + cash'!$B:$B,0),MATCH(K$21,'7. P&amp;L + cash'!$D$3:$AA$3,0))</f>
        <v>82046.388192186365</v>
      </c>
      <c r="L27" s="280">
        <f>INDEX('7. P&amp;L + cash'!$D:$AA,MATCH("Net Cash Burn",'7. P&amp;L + cash'!$B:$B,0),MATCH(L$21,'7. P&amp;L + cash'!$D$3:$AA$3,0))</f>
        <v>78516.594069449769</v>
      </c>
      <c r="M27" s="280">
        <f>INDEX('7. P&amp;L + cash'!$D:$AA,MATCH("Net Cash Burn",'7. P&amp;L + cash'!$B:$B,0),MATCH(M$21,'7. P&amp;L + cash'!$D$3:$AA$3,0))</f>
        <v>88792.522086999728</v>
      </c>
      <c r="N27" s="280">
        <f>INDEX('7. P&amp;L + cash'!$D:$AA,MATCH("Net Cash Burn",'7. P&amp;L + cash'!$B:$B,0),MATCH(N$21,'7. P&amp;L + cash'!$D$3:$AA$3,0))</f>
        <v>85504.246446573408</v>
      </c>
      <c r="O27" s="280">
        <f>INDEX('7. P&amp;L + cash'!$D:$AA,MATCH("Net Cash Burn",'7. P&amp;L + cash'!$B:$B,0),MATCH(O$21,'7. P&amp;L + cash'!$D$3:$AA$3,0))</f>
        <v>94945.579194771009</v>
      </c>
      <c r="P27" s="280">
        <f>INDEX('7. P&amp;L + cash'!$D:$AA,MATCH("Net Cash Burn",'7. P&amp;L + cash'!$B:$B,0),MATCH(P$21,'7. P&amp;L + cash'!$D$3:$AA$3,0))</f>
        <v>89740.343616621802</v>
      </c>
      <c r="Q27" s="280">
        <f>INDEX('7. P&amp;L + cash'!$D:$AA,MATCH("Net Cash Burn",'7. P&amp;L + cash'!$B:$B,0),MATCH(Q$21,'7. P&amp;L + cash'!$D$3:$AA$3,0))</f>
        <v>92675.297131894404</v>
      </c>
      <c r="R27" s="280">
        <f>INDEX('7. P&amp;L + cash'!$D:$AA,MATCH("Net Cash Burn",'7. P&amp;L + cash'!$B:$B,0),MATCH(R$21,'7. P&amp;L + cash'!$D$3:$AA$3,0))</f>
        <v>86366.363868942179</v>
      </c>
      <c r="S27" s="280">
        <f>INDEX('7. P&amp;L + cash'!$D:$AA,MATCH("Net Cash Burn",'7. P&amp;L + cash'!$B:$B,0),MATCH(S$21,'7. P&amp;L + cash'!$D$3:$AA$3,0))</f>
        <v>79424.837447344151</v>
      </c>
      <c r="T27" s="280">
        <f>INDEX('7. P&amp;L + cash'!$D:$AA,MATCH("Net Cash Burn",'7. P&amp;L + cash'!$B:$B,0),MATCH(T$21,'7. P&amp;L + cash'!$D$3:$AA$3,0))</f>
        <v>71790.214672000497</v>
      </c>
      <c r="U27" s="280">
        <f>INDEX('7. P&amp;L + cash'!$D:$AA,MATCH("Net Cash Burn",'7. P&amp;L + cash'!$B:$B,0),MATCH(U$21,'7. P&amp;L + cash'!$D$3:$AA$3,0))</f>
        <v>79562.98752319772</v>
      </c>
      <c r="V27" s="280">
        <f>INDEX('7. P&amp;L + cash'!$D:$AA,MATCH("Net Cash Burn",'7. P&amp;L + cash'!$B:$B,0),MATCH(V$21,'7. P&amp;L + cash'!$D$3:$AA$3,0))</f>
        <v>70337.387374201266</v>
      </c>
      <c r="W27" s="280">
        <f>INDEX('7. P&amp;L + cash'!$D:$AA,MATCH("Net Cash Burn",'7. P&amp;L + cash'!$B:$B,0),MATCH(W$21,'7. P&amp;L + cash'!$D$3:$AA$3,0))</f>
        <v>60200.741795623791</v>
      </c>
      <c r="X27" s="280">
        <f>INDEX('7. P&amp;L + cash'!$D:$AA,MATCH("Net Cash Burn",'7. P&amp;L + cash'!$B:$B,0),MATCH(X$21,'7. P&amp;L + cash'!$D$3:$AA$3,0))</f>
        <v>49066.103958142776</v>
      </c>
      <c r="Y27" s="280">
        <f>INDEX('7. P&amp;L + cash'!$D:$AA,MATCH("Net Cash Burn",'7. P&amp;L + cash'!$B:$B,0),MATCH(Y$21,'7. P&amp;L + cash'!$D$3:$AA$3,0))</f>
        <v>36838.147528862493</v>
      </c>
    </row>
    <row r="28" spans="1:25" s="3" customFormat="1" ht="13.2">
      <c r="A28" s="279" t="s">
        <v>1059</v>
      </c>
      <c r="B28" s="280" t="str">
        <f>INDEX('7. P&amp;L + cash'!$D:$AA,MATCH("Runway Months",'7. P&amp;L + cash'!$B:$B,0),MATCH(B$21,'7. P&amp;L + cash'!$D$3:$AA$3,0))</f>
        <v>No Burn</v>
      </c>
      <c r="C28" s="282">
        <f>INDEX('7. P&amp;L + cash'!$D:$AA,MATCH("Runway Months",'7. P&amp;L + cash'!$B:$B,0),MATCH(C$21,'7. P&amp;L + cash'!$D$3:$AA$3,0))</f>
        <v>364.40982814917766</v>
      </c>
      <c r="D28" s="282">
        <f>INDEX('7. P&amp;L + cash'!$D:$AA,MATCH("Runway Months",'7. P&amp;L + cash'!$B:$B,0),MATCH(D$21,'7. P&amp;L + cash'!$D$3:$AA$3,0))</f>
        <v>81.991200656724857</v>
      </c>
      <c r="E28" s="282">
        <f>INDEX('7. P&amp;L + cash'!$D:$AA,MATCH("Runway Months",'7. P&amp;L + cash'!$B:$B,0),MATCH(E$21,'7. P&amp;L + cash'!$D$3:$AA$3,0))</f>
        <v>45.386858273834783</v>
      </c>
      <c r="F28" s="282">
        <f>INDEX('7. P&amp;L + cash'!$D:$AA,MATCH("Runway Months",'7. P&amp;L + cash'!$B:$B,0),MATCH(F$21,'7. P&amp;L + cash'!$D$3:$AA$3,0))</f>
        <v>34.593929602379099</v>
      </c>
      <c r="G28" s="282">
        <f>INDEX('7. P&amp;L + cash'!$D:$AA,MATCH("Runway Months",'7. P&amp;L + cash'!$B:$B,0),MATCH(G$21,'7. P&amp;L + cash'!$D$3:$AA$3,0))</f>
        <v>24.585605192330391</v>
      </c>
      <c r="H28" s="282">
        <f>INDEX('7. P&amp;L + cash'!$D:$AA,MATCH("Runway Months",'7. P&amp;L + cash'!$B:$B,0),MATCH(H$21,'7. P&amp;L + cash'!$D$3:$AA$3,0))</f>
        <v>23.480660279054167</v>
      </c>
      <c r="I28" s="282">
        <f>INDEX('7. P&amp;L + cash'!$D:$AA,MATCH("Runway Months",'7. P&amp;L + cash'!$B:$B,0),MATCH(I$21,'7. P&amp;L + cash'!$D$3:$AA$3,0))</f>
        <v>20.315178710123668</v>
      </c>
      <c r="J28" s="282">
        <f>INDEX('7. P&amp;L + cash'!$D:$AA,MATCH("Runway Months",'7. P&amp;L + cash'!$B:$B,0),MATCH(J$21,'7. P&amp;L + cash'!$D$3:$AA$3,0))</f>
        <v>16.254483635424588</v>
      </c>
      <c r="K28" s="282">
        <f>INDEX('7. P&amp;L + cash'!$D:$AA,MATCH("Runway Months",'7. P&amp;L + cash'!$B:$B,0),MATCH(K$21,'7. P&amp;L + cash'!$D$3:$AA$3,0))</f>
        <v>13.291180786964583</v>
      </c>
      <c r="L28" s="282">
        <f>INDEX('7. P&amp;L + cash'!$D:$AA,MATCH("Runway Months",'7. P&amp;L + cash'!$B:$B,0),MATCH(L$21,'7. P&amp;L + cash'!$D$3:$AA$3,0))</f>
        <v>12.88869946925179</v>
      </c>
      <c r="M28" s="282">
        <f>INDEX('7. P&amp;L + cash'!$D:$AA,MATCH("Runway Months",'7. P&amp;L + cash'!$B:$B,0),MATCH(M$21,'7. P&amp;L + cash'!$D$3:$AA$3,0))</f>
        <v>10.397094716138723</v>
      </c>
      <c r="N28" s="282">
        <f>INDEX('7. P&amp;L + cash'!$D:$AA,MATCH("Runway Months",'7. P&amp;L + cash'!$B:$B,0),MATCH(N$21,'7. P&amp;L + cash'!$D$3:$AA$3,0))</f>
        <v>9.7969405098519804</v>
      </c>
      <c r="O28" s="282">
        <f>INDEX('7. P&amp;L + cash'!$D:$AA,MATCH("Runway Months",'7. P&amp;L + cash'!$B:$B,0),MATCH(O$21,'7. P&amp;L + cash'!$D$3:$AA$3,0))</f>
        <v>7.8227384874696337</v>
      </c>
      <c r="P28" s="282">
        <f>INDEX('7. P&amp;L + cash'!$D:$AA,MATCH("Runway Months",'7. P&amp;L + cash'!$B:$B,0),MATCH(P$21,'7. P&amp;L + cash'!$D$3:$AA$3,0))</f>
        <v>7.2764830916522278</v>
      </c>
      <c r="Q28" s="282">
        <f>INDEX('7. P&amp;L + cash'!$D:$AA,MATCH("Runway Months",'7. P&amp;L + cash'!$B:$B,0),MATCH(Q$21,'7. P&amp;L + cash'!$D$3:$AA$3,0))</f>
        <v>6.0460426151758213</v>
      </c>
      <c r="R28" s="282">
        <f>INDEX('7. P&amp;L + cash'!$D:$AA,MATCH("Runway Months",'7. P&amp;L + cash'!$B:$B,0),MATCH(R$21,'7. P&amp;L + cash'!$D$3:$AA$3,0))</f>
        <v>5.4876969543812049</v>
      </c>
      <c r="S28" s="282">
        <f>INDEX('7. P&amp;L + cash'!$D:$AA,MATCH("Runway Months",'7. P&amp;L + cash'!$B:$B,0),MATCH(S$21,'7. P&amp;L + cash'!$D$3:$AA$3,0))</f>
        <v>4.9673075475764943</v>
      </c>
      <c r="T28" s="282">
        <f>INDEX('7. P&amp;L + cash'!$D:$AA,MATCH("Runway Months",'7. P&amp;L + cash'!$B:$B,0),MATCH(T$21,'7. P&amp;L + cash'!$D$3:$AA$3,0))</f>
        <v>4.4955622617897228</v>
      </c>
      <c r="U28" s="282">
        <f>INDEX('7. P&amp;L + cash'!$D:$AA,MATCH("Runway Months",'7. P&amp;L + cash'!$B:$B,0),MATCH(U$21,'7. P&amp;L + cash'!$D$3:$AA$3,0))</f>
        <v>3.0563758336893723</v>
      </c>
      <c r="V28" s="282">
        <f>INDEX('7. P&amp;L + cash'!$D:$AA,MATCH("Runway Months",'7. P&amp;L + cash'!$B:$B,0),MATCH(V$21,'7. P&amp;L + cash'!$D$3:$AA$3,0))</f>
        <v>2.4572565373848874</v>
      </c>
      <c r="W28" s="282">
        <f>INDEX('7. P&amp;L + cash'!$D:$AA,MATCH("Runway Months",'7. P&amp;L + cash'!$B:$B,0),MATCH(W$21,'7. P&amp;L + cash'!$D$3:$AA$3,0))</f>
        <v>1.8710112166822741</v>
      </c>
      <c r="X28" s="282">
        <f>INDEX('7. P&amp;L + cash'!$D:$AA,MATCH("Runway Months",'7. P&amp;L + cash'!$B:$B,0),MATCH(X$21,'7. P&amp;L + cash'!$D$3:$AA$3,0))</f>
        <v>103.19894490733734</v>
      </c>
      <c r="Y28" s="282">
        <f>INDEX('7. P&amp;L + cash'!$D:$AA,MATCH("Runway Months",'7. P&amp;L + cash'!$B:$B,0),MATCH(Y$21,'7. P&amp;L + cash'!$D$3:$AA$3,0))</f>
        <v>136.4545274087624</v>
      </c>
    </row>
    <row r="29" spans="1:25" s="3" customFormat="1" ht="13.2">
      <c r="A29" s="279" t="s">
        <v>973</v>
      </c>
      <c r="B29" s="282">
        <f>INDEX('6. Unit Economics'!$B:$Y,MATCH("Blended CAC Payback",'6. Unit Economics'!$A:$A,0),MATCH(B$21,'6. Unit Economics'!$B$47:$Y$47,0))</f>
        <v>8.6246530145934965</v>
      </c>
      <c r="C29" s="282">
        <f>INDEX('6. Unit Economics'!$B:$Y,MATCH("Blended CAC Payback",'6. Unit Economics'!$A:$A,0),MATCH(C$21,'6. Unit Economics'!$B$47:$Y$47,0))</f>
        <v>8.8190809319648391</v>
      </c>
      <c r="D29" s="282">
        <f>INDEX('6. Unit Economics'!$B:$Y,MATCH("Blended CAC Payback",'6. Unit Economics'!$A:$A,0),MATCH(D$21,'6. Unit Economics'!$B$47:$Y$47,0))</f>
        <v>8.975294022107386</v>
      </c>
      <c r="E29" s="282">
        <f>INDEX('6. Unit Economics'!$B:$Y,MATCH("Blended CAC Payback",'6. Unit Economics'!$A:$A,0),MATCH(E$21,'6. Unit Economics'!$B$47:$Y$47,0))</f>
        <v>9.1004172415383415</v>
      </c>
      <c r="F29" s="282">
        <f>INDEX('6. Unit Economics'!$B:$Y,MATCH("Blended CAC Payback",'6. Unit Economics'!$A:$A,0),MATCH(F$21,'6. Unit Economics'!$B$47:$Y$47,0))</f>
        <v>9.2013772574578478</v>
      </c>
      <c r="G29" s="282">
        <f>INDEX('6. Unit Economics'!$B:$Y,MATCH("Blended CAC Payback",'6. Unit Economics'!$A:$A,0),MATCH(G$21,'6. Unit Economics'!$B$47:$Y$47,0))</f>
        <v>10.304369742330916</v>
      </c>
      <c r="H29" s="282">
        <f>INDEX('6. Unit Economics'!$B:$Y,MATCH("Blended CAC Payback",'6. Unit Economics'!$A:$A,0),MATCH(H$21,'6. Unit Economics'!$B$47:$Y$47,0))</f>
        <v>10.315444827257348</v>
      </c>
      <c r="I29" s="282">
        <f>INDEX('6. Unit Economics'!$B:$Y,MATCH("Blended CAC Payback",'6. Unit Economics'!$A:$A,0),MATCH(I$21,'6. Unit Economics'!$B$47:$Y$47,0))</f>
        <v>12.392083125213771</v>
      </c>
      <c r="J29" s="282">
        <f>INDEX('6. Unit Economics'!$B:$Y,MATCH("Blended CAC Payback",'6. Unit Economics'!$A:$A,0),MATCH(J$21,'6. Unit Economics'!$B$47:$Y$47,0))</f>
        <v>12.20043727380884</v>
      </c>
      <c r="K29" s="282">
        <f>INDEX('6. Unit Economics'!$B:$Y,MATCH("Blended CAC Payback",'6. Unit Economics'!$A:$A,0),MATCH(K$21,'6. Unit Economics'!$B$47:$Y$47,0))</f>
        <v>11.968757791549757</v>
      </c>
      <c r="L29" s="282">
        <f>INDEX('6. Unit Economics'!$B:$Y,MATCH("Blended CAC Payback",'6. Unit Economics'!$A:$A,0),MATCH(L$21,'6. Unit Economics'!$B$47:$Y$47,0))</f>
        <v>11.749603380203634</v>
      </c>
      <c r="M29" s="282">
        <f>INDEX('6. Unit Economics'!$B:$Y,MATCH("Blended CAC Payback",'6. Unit Economics'!$A:$A,0),MATCH(M$21,'6. Unit Economics'!$B$47:$Y$47,0))</f>
        <v>11.543814308175838</v>
      </c>
      <c r="N29" s="282">
        <f>INDEX('6. Unit Economics'!$B:$Y,MATCH("Blended CAC Payback",'6. Unit Economics'!$A:$A,0),MATCH(N$21,'6. Unit Economics'!$B$47:$Y$47,0))</f>
        <v>11.351538060653702</v>
      </c>
      <c r="O29" s="282">
        <f>INDEX('6. Unit Economics'!$B:$Y,MATCH("Blended CAC Payback",'6. Unit Economics'!$A:$A,0),MATCH(O$21,'6. Unit Economics'!$B$47:$Y$47,0))</f>
        <v>11.17245832315645</v>
      </c>
      <c r="P29" s="282">
        <f>INDEX('6. Unit Economics'!$B:$Y,MATCH("Blended CAC Payback",'6. Unit Economics'!$A:$A,0),MATCH(P$21,'6. Unit Economics'!$B$47:$Y$47,0))</f>
        <v>11.005964690100361</v>
      </c>
      <c r="Q29" s="282">
        <f>INDEX('6. Unit Economics'!$B:$Y,MATCH("Blended CAC Payback",'6. Unit Economics'!$A:$A,0),MATCH(Q$21,'6. Unit Economics'!$B$47:$Y$47,0))</f>
        <v>12.206202269708289</v>
      </c>
      <c r="R29" s="282">
        <f>INDEX('6. Unit Economics'!$B:$Y,MATCH("Blended CAC Payback",'6. Unit Economics'!$A:$A,0),MATCH(R$21,'6. Unit Economics'!$B$47:$Y$47,0))</f>
        <v>11.93168024508666</v>
      </c>
      <c r="S29" s="282">
        <f>INDEX('6. Unit Economics'!$B:$Y,MATCH("Blended CAC Payback",'6. Unit Economics'!$A:$A,0),MATCH(S$21,'6. Unit Economics'!$B$47:$Y$47,0))</f>
        <v>11.680602587282626</v>
      </c>
      <c r="T29" s="282">
        <f>INDEX('6. Unit Economics'!$B:$Y,MATCH("Blended CAC Payback",'6. Unit Economics'!$A:$A,0),MATCH(T$21,'6. Unit Economics'!$B$47:$Y$47,0))</f>
        <v>11.450576129268931</v>
      </c>
      <c r="U29" s="282">
        <f>INDEX('6. Unit Economics'!$B:$Y,MATCH("Blended CAC Payback",'6. Unit Economics'!$A:$A,0),MATCH(U$21,'6. Unit Economics'!$B$47:$Y$47,0))</f>
        <v>11.239429626808922</v>
      </c>
      <c r="V29" s="282">
        <f>INDEX('6. Unit Economics'!$B:$Y,MATCH("Blended CAC Payback",'6. Unit Economics'!$A:$A,0),MATCH(V$21,'6. Unit Economics'!$B$47:$Y$47,0))</f>
        <v>11.045203687533292</v>
      </c>
      <c r="W29" s="282">
        <f>INDEX('6. Unit Economics'!$B:$Y,MATCH("Blended CAC Payback",'6. Unit Economics'!$A:$A,0),MATCH(W$21,'6. Unit Economics'!$B$47:$Y$47,0))</f>
        <v>10.866136949382417</v>
      </c>
      <c r="X29" s="282">
        <f>INDEX('6. Unit Economics'!$B:$Y,MATCH("Blended CAC Payback",'6. Unit Economics'!$A:$A,0),MATCH(X$21,'6. Unit Economics'!$B$47:$Y$47,0))</f>
        <v>10.700650444711787</v>
      </c>
      <c r="Y29" s="282">
        <f>INDEX('6. Unit Economics'!$B:$Y,MATCH("Blended CAC Payback",'6. Unit Economics'!$A:$A,0),MATCH(Y$21,'6. Unit Economics'!$B$47:$Y$47,0))</f>
        <v>10.547331421849993</v>
      </c>
    </row>
    <row r="30" spans="1:25" s="3" customFormat="1" ht="13.2">
      <c r="A30" s="279" t="s">
        <v>1215</v>
      </c>
      <c r="B30" s="281">
        <f>INDEX('3. Revenue Model'!$D:$AA,MATCH("Logo Churn Rate",'3. Revenue Model'!$B:$B,0),MATCH(B$21,'3. Revenue Model'!$D$2:$AA$2,0))</f>
        <v>0</v>
      </c>
      <c r="C30" s="281">
        <f>INDEX('3. Revenue Model'!$D:$AA,MATCH("Logo Churn Rate",'3. Revenue Model'!$B:$B,0),MATCH(C$21,'3. Revenue Model'!$D$2:$AA$2,0))</f>
        <v>3.4551151481212475E-2</v>
      </c>
      <c r="D30" s="281">
        <f>INDEX('3. Revenue Model'!$D:$AA,MATCH("Logo Churn Rate",'3. Revenue Model'!$B:$B,0),MATCH(D$21,'3. Revenue Model'!$D$2:$AA$2,0))</f>
        <v>3.4630334857980394E-2</v>
      </c>
      <c r="E30" s="281">
        <f>INDEX('3. Revenue Model'!$D:$AA,MATCH("Logo Churn Rate",'3. Revenue Model'!$B:$B,0),MATCH(E$21,'3. Revenue Model'!$D$2:$AA$2,0))</f>
        <v>3.4688808574089569E-2</v>
      </c>
      <c r="F30" s="281">
        <f>INDEX('3. Revenue Model'!$D:$AA,MATCH("Logo Churn Rate",'3. Revenue Model'!$B:$B,0),MATCH(F$21,'3. Revenue Model'!$D$2:$AA$2,0))</f>
        <v>3.4735732302807319E-2</v>
      </c>
      <c r="G30" s="281">
        <f>INDEX('3. Revenue Model'!$D:$AA,MATCH("Logo Churn Rate",'3. Revenue Model'!$B:$B,0),MATCH(G$21,'3. Revenue Model'!$D$2:$AA$2,0))</f>
        <v>3.4777307644985316E-2</v>
      </c>
      <c r="H30" s="281">
        <f>INDEX('3. Revenue Model'!$D:$AA,MATCH("Logo Churn Rate",'3. Revenue Model'!$B:$B,0),MATCH(H$21,'3. Revenue Model'!$D$2:$AA$2,0))</f>
        <v>3.4785486610389035E-2</v>
      </c>
      <c r="I30" s="281">
        <f>INDEX('3. Revenue Model'!$D:$AA,MATCH("Logo Churn Rate",'3. Revenue Model'!$B:$B,0),MATCH(I$21,'3. Revenue Model'!$D$2:$AA$2,0))</f>
        <v>3.4796481582379281E-2</v>
      </c>
      <c r="J30" s="281">
        <f>INDEX('3. Revenue Model'!$D:$AA,MATCH("Logo Churn Rate",'3. Revenue Model'!$B:$B,0),MATCH(J$21,'3. Revenue Model'!$D$2:$AA$2,0))</f>
        <v>3.4812003916883445E-2</v>
      </c>
      <c r="K30" s="281">
        <f>INDEX('3. Revenue Model'!$D:$AA,MATCH("Logo Churn Rate",'3. Revenue Model'!$B:$B,0),MATCH(K$21,'3. Revenue Model'!$D$2:$AA$2,0))</f>
        <v>3.4833002222200163E-2</v>
      </c>
      <c r="L30" s="281">
        <f>INDEX('3. Revenue Model'!$D:$AA,MATCH("Logo Churn Rate",'3. Revenue Model'!$B:$B,0),MATCH(L$21,'3. Revenue Model'!$D$2:$AA$2,0))</f>
        <v>3.485986187905394E-2</v>
      </c>
      <c r="M30" s="281">
        <f>INDEX('3. Revenue Model'!$D:$AA,MATCH("Logo Churn Rate",'3. Revenue Model'!$B:$B,0),MATCH(M$21,'3. Revenue Model'!$D$2:$AA$2,0))</f>
        <v>3.4892559696617996E-2</v>
      </c>
      <c r="N30" s="281">
        <f>INDEX('3. Revenue Model'!$D:$AA,MATCH("Logo Churn Rate",'3. Revenue Model'!$B:$B,0),MATCH(N$21,'3. Revenue Model'!$D$2:$AA$2,0))</f>
        <v>3.4930785793955713E-2</v>
      </c>
      <c r="O30" s="281">
        <f>INDEX('3. Revenue Model'!$D:$AA,MATCH("Logo Churn Rate",'3. Revenue Model'!$B:$B,0),MATCH(O$21,'3. Revenue Model'!$D$2:$AA$2,0))</f>
        <v>3.4974039948196339E-2</v>
      </c>
      <c r="P30" s="281">
        <f>INDEX('3. Revenue Model'!$D:$AA,MATCH("Logo Churn Rate",'3. Revenue Model'!$B:$B,0),MATCH(P$21,'3. Revenue Model'!$D$2:$AA$2,0))</f>
        <v>3.5021707142832606E-2</v>
      </c>
      <c r="Q30" s="281">
        <f>INDEX('3. Revenue Model'!$D:$AA,MATCH("Logo Churn Rate",'3. Revenue Model'!$B:$B,0),MATCH(Q$21,'3. Revenue Model'!$D$2:$AA$2,0))</f>
        <v>3.5073115776046403E-2</v>
      </c>
      <c r="R30" s="281">
        <f>INDEX('3. Revenue Model'!$D:$AA,MATCH("Logo Churn Rate",'3. Revenue Model'!$B:$B,0),MATCH(R$21,'3. Revenue Model'!$D$2:$AA$2,0))</f>
        <v>3.5127581337707839E-2</v>
      </c>
      <c r="S30" s="281">
        <f>INDEX('3. Revenue Model'!$D:$AA,MATCH("Logo Churn Rate",'3. Revenue Model'!$B:$B,0),MATCH(S$21,'3. Revenue Model'!$D$2:$AA$2,0))</f>
        <v>3.5184437999399146E-2</v>
      </c>
      <c r="T30" s="281">
        <f>INDEX('3. Revenue Model'!$D:$AA,MATCH("Logo Churn Rate",'3. Revenue Model'!$B:$B,0),MATCH(T$21,'3. Revenue Model'!$D$2:$AA$2,0))</f>
        <v>3.5243060309173527E-2</v>
      </c>
      <c r="U30" s="281">
        <f>INDEX('3. Revenue Model'!$D:$AA,MATCH("Logo Churn Rate",'3. Revenue Model'!$B:$B,0),MATCH(U$21,'3. Revenue Model'!$D$2:$AA$2,0))</f>
        <v>3.530287695875995E-2</v>
      </c>
      <c r="V30" s="281">
        <f>INDEX('3. Revenue Model'!$D:$AA,MATCH("Logo Churn Rate",'3. Revenue Model'!$B:$B,0),MATCH(V$21,'3. Revenue Model'!$D$2:$AA$2,0))</f>
        <v>3.5363378364036108E-2</v>
      </c>
      <c r="W30" s="281">
        <f>INDEX('3. Revenue Model'!$D:$AA,MATCH("Logo Churn Rate",'3. Revenue Model'!$B:$B,0),MATCH(W$21,'3. Revenue Model'!$D$2:$AA$2,0))</f>
        <v>3.5424119564802348E-2</v>
      </c>
      <c r="X30" s="281">
        <f>INDEX('3. Revenue Model'!$D:$AA,MATCH("Logo Churn Rate",'3. Revenue Model'!$B:$B,0),MATCH(X$21,'3. Revenue Model'!$D$2:$AA$2,0))</f>
        <v>3.5484719713806505E-2</v>
      </c>
      <c r="Y30" s="281">
        <f>INDEX('3. Revenue Model'!$D:$AA,MATCH("Logo Churn Rate",'3. Revenue Model'!$B:$B,0),MATCH(Y$21,'3. Revenue Model'!$D$2:$AA$2,0))</f>
        <v>3.5544859197409726E-2</v>
      </c>
    </row>
    <row r="31" spans="1:25" s="3" customFormat="1" ht="13.2">
      <c r="A31" s="279" t="s">
        <v>330</v>
      </c>
      <c r="B31" s="283">
        <f>INDEX('4. Headcount'!$D:$AA,MATCH("Total Role FTE",'4. Headcount'!$B:$B,0),MATCH(B$21,'4. Headcount'!$D$3:$AA$3,0))</f>
        <v>2</v>
      </c>
      <c r="C31" s="283">
        <f>INDEX('4. Headcount'!$D:$AA,MATCH("Total Role FTE",'4. Headcount'!$B:$B,0),MATCH(C$21,'4. Headcount'!$D$3:$AA$3,0))</f>
        <v>2</v>
      </c>
      <c r="D31" s="283">
        <f>INDEX('4. Headcount'!$D:$AA,MATCH("Total Role FTE",'4. Headcount'!$B:$B,0),MATCH(D$21,'4. Headcount'!$D$3:$AA$3,0))</f>
        <v>3</v>
      </c>
      <c r="E31" s="283">
        <f>INDEX('4. Headcount'!$D:$AA,MATCH("Total Role FTE",'4. Headcount'!$B:$B,0),MATCH(E$21,'4. Headcount'!$D$3:$AA$3,0))</f>
        <v>4</v>
      </c>
      <c r="F31" s="283">
        <f>INDEX('4. Headcount'!$D:$AA,MATCH("Total Role FTE",'4. Headcount'!$B:$B,0),MATCH(F$21,'4. Headcount'!$D$3:$AA$3,0))</f>
        <v>5</v>
      </c>
      <c r="G31" s="283">
        <f>INDEX('4. Headcount'!$D:$AA,MATCH("Total Role FTE",'4. Headcount'!$B:$B,0),MATCH(G$21,'4. Headcount'!$D$3:$AA$3,0))</f>
        <v>6</v>
      </c>
      <c r="H31" s="283">
        <f>INDEX('4. Headcount'!$D:$AA,MATCH("Total Role FTE",'4. Headcount'!$B:$B,0),MATCH(H$21,'4. Headcount'!$D$3:$AA$3,0))</f>
        <v>6</v>
      </c>
      <c r="I31" s="283">
        <f>INDEX('4. Headcount'!$D:$AA,MATCH("Total Role FTE",'4. Headcount'!$B:$B,0),MATCH(I$21,'4. Headcount'!$D$3:$AA$3,0))</f>
        <v>7</v>
      </c>
      <c r="J31" s="283">
        <f>INDEX('4. Headcount'!$D:$AA,MATCH("Total Role FTE",'4. Headcount'!$B:$B,0),MATCH(J$21,'4. Headcount'!$D$3:$AA$3,0))</f>
        <v>8</v>
      </c>
      <c r="K31" s="283">
        <f>INDEX('4. Headcount'!$D:$AA,MATCH("Total Role FTE",'4. Headcount'!$B:$B,0),MATCH(K$21,'4. Headcount'!$D$3:$AA$3,0))</f>
        <v>9</v>
      </c>
      <c r="L31" s="283">
        <f>INDEX('4. Headcount'!$D:$AA,MATCH("Total Role FTE",'4. Headcount'!$B:$B,0),MATCH(L$21,'4. Headcount'!$D$3:$AA$3,0))</f>
        <v>9</v>
      </c>
      <c r="M31" s="283">
        <f>INDEX('4. Headcount'!$D:$AA,MATCH("Total Role FTE",'4. Headcount'!$B:$B,0),MATCH(M$21,'4. Headcount'!$D$3:$AA$3,0))</f>
        <v>10</v>
      </c>
      <c r="N31" s="283">
        <f>INDEX('4. Headcount'!$D:$AA,MATCH("Total Role FTE",'4. Headcount'!$B:$B,0),MATCH(N$21,'4. Headcount'!$D$3:$AA$3,0))</f>
        <v>10</v>
      </c>
      <c r="O31" s="283">
        <f>INDEX('4. Headcount'!$D:$AA,MATCH("Total Role FTE",'4. Headcount'!$B:$B,0),MATCH(O$21,'4. Headcount'!$D$3:$AA$3,0))</f>
        <v>11</v>
      </c>
      <c r="P31" s="283">
        <f>INDEX('4. Headcount'!$D:$AA,MATCH("Total Role FTE",'4. Headcount'!$B:$B,0),MATCH(P$21,'4. Headcount'!$D$3:$AA$3,0))</f>
        <v>11</v>
      </c>
      <c r="Q31" s="283">
        <f>INDEX('4. Headcount'!$D:$AA,MATCH("Total Role FTE",'4. Headcount'!$B:$B,0),MATCH(Q$21,'4. Headcount'!$D$3:$AA$3,0))</f>
        <v>12</v>
      </c>
      <c r="R31" s="283">
        <f>INDEX('4. Headcount'!$D:$AA,MATCH("Total Role FTE",'4. Headcount'!$B:$B,0),MATCH(R$21,'4. Headcount'!$D$3:$AA$3,0))</f>
        <v>12</v>
      </c>
      <c r="S31" s="283">
        <f>INDEX('4. Headcount'!$D:$AA,MATCH("Total Role FTE",'4. Headcount'!$B:$B,0),MATCH(S$21,'4. Headcount'!$D$3:$AA$3,0))</f>
        <v>12</v>
      </c>
      <c r="T31" s="283">
        <f>INDEX('4. Headcount'!$D:$AA,MATCH("Total Role FTE",'4. Headcount'!$B:$B,0),MATCH(T$21,'4. Headcount'!$D$3:$AA$3,0))</f>
        <v>12</v>
      </c>
      <c r="U31" s="283">
        <f>INDEX('4. Headcount'!$D:$AA,MATCH("Total Role FTE",'4. Headcount'!$B:$B,0),MATCH(U$21,'4. Headcount'!$D$3:$AA$3,0))</f>
        <v>13</v>
      </c>
      <c r="V31" s="283">
        <f>INDEX('4. Headcount'!$D:$AA,MATCH("Total Role FTE",'4. Headcount'!$B:$B,0),MATCH(V$21,'4. Headcount'!$D$3:$AA$3,0))</f>
        <v>13</v>
      </c>
      <c r="W31" s="283">
        <f>INDEX('4. Headcount'!$D:$AA,MATCH("Total Role FTE",'4. Headcount'!$B:$B,0),MATCH(W$21,'4. Headcount'!$D$3:$AA$3,0))</f>
        <v>13</v>
      </c>
      <c r="X31" s="283">
        <f>INDEX('4. Headcount'!$D:$AA,MATCH("Total Role FTE",'4. Headcount'!$B:$B,0),MATCH(X$21,'4. Headcount'!$D$3:$AA$3,0))</f>
        <v>13</v>
      </c>
      <c r="Y31" s="283">
        <f>INDEX('4. Headcount'!$D:$AA,MATCH("Total Role FTE",'4. Headcount'!$B:$B,0),MATCH(Y$21,'4. Headcount'!$D$3:$AA$3,0))</f>
        <v>13</v>
      </c>
    </row>
    <row r="32" spans="1:25" s="3" customFormat="1" ht="39.6">
      <c r="A32" s="279" t="s">
        <v>1088</v>
      </c>
      <c r="B32" s="284" t="str">
        <f>IF(INDEX('7. P&amp;L + cash'!$D:$AA,MATCH("Raise Now Signal",'7. P&amp;L + cash'!$B:$B,0),MATCH(B$21,'7. P&amp;L + cash'!$D$3:$AA$3,0))="Raise Now","Raise Now",IF(INDEX('7. P&amp;L + cash'!$D:$AA,MATCH("Series A Ready Signal",'7. P&amp;L + cash'!$B:$B,0),MATCH(B$21,'7. P&amp;L + cash'!$D$3:$AA$3,0))="Series A Ready","Series A Ready",IF(INDEX('7. P&amp;L + cash'!$D:$AA,MATCH("Start Conversations Signal",'7. P&amp;L + cash'!$B:$B,0),MATCH(B$21,'7. P&amp;L + cash'!$D$3:$AA$3,0))="Start Conversations","Start Conversations","No Action")))</f>
        <v>No Action</v>
      </c>
      <c r="C32" s="284" t="str">
        <f>IF(INDEX('7. P&amp;L + cash'!$D:$AA,MATCH("Raise Now Signal",'7. P&amp;L + cash'!$B:$B,0),MATCH(C$21,'7. P&amp;L + cash'!$D$3:$AA$3,0))="Raise Now","Raise Now",IF(INDEX('7. P&amp;L + cash'!$D:$AA,MATCH("Series A Ready Signal",'7. P&amp;L + cash'!$B:$B,0),MATCH(C$21,'7. P&amp;L + cash'!$D$3:$AA$3,0))="Series A Ready","Series A Ready",IF(INDEX('7. P&amp;L + cash'!$D:$AA,MATCH("Start Conversations Signal",'7. P&amp;L + cash'!$B:$B,0),MATCH(C$21,'7. P&amp;L + cash'!$D$3:$AA$3,0))="Start Conversations","Start Conversations","No Action")))</f>
        <v>No Action</v>
      </c>
      <c r="D32" s="284" t="str">
        <f>IF(INDEX('7. P&amp;L + cash'!$D:$AA,MATCH("Raise Now Signal",'7. P&amp;L + cash'!$B:$B,0),MATCH(D$21,'7. P&amp;L + cash'!$D$3:$AA$3,0))="Raise Now","Raise Now",IF(INDEX('7. P&amp;L + cash'!$D:$AA,MATCH("Series A Ready Signal",'7. P&amp;L + cash'!$B:$B,0),MATCH(D$21,'7. P&amp;L + cash'!$D$3:$AA$3,0))="Series A Ready","Series A Ready",IF(INDEX('7. P&amp;L + cash'!$D:$AA,MATCH("Start Conversations Signal",'7. P&amp;L + cash'!$B:$B,0),MATCH(D$21,'7. P&amp;L + cash'!$D$3:$AA$3,0))="Start Conversations","Start Conversations","No Action")))</f>
        <v>No Action</v>
      </c>
      <c r="E32" s="284" t="str">
        <f>IF(INDEX('7. P&amp;L + cash'!$D:$AA,MATCH("Raise Now Signal",'7. P&amp;L + cash'!$B:$B,0),MATCH(E$21,'7. P&amp;L + cash'!$D$3:$AA$3,0))="Raise Now","Raise Now",IF(INDEX('7. P&amp;L + cash'!$D:$AA,MATCH("Series A Ready Signal",'7. P&amp;L + cash'!$B:$B,0),MATCH(E$21,'7. P&amp;L + cash'!$D$3:$AA$3,0))="Series A Ready","Series A Ready",IF(INDEX('7. P&amp;L + cash'!$D:$AA,MATCH("Start Conversations Signal",'7. P&amp;L + cash'!$B:$B,0),MATCH(E$21,'7. P&amp;L + cash'!$D$3:$AA$3,0))="Start Conversations","Start Conversations","No Action")))</f>
        <v>No Action</v>
      </c>
      <c r="F32" s="284" t="str">
        <f>IF(INDEX('7. P&amp;L + cash'!$D:$AA,MATCH("Raise Now Signal",'7. P&amp;L + cash'!$B:$B,0),MATCH(F$21,'7. P&amp;L + cash'!$D$3:$AA$3,0))="Raise Now","Raise Now",IF(INDEX('7. P&amp;L + cash'!$D:$AA,MATCH("Series A Ready Signal",'7. P&amp;L + cash'!$B:$B,0),MATCH(F$21,'7. P&amp;L + cash'!$D$3:$AA$3,0))="Series A Ready","Series A Ready",IF(INDEX('7. P&amp;L + cash'!$D:$AA,MATCH("Start Conversations Signal",'7. P&amp;L + cash'!$B:$B,0),MATCH(F$21,'7. P&amp;L + cash'!$D$3:$AA$3,0))="Start Conversations","Start Conversations","No Action")))</f>
        <v>No Action</v>
      </c>
      <c r="G32" s="284" t="str">
        <f>IF(INDEX('7. P&amp;L + cash'!$D:$AA,MATCH("Raise Now Signal",'7. P&amp;L + cash'!$B:$B,0),MATCH(G$21,'7. P&amp;L + cash'!$D$3:$AA$3,0))="Raise Now","Raise Now",IF(INDEX('7. P&amp;L + cash'!$D:$AA,MATCH("Series A Ready Signal",'7. P&amp;L + cash'!$B:$B,0),MATCH(G$21,'7. P&amp;L + cash'!$D$3:$AA$3,0))="Series A Ready","Series A Ready",IF(INDEX('7. P&amp;L + cash'!$D:$AA,MATCH("Start Conversations Signal",'7. P&amp;L + cash'!$B:$B,0),MATCH(G$21,'7. P&amp;L + cash'!$D$3:$AA$3,0))="Start Conversations","Start Conversations","No Action")))</f>
        <v>No Action</v>
      </c>
      <c r="H32" s="284" t="str">
        <f>IF(INDEX('7. P&amp;L + cash'!$D:$AA,MATCH("Raise Now Signal",'7. P&amp;L + cash'!$B:$B,0),MATCH(H$21,'7. P&amp;L + cash'!$D$3:$AA$3,0))="Raise Now","Raise Now",IF(INDEX('7. P&amp;L + cash'!$D:$AA,MATCH("Series A Ready Signal",'7. P&amp;L + cash'!$B:$B,0),MATCH(H$21,'7. P&amp;L + cash'!$D$3:$AA$3,0))="Series A Ready","Series A Ready",IF(INDEX('7. P&amp;L + cash'!$D:$AA,MATCH("Start Conversations Signal",'7. P&amp;L + cash'!$B:$B,0),MATCH(H$21,'7. P&amp;L + cash'!$D$3:$AA$3,0))="Start Conversations","Start Conversations","No Action")))</f>
        <v>No Action</v>
      </c>
      <c r="I32" s="284" t="str">
        <f>IF(INDEX('7. P&amp;L + cash'!$D:$AA,MATCH("Raise Now Signal",'7. P&amp;L + cash'!$B:$B,0),MATCH(I$21,'7. P&amp;L + cash'!$D$3:$AA$3,0))="Raise Now","Raise Now",IF(INDEX('7. P&amp;L + cash'!$D:$AA,MATCH("Series A Ready Signal",'7. P&amp;L + cash'!$B:$B,0),MATCH(I$21,'7. P&amp;L + cash'!$D$3:$AA$3,0))="Series A Ready","Series A Ready",IF(INDEX('7. P&amp;L + cash'!$D:$AA,MATCH("Start Conversations Signal",'7. P&amp;L + cash'!$B:$B,0),MATCH(I$21,'7. P&amp;L + cash'!$D$3:$AA$3,0))="Start Conversations","Start Conversations","No Action")))</f>
        <v>No Action</v>
      </c>
      <c r="J32" s="284" t="str">
        <f>IF(INDEX('7. P&amp;L + cash'!$D:$AA,MATCH("Raise Now Signal",'7. P&amp;L + cash'!$B:$B,0),MATCH(J$21,'7. P&amp;L + cash'!$D$3:$AA$3,0))="Raise Now","Raise Now",IF(INDEX('7. P&amp;L + cash'!$D:$AA,MATCH("Series A Ready Signal",'7. P&amp;L + cash'!$B:$B,0),MATCH(J$21,'7. P&amp;L + cash'!$D$3:$AA$3,0))="Series A Ready","Series A Ready",IF(INDEX('7. P&amp;L + cash'!$D:$AA,MATCH("Start Conversations Signal",'7. P&amp;L + cash'!$B:$B,0),MATCH(J$21,'7. P&amp;L + cash'!$D$3:$AA$3,0))="Start Conversations","Start Conversations","No Action")))</f>
        <v>No Action</v>
      </c>
      <c r="K32" s="284" t="str">
        <f>IF(INDEX('7. P&amp;L + cash'!$D:$AA,MATCH("Raise Now Signal",'7. P&amp;L + cash'!$B:$B,0),MATCH(K$21,'7. P&amp;L + cash'!$D$3:$AA$3,0))="Raise Now","Raise Now",IF(INDEX('7. P&amp;L + cash'!$D:$AA,MATCH("Series A Ready Signal",'7. P&amp;L + cash'!$B:$B,0),MATCH(K$21,'7. P&amp;L + cash'!$D$3:$AA$3,0))="Series A Ready","Series A Ready",IF(INDEX('7. P&amp;L + cash'!$D:$AA,MATCH("Start Conversations Signal",'7. P&amp;L + cash'!$B:$B,0),MATCH(K$21,'7. P&amp;L + cash'!$D$3:$AA$3,0))="Start Conversations","Start Conversations","No Action")))</f>
        <v>No Action</v>
      </c>
      <c r="L32" s="284" t="str">
        <f>IF(INDEX('7. P&amp;L + cash'!$D:$AA,MATCH("Raise Now Signal",'7. P&amp;L + cash'!$B:$B,0),MATCH(L$21,'7. P&amp;L + cash'!$D$3:$AA$3,0))="Raise Now","Raise Now",IF(INDEX('7. P&amp;L + cash'!$D:$AA,MATCH("Series A Ready Signal",'7. P&amp;L + cash'!$B:$B,0),MATCH(L$21,'7. P&amp;L + cash'!$D$3:$AA$3,0))="Series A Ready","Series A Ready",IF(INDEX('7. P&amp;L + cash'!$D:$AA,MATCH("Start Conversations Signal",'7. P&amp;L + cash'!$B:$B,0),MATCH(L$21,'7. P&amp;L + cash'!$D$3:$AA$3,0))="Start Conversations","Start Conversations","No Action")))</f>
        <v>No Action</v>
      </c>
      <c r="M32" s="284" t="str">
        <f>IF(INDEX('7. P&amp;L + cash'!$D:$AA,MATCH("Raise Now Signal",'7. P&amp;L + cash'!$B:$B,0),MATCH(M$21,'7. P&amp;L + cash'!$D$3:$AA$3,0))="Raise Now","Raise Now",IF(INDEX('7. P&amp;L + cash'!$D:$AA,MATCH("Series A Ready Signal",'7. P&amp;L + cash'!$B:$B,0),MATCH(M$21,'7. P&amp;L + cash'!$D$3:$AA$3,0))="Series A Ready","Series A Ready",IF(INDEX('7. P&amp;L + cash'!$D:$AA,MATCH("Start Conversations Signal",'7. P&amp;L + cash'!$B:$B,0),MATCH(M$21,'7. P&amp;L + cash'!$D$3:$AA$3,0))="Start Conversations","Start Conversations","No Action")))</f>
        <v>Start Conversations</v>
      </c>
      <c r="N32" s="284" t="str">
        <f>IF(INDEX('7. P&amp;L + cash'!$D:$AA,MATCH("Raise Now Signal",'7. P&amp;L + cash'!$B:$B,0),MATCH(N$21,'7. P&amp;L + cash'!$D$3:$AA$3,0))="Raise Now","Raise Now",IF(INDEX('7. P&amp;L + cash'!$D:$AA,MATCH("Series A Ready Signal",'7. P&amp;L + cash'!$B:$B,0),MATCH(N$21,'7. P&amp;L + cash'!$D$3:$AA$3,0))="Series A Ready","Series A Ready",IF(INDEX('7. P&amp;L + cash'!$D:$AA,MATCH("Start Conversations Signal",'7. P&amp;L + cash'!$B:$B,0),MATCH(N$21,'7. P&amp;L + cash'!$D$3:$AA$3,0))="Start Conversations","Start Conversations","No Action")))</f>
        <v>Start Conversations</v>
      </c>
      <c r="O32" s="284" t="str">
        <f>IF(INDEX('7. P&amp;L + cash'!$D:$AA,MATCH("Raise Now Signal",'7. P&amp;L + cash'!$B:$B,0),MATCH(O$21,'7. P&amp;L + cash'!$D$3:$AA$3,0))="Raise Now","Raise Now",IF(INDEX('7. P&amp;L + cash'!$D:$AA,MATCH("Series A Ready Signal",'7. P&amp;L + cash'!$B:$B,0),MATCH(O$21,'7. P&amp;L + cash'!$D$3:$AA$3,0))="Series A Ready","Series A Ready",IF(INDEX('7. P&amp;L + cash'!$D:$AA,MATCH("Start Conversations Signal",'7. P&amp;L + cash'!$B:$B,0),MATCH(O$21,'7. P&amp;L + cash'!$D$3:$AA$3,0))="Start Conversations","Start Conversations","No Action")))</f>
        <v>Start Conversations</v>
      </c>
      <c r="P32" s="284" t="str">
        <f>IF(INDEX('7. P&amp;L + cash'!$D:$AA,MATCH("Raise Now Signal",'7. P&amp;L + cash'!$B:$B,0),MATCH(P$21,'7. P&amp;L + cash'!$D$3:$AA$3,0))="Raise Now","Raise Now",IF(INDEX('7. P&amp;L + cash'!$D:$AA,MATCH("Series A Ready Signal",'7. P&amp;L + cash'!$B:$B,0),MATCH(P$21,'7. P&amp;L + cash'!$D$3:$AA$3,0))="Series A Ready","Series A Ready",IF(INDEX('7. P&amp;L + cash'!$D:$AA,MATCH("Start Conversations Signal",'7. P&amp;L + cash'!$B:$B,0),MATCH(P$21,'7. P&amp;L + cash'!$D$3:$AA$3,0))="Start Conversations","Start Conversations","No Action")))</f>
        <v>Start Conversations</v>
      </c>
      <c r="Q32" s="284" t="str">
        <f>IF(INDEX('7. P&amp;L + cash'!$D:$AA,MATCH("Raise Now Signal",'7. P&amp;L + cash'!$B:$B,0),MATCH(Q$21,'7. P&amp;L + cash'!$D$3:$AA$3,0))="Raise Now","Raise Now",IF(INDEX('7. P&amp;L + cash'!$D:$AA,MATCH("Series A Ready Signal",'7. P&amp;L + cash'!$B:$B,0),MATCH(Q$21,'7. P&amp;L + cash'!$D$3:$AA$3,0))="Series A Ready","Series A Ready",IF(INDEX('7. P&amp;L + cash'!$D:$AA,MATCH("Start Conversations Signal",'7. P&amp;L + cash'!$B:$B,0),MATCH(Q$21,'7. P&amp;L + cash'!$D$3:$AA$3,0))="Start Conversations","Start Conversations","No Action")))</f>
        <v>Start Conversations</v>
      </c>
      <c r="R32" s="284" t="str">
        <f>IF(INDEX('7. P&amp;L + cash'!$D:$AA,MATCH("Raise Now Signal",'7. P&amp;L + cash'!$B:$B,0),MATCH(R$21,'7. P&amp;L + cash'!$D$3:$AA$3,0))="Raise Now","Raise Now",IF(INDEX('7. P&amp;L + cash'!$D:$AA,MATCH("Series A Ready Signal",'7. P&amp;L + cash'!$B:$B,0),MATCH(R$21,'7. P&amp;L + cash'!$D$3:$AA$3,0))="Series A Ready","Series A Ready",IF(INDEX('7. P&amp;L + cash'!$D:$AA,MATCH("Start Conversations Signal",'7. P&amp;L + cash'!$B:$B,0),MATCH(R$21,'7. P&amp;L + cash'!$D$3:$AA$3,0))="Start Conversations","Start Conversations","No Action")))</f>
        <v>Raise Now</v>
      </c>
      <c r="S32" s="284" t="str">
        <f>IF(INDEX('7. P&amp;L + cash'!$D:$AA,MATCH("Raise Now Signal",'7. P&amp;L + cash'!$B:$B,0),MATCH(S$21,'7. P&amp;L + cash'!$D$3:$AA$3,0))="Raise Now","Raise Now",IF(INDEX('7. P&amp;L + cash'!$D:$AA,MATCH("Series A Ready Signal",'7. P&amp;L + cash'!$B:$B,0),MATCH(S$21,'7. P&amp;L + cash'!$D$3:$AA$3,0))="Series A Ready","Series A Ready",IF(INDEX('7. P&amp;L + cash'!$D:$AA,MATCH("Start Conversations Signal",'7. P&amp;L + cash'!$B:$B,0),MATCH(S$21,'7. P&amp;L + cash'!$D$3:$AA$3,0))="Start Conversations","Start Conversations","No Action")))</f>
        <v>Raise Now</v>
      </c>
      <c r="T32" s="284" t="str">
        <f>IF(INDEX('7. P&amp;L + cash'!$D:$AA,MATCH("Raise Now Signal",'7. P&amp;L + cash'!$B:$B,0),MATCH(T$21,'7. P&amp;L + cash'!$D$3:$AA$3,0))="Raise Now","Raise Now",IF(INDEX('7. P&amp;L + cash'!$D:$AA,MATCH("Series A Ready Signal",'7. P&amp;L + cash'!$B:$B,0),MATCH(T$21,'7. P&amp;L + cash'!$D$3:$AA$3,0))="Series A Ready","Series A Ready",IF(INDEX('7. P&amp;L + cash'!$D:$AA,MATCH("Start Conversations Signal",'7. P&amp;L + cash'!$B:$B,0),MATCH(T$21,'7. P&amp;L + cash'!$D$3:$AA$3,0))="Start Conversations","Start Conversations","No Action")))</f>
        <v>Raise Now</v>
      </c>
      <c r="U32" s="284" t="str">
        <f>IF(INDEX('7. P&amp;L + cash'!$D:$AA,MATCH("Raise Now Signal",'7. P&amp;L + cash'!$B:$B,0),MATCH(U$21,'7. P&amp;L + cash'!$D$3:$AA$3,0))="Raise Now","Raise Now",IF(INDEX('7. P&amp;L + cash'!$D:$AA,MATCH("Series A Ready Signal",'7. P&amp;L + cash'!$B:$B,0),MATCH(U$21,'7. P&amp;L + cash'!$D$3:$AA$3,0))="Series A Ready","Series A Ready",IF(INDEX('7. P&amp;L + cash'!$D:$AA,MATCH("Start Conversations Signal",'7. P&amp;L + cash'!$B:$B,0),MATCH(U$21,'7. P&amp;L + cash'!$D$3:$AA$3,0))="Start Conversations","Start Conversations","No Action")))</f>
        <v>Raise Now</v>
      </c>
      <c r="V32" s="284" t="str">
        <f>IF(INDEX('7. P&amp;L + cash'!$D:$AA,MATCH("Raise Now Signal",'7. P&amp;L + cash'!$B:$B,0),MATCH(V$21,'7. P&amp;L + cash'!$D$3:$AA$3,0))="Raise Now","Raise Now",IF(INDEX('7. P&amp;L + cash'!$D:$AA,MATCH("Series A Ready Signal",'7. P&amp;L + cash'!$B:$B,0),MATCH(V$21,'7. P&amp;L + cash'!$D$3:$AA$3,0))="Series A Ready","Series A Ready",IF(INDEX('7. P&amp;L + cash'!$D:$AA,MATCH("Start Conversations Signal",'7. P&amp;L + cash'!$B:$B,0),MATCH(V$21,'7. P&amp;L + cash'!$D$3:$AA$3,0))="Start Conversations","Start Conversations","No Action")))</f>
        <v>Raise Now</v>
      </c>
      <c r="W32" s="284" t="str">
        <f>IF(INDEX('7. P&amp;L + cash'!$D:$AA,MATCH("Raise Now Signal",'7. P&amp;L + cash'!$B:$B,0),MATCH(W$21,'7. P&amp;L + cash'!$D$3:$AA$3,0))="Raise Now","Raise Now",IF(INDEX('7. P&amp;L + cash'!$D:$AA,MATCH("Series A Ready Signal",'7. P&amp;L + cash'!$B:$B,0),MATCH(W$21,'7. P&amp;L + cash'!$D$3:$AA$3,0))="Series A Ready","Series A Ready",IF(INDEX('7. P&amp;L + cash'!$D:$AA,MATCH("Start Conversations Signal",'7. P&amp;L + cash'!$B:$B,0),MATCH(W$21,'7. P&amp;L + cash'!$D$3:$AA$3,0))="Start Conversations","Start Conversations","No Action")))</f>
        <v>Raise Now</v>
      </c>
      <c r="X32" s="284" t="str">
        <f>IF(INDEX('7. P&amp;L + cash'!$D:$AA,MATCH("Raise Now Signal",'7. P&amp;L + cash'!$B:$B,0),MATCH(X$21,'7. P&amp;L + cash'!$D$3:$AA$3,0))="Raise Now","Raise Now",IF(INDEX('7. P&amp;L + cash'!$D:$AA,MATCH("Series A Ready Signal",'7. P&amp;L + cash'!$B:$B,0),MATCH(X$21,'7. P&amp;L + cash'!$D$3:$AA$3,0))="Series A Ready","Series A Ready",IF(INDEX('7. P&amp;L + cash'!$D:$AA,MATCH("Start Conversations Signal",'7. P&amp;L + cash'!$B:$B,0),MATCH(X$21,'7. P&amp;L + cash'!$D$3:$AA$3,0))="Start Conversations","Start Conversations","No Action")))</f>
        <v>Series A Ready</v>
      </c>
      <c r="Y32" s="284" t="str">
        <f>IF(INDEX('7. P&amp;L + cash'!$D:$AA,MATCH("Raise Now Signal",'7. P&amp;L + cash'!$B:$B,0),MATCH(Y$21,'7. P&amp;L + cash'!$D$3:$AA$3,0))="Raise Now","Raise Now",IF(INDEX('7. P&amp;L + cash'!$D:$AA,MATCH("Series A Ready Signal",'7. P&amp;L + cash'!$B:$B,0),MATCH(Y$21,'7. P&amp;L + cash'!$D$3:$AA$3,0))="Series A Ready","Series A Ready",IF(INDEX('7. P&amp;L + cash'!$D:$AA,MATCH("Start Conversations Signal",'7. P&amp;L + cash'!$B:$B,0),MATCH(Y$21,'7. P&amp;L + cash'!$D$3:$AA$3,0))="Start Conversations","Start Conversations","No Action")))</f>
        <v>Series A Ready</v>
      </c>
    </row>
    <row r="33" spans="1:25" s="3" customFormat="1" ht="26.4">
      <c r="A33" s="279" t="s">
        <v>1089</v>
      </c>
      <c r="B33" s="284" t="str">
        <f>IF(B28&lt;6,"Freeze Hiring",IF(OR(B28&lt;12,IFERROR(B29&gt;12,FALSE)),"Delay Hire","Hire Allowed"))</f>
        <v>Hire Allowed</v>
      </c>
      <c r="C33" s="284" t="str">
        <f t="shared" ref="C33:Y33" si="1">IF(C28&lt;6,"Freeze Hiring",IF(OR(C28&lt;12,IFERROR(C29&gt;12,FALSE)),"Delay Hire","Hire Allowed"))</f>
        <v>Hire Allowed</v>
      </c>
      <c r="D33" s="284" t="str">
        <f t="shared" si="1"/>
        <v>Hire Allowed</v>
      </c>
      <c r="E33" s="284" t="str">
        <f t="shared" si="1"/>
        <v>Hire Allowed</v>
      </c>
      <c r="F33" s="284" t="str">
        <f t="shared" si="1"/>
        <v>Hire Allowed</v>
      </c>
      <c r="G33" s="284" t="str">
        <f t="shared" si="1"/>
        <v>Hire Allowed</v>
      </c>
      <c r="H33" s="284" t="str">
        <f t="shared" si="1"/>
        <v>Hire Allowed</v>
      </c>
      <c r="I33" s="284" t="str">
        <f t="shared" si="1"/>
        <v>Delay Hire</v>
      </c>
      <c r="J33" s="284" t="str">
        <f t="shared" si="1"/>
        <v>Delay Hire</v>
      </c>
      <c r="K33" s="284" t="str">
        <f t="shared" si="1"/>
        <v>Hire Allowed</v>
      </c>
      <c r="L33" s="284" t="str">
        <f t="shared" si="1"/>
        <v>Hire Allowed</v>
      </c>
      <c r="M33" s="284" t="str">
        <f t="shared" si="1"/>
        <v>Delay Hire</v>
      </c>
      <c r="N33" s="284" t="str">
        <f t="shared" si="1"/>
        <v>Delay Hire</v>
      </c>
      <c r="O33" s="284" t="str">
        <f t="shared" si="1"/>
        <v>Delay Hire</v>
      </c>
      <c r="P33" s="284" t="str">
        <f t="shared" si="1"/>
        <v>Delay Hire</v>
      </c>
      <c r="Q33" s="284" t="str">
        <f t="shared" si="1"/>
        <v>Delay Hire</v>
      </c>
      <c r="R33" s="284" t="str">
        <f t="shared" si="1"/>
        <v>Freeze Hiring</v>
      </c>
      <c r="S33" s="284" t="str">
        <f t="shared" si="1"/>
        <v>Freeze Hiring</v>
      </c>
      <c r="T33" s="284" t="str">
        <f t="shared" si="1"/>
        <v>Freeze Hiring</v>
      </c>
      <c r="U33" s="284" t="str">
        <f t="shared" si="1"/>
        <v>Freeze Hiring</v>
      </c>
      <c r="V33" s="284" t="str">
        <f t="shared" si="1"/>
        <v>Freeze Hiring</v>
      </c>
      <c r="W33" s="284" t="str">
        <f t="shared" si="1"/>
        <v>Freeze Hiring</v>
      </c>
      <c r="X33" s="284" t="str">
        <f t="shared" si="1"/>
        <v>Hire Allowed</v>
      </c>
      <c r="Y33" s="284" t="str">
        <f t="shared" si="1"/>
        <v>Hire Allowed</v>
      </c>
    </row>
    <row r="34" spans="1:25" s="3" customFormat="1" ht="39.6">
      <c r="A34" s="279" t="s">
        <v>1213</v>
      </c>
      <c r="B34" s="284" t="str">
        <f>IF(B32="Raise Now","RAISE NOW",IF(B32="Series A Ready","START SERIES A",IF(B32="Start Conversations","START CONVERSATIONS",IF(B33="Freeze Hiring","FREEZE HIRING",IF(B33="Delay Hire","DELAY HIRE","STAY COURSE")))))</f>
        <v>STAY COURSE</v>
      </c>
      <c r="C34" s="284" t="str">
        <f t="shared" ref="C34:Y34" si="2">IF(C32="Raise Now","RAISE NOW",IF(C32="Series A Ready","START SERIES A",IF(C32="Start Conversations","START CONVERSATIONS",IF(C33="Freeze Hiring","FREEZE HIRING",IF(C33="Delay Hire","DELAY HIRE","STAY COURSE")))))</f>
        <v>STAY COURSE</v>
      </c>
      <c r="D34" s="284" t="str">
        <f t="shared" si="2"/>
        <v>STAY COURSE</v>
      </c>
      <c r="E34" s="284" t="str">
        <f t="shared" si="2"/>
        <v>STAY COURSE</v>
      </c>
      <c r="F34" s="284" t="str">
        <f t="shared" si="2"/>
        <v>STAY COURSE</v>
      </c>
      <c r="G34" s="284" t="str">
        <f t="shared" si="2"/>
        <v>STAY COURSE</v>
      </c>
      <c r="H34" s="284" t="str">
        <f t="shared" si="2"/>
        <v>STAY COURSE</v>
      </c>
      <c r="I34" s="284" t="str">
        <f t="shared" si="2"/>
        <v>DELAY HIRE</v>
      </c>
      <c r="J34" s="284" t="str">
        <f t="shared" si="2"/>
        <v>DELAY HIRE</v>
      </c>
      <c r="K34" s="284" t="str">
        <f t="shared" si="2"/>
        <v>STAY COURSE</v>
      </c>
      <c r="L34" s="284" t="str">
        <f t="shared" si="2"/>
        <v>STAY COURSE</v>
      </c>
      <c r="M34" s="284" t="str">
        <f t="shared" si="2"/>
        <v>START CONVERSATIONS</v>
      </c>
      <c r="N34" s="284" t="str">
        <f t="shared" si="2"/>
        <v>START CONVERSATIONS</v>
      </c>
      <c r="O34" s="284" t="str">
        <f t="shared" si="2"/>
        <v>START CONVERSATIONS</v>
      </c>
      <c r="P34" s="284" t="str">
        <f t="shared" si="2"/>
        <v>START CONVERSATIONS</v>
      </c>
      <c r="Q34" s="284" t="str">
        <f t="shared" si="2"/>
        <v>START CONVERSATIONS</v>
      </c>
      <c r="R34" s="284" t="str">
        <f t="shared" si="2"/>
        <v>RAISE NOW</v>
      </c>
      <c r="S34" s="284" t="str">
        <f t="shared" si="2"/>
        <v>RAISE NOW</v>
      </c>
      <c r="T34" s="284" t="str">
        <f t="shared" si="2"/>
        <v>RAISE NOW</v>
      </c>
      <c r="U34" s="284" t="str">
        <f t="shared" si="2"/>
        <v>RAISE NOW</v>
      </c>
      <c r="V34" s="284" t="str">
        <f t="shared" si="2"/>
        <v>RAISE NOW</v>
      </c>
      <c r="W34" s="284" t="str">
        <f t="shared" si="2"/>
        <v>RAISE NOW</v>
      </c>
      <c r="X34" s="284" t="str">
        <f t="shared" si="2"/>
        <v>START SERIES A</v>
      </c>
      <c r="Y34" s="284" t="str">
        <f t="shared" si="2"/>
        <v>START SERIES A</v>
      </c>
    </row>
    <row r="35" spans="1:25" s="3" customFormat="1" ht="13.2"/>
    <row r="36" spans="1:25" s="3" customFormat="1" ht="13.2">
      <c r="A36" s="285"/>
    </row>
    <row r="37" spans="1:25" s="3" customFormat="1" ht="13.2"/>
    <row r="38" spans="1:25" s="3" customFormat="1" ht="13.2"/>
    <row r="39" spans="1:25" s="3" customFormat="1" ht="13.2"/>
    <row r="40" spans="1:25" s="3" customFormat="1" ht="13.2"/>
    <row r="41" spans="1:25" s="3" customFormat="1" ht="13.2"/>
    <row r="42" spans="1:25" s="3" customFormat="1" ht="13.2"/>
    <row r="43" spans="1:25" s="3" customFormat="1" ht="13.2"/>
    <row r="44" spans="1:25" s="3" customFormat="1" ht="13.2"/>
    <row r="45" spans="1:25" s="3" customFormat="1" ht="13.2"/>
    <row r="46" spans="1:25" s="3" customFormat="1" ht="13.2"/>
    <row r="47" spans="1:25" s="3" customFormat="1" ht="13.2"/>
    <row r="48" spans="1:25" s="3" customFormat="1" ht="13.2"/>
    <row r="49" s="3" customFormat="1" ht="13.2"/>
    <row r="50" s="3" customFormat="1" ht="13.2"/>
    <row r="51" s="3" customFormat="1" ht="13.2"/>
    <row r="52" s="3" customFormat="1" ht="13.2"/>
    <row r="53" s="3" customFormat="1" ht="13.2"/>
    <row r="54" s="3" customFormat="1" ht="13.2"/>
    <row r="55" s="3" customFormat="1" ht="13.2"/>
    <row r="56" s="3" customFormat="1" ht="13.2"/>
    <row r="57" s="3" customFormat="1" ht="13.2"/>
    <row r="58" s="3" customFormat="1" ht="13.2"/>
    <row r="59" s="3" customFormat="1" ht="13.2"/>
    <row r="60" s="3" customFormat="1" ht="13.2"/>
    <row r="61" s="3" customFormat="1" ht="13.2"/>
    <row r="62" s="3" customFormat="1" ht="13.2"/>
    <row r="63" s="3" customFormat="1" ht="13.2"/>
    <row r="64" s="3" customFormat="1" ht="13.2"/>
    <row r="65" spans="1:9" s="3" customFormat="1" ht="13.2"/>
    <row r="66" spans="1:9" s="3" customFormat="1" ht="13.2"/>
    <row r="67" spans="1:9" s="3" customFormat="1" ht="13.2"/>
    <row r="68" spans="1:9" s="3" customFormat="1" ht="13.2"/>
    <row r="69" spans="1:9" s="3" customFormat="1" ht="13.2"/>
    <row r="70" spans="1:9" s="3" customFormat="1" ht="13.2">
      <c r="A70" s="286" t="s">
        <v>1090</v>
      </c>
      <c r="B70" s="286"/>
      <c r="C70" s="286"/>
      <c r="D70" s="286"/>
      <c r="E70" s="286"/>
      <c r="F70" s="286"/>
      <c r="G70" s="286"/>
      <c r="H70" s="286"/>
    </row>
    <row r="71" spans="1:9" s="3" customFormat="1" ht="13.2">
      <c r="A71" s="104" t="s">
        <v>1091</v>
      </c>
      <c r="B71" s="104" t="s">
        <v>1092</v>
      </c>
      <c r="C71" s="104" t="s">
        <v>1093</v>
      </c>
      <c r="D71" s="104" t="s">
        <v>1094</v>
      </c>
      <c r="E71" s="104" t="s">
        <v>1095</v>
      </c>
      <c r="F71" s="104" t="s">
        <v>38</v>
      </c>
      <c r="G71" s="104" t="s">
        <v>1096</v>
      </c>
      <c r="H71" s="104" t="s">
        <v>1097</v>
      </c>
      <c r="I71" s="104" t="s">
        <v>3</v>
      </c>
    </row>
    <row r="72" spans="1:9" s="3" customFormat="1" ht="26.4">
      <c r="A72" s="287" t="s">
        <v>1098</v>
      </c>
      <c r="B72" s="288" t="s">
        <v>1099</v>
      </c>
      <c r="C72" s="289" t="s">
        <v>677</v>
      </c>
      <c r="D72" s="289" t="s">
        <v>680</v>
      </c>
      <c r="E72" s="289" t="s">
        <v>1218</v>
      </c>
      <c r="F72" s="290" t="str" cm="1">
        <f t="array" ref="F72">IFERROR(INDEX($B$21:$Y$21,1,MATCH(TRUE,$B$28:$Y$28&lt;6,0)),"Not Triggered")</f>
        <v>Month 17</v>
      </c>
      <c r="G72" s="290" t="s">
        <v>1100</v>
      </c>
      <c r="H72" s="291" t="s">
        <v>1101</v>
      </c>
      <c r="I72" s="292" t="s">
        <v>1102</v>
      </c>
    </row>
    <row r="73" spans="1:9" s="3" customFormat="1" ht="26.4">
      <c r="A73" s="287" t="s">
        <v>1103</v>
      </c>
      <c r="B73" s="288" t="s">
        <v>1104</v>
      </c>
      <c r="C73" s="289" t="s">
        <v>675</v>
      </c>
      <c r="D73" s="289" t="s">
        <v>675</v>
      </c>
      <c r="E73" s="289" t="s">
        <v>1218</v>
      </c>
      <c r="F73" s="290" t="str" cm="1">
        <f t="array" ref="F73">IFERROR(INDEX($B$21:$Y$21,1,MATCH(1,($B$28:$Y$28&gt;=6)*($B$28:$Y$28&lt;=12),0)),"Not Triggered")</f>
        <v>Month 12</v>
      </c>
      <c r="G73" s="290" t="s">
        <v>1105</v>
      </c>
      <c r="H73" s="291" t="s">
        <v>1106</v>
      </c>
      <c r="I73" s="292" t="s">
        <v>1107</v>
      </c>
    </row>
    <row r="74" spans="1:9" s="3" customFormat="1" ht="13.2">
      <c r="A74" s="287" t="s">
        <v>1108</v>
      </c>
      <c r="B74" s="288" t="s">
        <v>1109</v>
      </c>
      <c r="C74" s="289" t="s">
        <v>683</v>
      </c>
      <c r="D74" s="289" t="s">
        <v>1218</v>
      </c>
      <c r="E74" s="289" t="s">
        <v>1218</v>
      </c>
      <c r="F74" s="290" t="str" cm="1">
        <f t="array" ref="F74">IFERROR(INDEX($B$21:$Y$21,1,MATCH(TRUE,$B$26:$Y$26&lt;0,0)),"Not Triggered")</f>
        <v>Not Triggered</v>
      </c>
      <c r="G74" s="290" t="s">
        <v>1100</v>
      </c>
      <c r="H74" s="291" t="s">
        <v>1110</v>
      </c>
      <c r="I74" s="292" t="s">
        <v>1111</v>
      </c>
    </row>
    <row r="75" spans="1:9" s="3" customFormat="1" ht="26.4">
      <c r="A75" s="287" t="s">
        <v>1112</v>
      </c>
      <c r="B75" s="288" t="s">
        <v>1113</v>
      </c>
      <c r="C75" s="289" t="s">
        <v>666</v>
      </c>
      <c r="D75" s="289" t="s">
        <v>1218</v>
      </c>
      <c r="E75" s="289" t="s">
        <v>1218</v>
      </c>
      <c r="F75" s="290" t="str" cm="1">
        <f t="array" ref="F75">IFERROR(INDEX($D$21:$Y$21,1,MATCH(1,($B$29:$W$29&gt;12)*($C$29:$X$29&gt;12)*($D$29:$Y$29&gt;12),0)),"Not Triggered")</f>
        <v>Not Triggered</v>
      </c>
      <c r="G75" s="290" t="s">
        <v>1100</v>
      </c>
      <c r="H75" s="291" t="s">
        <v>1114</v>
      </c>
      <c r="I75" s="292" t="s">
        <v>1115</v>
      </c>
    </row>
    <row r="76" spans="1:9" s="3" customFormat="1" ht="26.4">
      <c r="A76" s="287" t="s">
        <v>1116</v>
      </c>
      <c r="B76" s="288" t="s">
        <v>1117</v>
      </c>
      <c r="C76" s="289" t="s">
        <v>1218</v>
      </c>
      <c r="D76" s="289" t="s">
        <v>677</v>
      </c>
      <c r="E76" s="289" t="s">
        <v>667</v>
      </c>
      <c r="F76" s="290" t="str" cm="1">
        <f t="array" ref="F76">IFERROR(INDEX($B$21:$Y$21,1,MATCH(TRUE,$B$22:$Y$22&gt;=1000000,0)),"Not Triggered")</f>
        <v>Month 14</v>
      </c>
      <c r="G76" s="290" t="s">
        <v>1105</v>
      </c>
      <c r="H76" s="291" t="s">
        <v>1118</v>
      </c>
      <c r="I76" s="292" t="s">
        <v>1119</v>
      </c>
    </row>
    <row r="77" spans="1:9" s="3" customFormat="1" ht="13.2">
      <c r="A77" s="287" t="s">
        <v>1216</v>
      </c>
      <c r="B77" s="288" t="s">
        <v>1217</v>
      </c>
      <c r="C77" s="289" t="s">
        <v>1218</v>
      </c>
      <c r="D77" s="289" t="s">
        <v>665</v>
      </c>
      <c r="E77" s="289" t="s">
        <v>665</v>
      </c>
      <c r="F77" s="290" t="str" cm="1">
        <f t="array" ref="F77">IFERROR(INDEX($C$21:$Y$21,1,MATCH(1,($C$23:$Y$23&gt;$B$23:$X$23)*($C$29:$Y$29&lt;12)*($C$28:$Y$28&gt;12),0)),"Not Triggered")</f>
        <v>Month 2</v>
      </c>
      <c r="G77" s="290" t="s">
        <v>1105</v>
      </c>
      <c r="H77" s="291" t="s">
        <v>1120</v>
      </c>
      <c r="I77" s="292" t="s">
        <v>1121</v>
      </c>
    </row>
    <row r="78" spans="1:9" s="3" customFormat="1" ht="13.2"/>
    <row r="79" spans="1:9" s="3" customFormat="1" ht="13.2">
      <c r="A79" s="286" t="s">
        <v>1122</v>
      </c>
      <c r="B79" s="286"/>
      <c r="C79" s="286"/>
      <c r="D79" s="286"/>
      <c r="E79" s="286"/>
      <c r="F79" s="286"/>
      <c r="G79" s="286"/>
      <c r="H79" s="286"/>
    </row>
    <row r="80" spans="1:9" s="3" customFormat="1" ht="13.2">
      <c r="A80" s="104" t="s">
        <v>4</v>
      </c>
      <c r="B80" s="104" t="s">
        <v>4</v>
      </c>
      <c r="C80" s="104" t="s">
        <v>4</v>
      </c>
      <c r="D80" s="104" t="s">
        <v>4</v>
      </c>
      <c r="E80" s="104" t="s">
        <v>4</v>
      </c>
      <c r="F80" s="104" t="s">
        <v>4</v>
      </c>
      <c r="G80" s="104" t="s">
        <v>4</v>
      </c>
      <c r="H80" s="104" t="s">
        <v>4</v>
      </c>
    </row>
    <row r="81" spans="1:8" s="3" customFormat="1" ht="13.2">
      <c r="A81" s="267" t="s">
        <v>1123</v>
      </c>
      <c r="B81" s="293" t="s">
        <v>188</v>
      </c>
      <c r="C81" s="294">
        <f>INDEX('1. Assumptions'!$D:$D,MATCH("Monthly New Logo Growth Rate (MoM)",'1. Assumptions'!$B:$B,0))</f>
        <v>0.03</v>
      </c>
      <c r="D81" s="294">
        <f>INDEX('1. Assumptions'!$E:$E,MATCH("Monthly New Logo Growth Rate (MoM)",'1. Assumptions'!$B:$B,0))</f>
        <v>7.0000000000000007E-2</v>
      </c>
      <c r="E81" s="294">
        <f>INDEX('1. Assumptions'!$F:$F,MATCH("Monthly New Logo Growth Rate (MoM)",'1. Assumptions'!$B:$B,0))</f>
        <v>0.12</v>
      </c>
      <c r="F81" s="294">
        <f>INDEX('1. Assumptions'!$G:$G,MATCH("Monthly New Logo Growth Rate (MoM)",'1. Assumptions'!$B:$B,0))</f>
        <v>7.0000000000000007E-2</v>
      </c>
      <c r="G81" s="295" t="s">
        <v>1100</v>
      </c>
      <c r="H81" s="296" t="s">
        <v>1124</v>
      </c>
    </row>
    <row r="82" spans="1:8" s="3" customFormat="1" ht="13.2">
      <c r="A82" s="267" t="s">
        <v>252</v>
      </c>
      <c r="B82" s="293" t="s">
        <v>173</v>
      </c>
      <c r="C82" s="294">
        <f>INDEX('1. Assumptions'!$D:$D,MATCH("Blended Monthly Churn",'1. Assumptions'!$B:$B,0))</f>
        <v>0.05</v>
      </c>
      <c r="D82" s="294">
        <f>INDEX('1. Assumptions'!$E:$E,MATCH("Blended Monthly Churn",'1. Assumptions'!$B:$B,0))</f>
        <v>0.03</v>
      </c>
      <c r="E82" s="294">
        <f>INDEX('1. Assumptions'!$F:$F,MATCH("Blended Monthly Churn",'1. Assumptions'!$B:$B,0))</f>
        <v>1.7999999999999999E-2</v>
      </c>
      <c r="F82" s="294">
        <f>INDEX('1. Assumptions'!$G:$G,MATCH("Blended Monthly Churn",'1. Assumptions'!$B:$B,0))</f>
        <v>0.03</v>
      </c>
      <c r="G82" s="295" t="s">
        <v>1100</v>
      </c>
      <c r="H82" s="296" t="s">
        <v>1219</v>
      </c>
    </row>
    <row r="83" spans="1:8" s="3" customFormat="1" ht="13.2">
      <c r="A83" s="267" t="s">
        <v>1125</v>
      </c>
      <c r="B83" s="293" t="s">
        <v>301</v>
      </c>
      <c r="C83" s="297">
        <f>INDEX('1. Assumptions'!$D:$D,MATCH("Paid Marketing Multiplier (scenario lever)",'1. Assumptions'!$B:$B,0))</f>
        <v>0.7</v>
      </c>
      <c r="D83" s="297">
        <f>INDEX('1. Assumptions'!$E:$E,MATCH("Paid Marketing Multiplier (scenario lever)",'1. Assumptions'!$B:$B,0))</f>
        <v>1</v>
      </c>
      <c r="E83" s="297">
        <f>INDEX('1. Assumptions'!$F:$F,MATCH("Paid Marketing Multiplier (scenario lever)",'1. Assumptions'!$B:$B,0))</f>
        <v>1.5</v>
      </c>
      <c r="F83" s="297">
        <f>INDEX('1. Assumptions'!$G:$G,MATCH("Paid Marketing Multiplier (scenario lever)",'1. Assumptions'!$B:$B,0))</f>
        <v>1</v>
      </c>
      <c r="G83" s="295" t="s">
        <v>1105</v>
      </c>
      <c r="H83" s="296" t="s">
        <v>1126</v>
      </c>
    </row>
    <row r="84" spans="1:8" s="3" customFormat="1" ht="13.2">
      <c r="A84" s="267" t="s">
        <v>1127</v>
      </c>
      <c r="B84" s="293" t="s">
        <v>159</v>
      </c>
      <c r="C84" s="297">
        <f>INDEX('1. Assumptions'!$D:$D,MATCH("AE #2 ; Start Month",'1. Assumptions'!$B:$B,0))</f>
        <v>12</v>
      </c>
      <c r="D84" s="297">
        <f>INDEX('1. Assumptions'!$E:$E,MATCH("AE #2 ; Start Month",'1. Assumptions'!$B:$B,0))</f>
        <v>9</v>
      </c>
      <c r="E84" s="297">
        <f>INDEX('1. Assumptions'!$F:$F,MATCH("AE #2 ; Start Month",'1. Assumptions'!$B:$B,0))</f>
        <v>7</v>
      </c>
      <c r="F84" s="297">
        <f>INDEX('1. Assumptions'!$G:$G,MATCH("AE #2 ; Start Month",'1. Assumptions'!$B:$B,0))</f>
        <v>9</v>
      </c>
      <c r="G84" s="295" t="s">
        <v>1105</v>
      </c>
      <c r="H84" s="296" t="s">
        <v>1128</v>
      </c>
    </row>
    <row r="85" spans="1:8" s="3" customFormat="1" ht="13.2">
      <c r="A85" s="267" t="s">
        <v>1129</v>
      </c>
      <c r="B85" s="293" t="s">
        <v>1130</v>
      </c>
      <c r="C85" s="297">
        <f>INDEX('1. Assumptions'!$D:$D,MATCH("New Enterprise Logos ; M6+",'1. Assumptions'!$B:$B,0))</f>
        <v>0.5</v>
      </c>
      <c r="D85" s="297">
        <f>INDEX('1. Assumptions'!$E:$E,MATCH("New Enterprise Logos ; M6+",'1. Assumptions'!$B:$B,0))</f>
        <v>1</v>
      </c>
      <c r="E85" s="297">
        <f>INDEX('1. Assumptions'!$F:$F,MATCH("New Enterprise Logos ; M6+",'1. Assumptions'!$B:$B,0))</f>
        <v>2</v>
      </c>
      <c r="F85" s="297">
        <f>INDEX('1. Assumptions'!$G:$G,MATCH("New Enterprise Logos ; M6+",'1. Assumptions'!$B:$B,0))</f>
        <v>1</v>
      </c>
      <c r="G85" s="295" t="s">
        <v>1100</v>
      </c>
      <c r="H85" s="296" t="s">
        <v>1131</v>
      </c>
    </row>
    <row r="86" spans="1:8" s="3" customFormat="1" ht="13.2">
      <c r="A86" s="267" t="s">
        <v>1132</v>
      </c>
      <c r="B86" s="293" t="s">
        <v>159</v>
      </c>
      <c r="C86" s="297">
        <f>INDEX('1. Assumptions'!$D:$D,MATCH("AI Usage Revenue Start Month",'1. Assumptions'!$B:$B,0))</f>
        <v>14</v>
      </c>
      <c r="D86" s="297">
        <f>INDEX('1. Assumptions'!$E:$E,MATCH("AI Usage Revenue Start Month",'1. Assumptions'!$B:$B,0))</f>
        <v>10</v>
      </c>
      <c r="E86" s="297">
        <f>INDEX('1. Assumptions'!$F:$F,MATCH("AI Usage Revenue Start Month",'1. Assumptions'!$B:$B,0))</f>
        <v>7</v>
      </c>
      <c r="F86" s="297">
        <f>INDEX('1. Assumptions'!$G:$G,MATCH("AI Usage Revenue Start Month",'1. Assumptions'!$B:$B,0))</f>
        <v>10</v>
      </c>
      <c r="G86" s="295" t="s">
        <v>1105</v>
      </c>
      <c r="H86" s="296" t="s">
        <v>1133</v>
      </c>
    </row>
    <row r="87" spans="1:8" s="3" customFormat="1" ht="13.2">
      <c r="A87" s="267" t="s">
        <v>1134</v>
      </c>
      <c r="B87" s="293" t="s">
        <v>173</v>
      </c>
      <c r="C87" s="294">
        <f>INDEX('1. Assumptions'!$D:$D,MATCH("Annual Billing Mix (% of paid customers)",'1. Assumptions'!$B:$B,0))</f>
        <v>0.1</v>
      </c>
      <c r="D87" s="294">
        <f>INDEX('1. Assumptions'!$E:$E,MATCH("Annual Billing Mix (% of paid customers)",'1. Assumptions'!$B:$B,0))</f>
        <v>0.2</v>
      </c>
      <c r="E87" s="294">
        <f>INDEX('1. Assumptions'!$F:$F,MATCH("Annual Billing Mix (% of paid customers)",'1. Assumptions'!$B:$B,0))</f>
        <v>0.35</v>
      </c>
      <c r="F87" s="294">
        <f>INDEX('1. Assumptions'!$G:$G,MATCH("Annual Billing Mix (% of paid customers)",'1. Assumptions'!$B:$B,0))</f>
        <v>0.2</v>
      </c>
      <c r="G87" s="295" t="s">
        <v>1105</v>
      </c>
      <c r="H87" s="296" t="s">
        <v>1135</v>
      </c>
    </row>
    <row r="88" spans="1:8" s="3" customFormat="1" ht="13.2">
      <c r="A88" s="267" t="s">
        <v>1136</v>
      </c>
      <c r="B88" s="293" t="s">
        <v>1137</v>
      </c>
      <c r="C88" s="294">
        <f>INDEX('1. Assumptions'!$D:$D,MATCH("AI API Cost % of AI Revenue ; M24",'1. Assumptions'!$B:$B,0))</f>
        <v>0.35</v>
      </c>
      <c r="D88" s="294">
        <f>INDEX('1. Assumptions'!$E:$E,MATCH("AI API Cost % of AI Revenue ; M24",'1. Assumptions'!$B:$B,0))</f>
        <v>0.25</v>
      </c>
      <c r="E88" s="294">
        <f>INDEX('1. Assumptions'!$F:$F,MATCH("AI API Cost % of AI Revenue ; M24",'1. Assumptions'!$B:$B,0))</f>
        <v>0.2</v>
      </c>
      <c r="F88" s="294">
        <f>INDEX('1. Assumptions'!$G:$G,MATCH("AI API Cost % of AI Revenue ; M24",'1. Assumptions'!$B:$B,0))</f>
        <v>0.25</v>
      </c>
      <c r="G88" s="295" t="s">
        <v>1100</v>
      </c>
      <c r="H88" s="296" t="s">
        <v>1138</v>
      </c>
    </row>
    <row r="89" spans="1:8" s="3" customFormat="1" ht="13.2"/>
    <row r="90" spans="1:8" s="3" customFormat="1" ht="13.2"/>
    <row r="91" spans="1:8" s="3" customFormat="1" ht="13.2">
      <c r="A91" s="286" t="s">
        <v>1139</v>
      </c>
      <c r="B91" s="286"/>
      <c r="C91" s="286"/>
      <c r="D91" s="286"/>
      <c r="E91" s="286"/>
      <c r="F91" s="286"/>
      <c r="G91" s="286"/>
      <c r="H91" s="286"/>
    </row>
    <row r="92" spans="1:8" s="3" customFormat="1" ht="13.2">
      <c r="A92" s="104" t="s">
        <v>1140</v>
      </c>
      <c r="B92" s="104" t="s">
        <v>1141</v>
      </c>
      <c r="C92" s="104" t="s">
        <v>472</v>
      </c>
      <c r="D92" s="104" t="s">
        <v>1142</v>
      </c>
      <c r="E92" s="104" t="s">
        <v>1097</v>
      </c>
      <c r="F92" s="104" t="s">
        <v>1143</v>
      </c>
      <c r="G92" s="104" t="s">
        <v>1144</v>
      </c>
      <c r="H92" s="104" t="s">
        <v>3</v>
      </c>
    </row>
    <row r="93" spans="1:8" s="3" customFormat="1" ht="26.4">
      <c r="A93" s="298">
        <v>1</v>
      </c>
      <c r="B93" s="299" t="s">
        <v>1145</v>
      </c>
      <c r="C93" s="299" t="s">
        <v>1146</v>
      </c>
      <c r="D93" s="300" t="s">
        <v>1147</v>
      </c>
      <c r="E93" s="301" t="s">
        <v>1148</v>
      </c>
      <c r="F93" s="299" t="s">
        <v>1149</v>
      </c>
      <c r="G93" s="299" t="s">
        <v>1150</v>
      </c>
      <c r="H93" s="301" t="s">
        <v>1151</v>
      </c>
    </row>
    <row r="94" spans="1:8" s="3" customFormat="1" ht="26.4">
      <c r="A94" s="298">
        <f>+A93+1</f>
        <v>2</v>
      </c>
      <c r="B94" s="299" t="s">
        <v>1152</v>
      </c>
      <c r="C94" s="299" t="s">
        <v>1153</v>
      </c>
      <c r="D94" s="302" t="s">
        <v>1221</v>
      </c>
      <c r="E94" s="301" t="s">
        <v>1154</v>
      </c>
      <c r="F94" s="299" t="s">
        <v>1149</v>
      </c>
      <c r="G94" s="299" t="s">
        <v>1155</v>
      </c>
      <c r="H94" s="301" t="s">
        <v>1156</v>
      </c>
    </row>
    <row r="95" spans="1:8" s="3" customFormat="1" ht="26.4">
      <c r="A95" s="298">
        <f t="shared" ref="A95:A97" si="3">+A94+1</f>
        <v>3</v>
      </c>
      <c r="B95" s="299" t="s">
        <v>1157</v>
      </c>
      <c r="C95" s="301" t="s">
        <v>1158</v>
      </c>
      <c r="D95" s="300" t="s">
        <v>1159</v>
      </c>
      <c r="E95" s="301" t="s">
        <v>1160</v>
      </c>
      <c r="F95" s="299" t="s">
        <v>1161</v>
      </c>
      <c r="G95" s="299" t="s">
        <v>10</v>
      </c>
      <c r="H95" s="301" t="s">
        <v>1162</v>
      </c>
    </row>
    <row r="96" spans="1:8" s="3" customFormat="1" ht="26.4">
      <c r="A96" s="298">
        <f t="shared" si="3"/>
        <v>4</v>
      </c>
      <c r="B96" s="299" t="s">
        <v>1163</v>
      </c>
      <c r="C96" s="301" t="s">
        <v>1220</v>
      </c>
      <c r="D96" s="300" t="s">
        <v>1164</v>
      </c>
      <c r="E96" s="301" t="s">
        <v>1165</v>
      </c>
      <c r="F96" s="299" t="s">
        <v>1161</v>
      </c>
      <c r="G96" s="299" t="s">
        <v>97</v>
      </c>
      <c r="H96" s="301" t="s">
        <v>1166</v>
      </c>
    </row>
    <row r="97" spans="1:25" s="3" customFormat="1" ht="13.2">
      <c r="A97" s="298">
        <f t="shared" si="3"/>
        <v>5</v>
      </c>
      <c r="B97" s="299" t="s">
        <v>1167</v>
      </c>
      <c r="C97" s="299" t="s">
        <v>1168</v>
      </c>
      <c r="D97" s="300" t="s">
        <v>1169</v>
      </c>
      <c r="E97" s="301" t="s">
        <v>1170</v>
      </c>
      <c r="F97" s="299" t="s">
        <v>1171</v>
      </c>
      <c r="G97" s="299" t="s">
        <v>97</v>
      </c>
      <c r="H97" s="301" t="s">
        <v>1172</v>
      </c>
    </row>
    <row r="98" spans="1:25" s="3" customFormat="1" ht="13.2"/>
    <row r="99" spans="1:25" s="3" customFormat="1" ht="13.2"/>
    <row r="100" spans="1:25" s="3" customFormat="1" ht="13.2">
      <c r="A100" s="286" t="s">
        <v>1173</v>
      </c>
      <c r="B100" s="286"/>
      <c r="C100" s="286"/>
      <c r="D100" s="286"/>
      <c r="E100" s="286"/>
      <c r="F100" s="286"/>
      <c r="G100" s="286"/>
      <c r="H100" s="286"/>
      <c r="I100" s="286"/>
    </row>
    <row r="101" spans="1:25" s="3" customFormat="1" ht="13.2">
      <c r="A101" s="104" t="s">
        <v>1174</v>
      </c>
      <c r="B101" s="104" t="s">
        <v>1175</v>
      </c>
      <c r="C101" s="104" t="s">
        <v>1176</v>
      </c>
      <c r="D101" s="104" t="s">
        <v>1177</v>
      </c>
      <c r="E101" s="104" t="s">
        <v>1178</v>
      </c>
      <c r="F101" s="104" t="s">
        <v>1179</v>
      </c>
      <c r="G101" s="104" t="s">
        <v>1180</v>
      </c>
      <c r="H101" s="104" t="s">
        <v>1143</v>
      </c>
      <c r="I101" s="104" t="s">
        <v>3</v>
      </c>
    </row>
    <row r="102" spans="1:25" s="3" customFormat="1" ht="26.4">
      <c r="A102" s="303" t="s">
        <v>1181</v>
      </c>
      <c r="B102" s="299" t="s">
        <v>1182</v>
      </c>
      <c r="C102" s="304">
        <f>INDEX('1. Assumptions'!$G:$G,MATCH("AE #2 ; Start Month",'1. Assumptions'!$B:$B,0))</f>
        <v>9</v>
      </c>
      <c r="D102" s="301" t="s">
        <v>1183</v>
      </c>
      <c r="E102" s="301" t="s">
        <v>1184</v>
      </c>
      <c r="F102" s="301" t="s">
        <v>1185</v>
      </c>
      <c r="G102" s="298" t="str">
        <f>IF(AND(MATCH($B$5,{"Bear","Base","Bull"},0)&gt;=2,INDEX($B$28:$Y$28,1,MATCH("Month "&amp;C102,$B$21:$Y$21,0))&gt;12),"HIRE AS PLANNED","DELAY")</f>
        <v>HIRE AS PLANNED</v>
      </c>
      <c r="H102" s="299" t="s">
        <v>1161</v>
      </c>
      <c r="I102" s="301" t="s">
        <v>1186</v>
      </c>
    </row>
    <row r="103" spans="1:25" s="3" customFormat="1" ht="26.4">
      <c r="A103" s="303" t="s">
        <v>1187</v>
      </c>
      <c r="B103" s="299" t="s">
        <v>1188</v>
      </c>
      <c r="C103" s="304">
        <f>INDEX('1. Assumptions'!$G:$G,MATCH("AE #3 ; Earliest Possible Start Month",'1. Assumptions'!$B:$B,0))</f>
        <v>14</v>
      </c>
      <c r="D103" s="301" t="s">
        <v>1189</v>
      </c>
      <c r="E103" s="301" t="s">
        <v>1184</v>
      </c>
      <c r="F103" s="301" t="s">
        <v>1185</v>
      </c>
      <c r="G103" s="298" t="str" cm="1">
        <f t="array" ref="G103">IF(AND(INDEX($B$28:$Y$28,1,MATCH("Month "&amp;C103,$B$21:$Y$21,0))&gt;12,INDEX($B$29:$Y$29,1,MATCH("Month "&amp;C103,$B$21:$Y$21,0))&lt;12,INDEX($B$29:$Y$29,1,MATCH("Month "&amp;C103,$B$21:$Y$21,0)-1)&lt;12,INDEX($B$29:$Y$29,1,MATCH("Month "&amp;C103,$B$21:$Y$21,0)-2)&lt;12),"HIRE AS PLANNED","DELAY")</f>
        <v>DELAY</v>
      </c>
      <c r="H103" s="299" t="s">
        <v>1161</v>
      </c>
      <c r="I103" s="301" t="s">
        <v>1190</v>
      </c>
    </row>
    <row r="104" spans="1:25" s="3" customFormat="1" ht="26.4">
      <c r="A104" s="303" t="s">
        <v>1191</v>
      </c>
      <c r="B104" s="299" t="s">
        <v>1192</v>
      </c>
      <c r="C104" s="304">
        <f>INDEX('1. Assumptions'!$G:$G,MATCH("Customer Success #1 ; Planned Start Month",'1. Assumptions'!$B:$B,0))</f>
        <v>8</v>
      </c>
      <c r="D104" s="301" t="s">
        <v>1193</v>
      </c>
      <c r="E104" s="301" t="s">
        <v>1222</v>
      </c>
      <c r="F104" s="301" t="s">
        <v>1194</v>
      </c>
      <c r="G104" s="298" t="str">
        <f>IF(INDEX('3. Revenue Model'!$D:$AA,MATCH("Total Paid Customers",'3. Revenue Model'!$B:$B,0),MATCH("Month "&amp;C104,'3. Revenue Model'!$D$2:$AA$2,0))&gt;=INDEX('1. Assumptions'!$G:$G,MATCH("CS Hire Trigger (customers per CS FTE)",'1. Assumptions'!$B:$B,0)),"HIRE AS PLANNED","DELAY")</f>
        <v>HIRE AS PLANNED</v>
      </c>
      <c r="H104" s="299" t="s">
        <v>1195</v>
      </c>
      <c r="I104" s="301" t="s">
        <v>1196</v>
      </c>
    </row>
    <row r="105" spans="1:25" s="3" customFormat="1" ht="26.4">
      <c r="A105" s="303" t="s">
        <v>1197</v>
      </c>
      <c r="B105" s="299" t="s">
        <v>1192</v>
      </c>
      <c r="C105" s="304">
        <f>INDEX('1. Assumptions'!$G:$G,MATCH("Customer Success #2 ; Planned Start Month",'1. Assumptions'!$B:$B,0))</f>
        <v>16</v>
      </c>
      <c r="D105" s="301" t="s">
        <v>1198</v>
      </c>
      <c r="E105" s="301" t="s">
        <v>1199</v>
      </c>
      <c r="F105" s="301" t="s">
        <v>1194</v>
      </c>
      <c r="G105" s="298" t="str">
        <f>IF(INDEX('3. Revenue Model'!$D:$AA,MATCH("Total Paid Customers",'3. Revenue Model'!$B:$B,0),MATCH("Month "&amp;C105,'3. Revenue Model'!$D$2:$AA$2,0))&gt;=2*INDEX('1. Assumptions'!$G:$G,MATCH("CS Hire Trigger (customers per CS FTE)",'1. Assumptions'!$B:$B,0)),"HIRE AS PLANNED","DELAY")</f>
        <v>HIRE AS PLANNED</v>
      </c>
      <c r="H105" s="299" t="s">
        <v>1195</v>
      </c>
      <c r="I105" s="301" t="s">
        <v>1200</v>
      </c>
    </row>
    <row r="106" spans="1:25" s="3" customFormat="1" ht="26.4">
      <c r="A106" s="303" t="s">
        <v>1201</v>
      </c>
      <c r="B106" s="299" t="s">
        <v>1202</v>
      </c>
      <c r="C106" s="304">
        <f>INDEX('1. Assumptions'!$G:$G,MATCH("CFO / Finance Hire ; Start Month",'1. Assumptions'!$B:$B,0))</f>
        <v>20</v>
      </c>
      <c r="D106" s="301" t="s">
        <v>1203</v>
      </c>
      <c r="E106" s="301" t="s">
        <v>1204</v>
      </c>
      <c r="F106" s="301" t="s">
        <v>1205</v>
      </c>
      <c r="G106" s="298" t="str">
        <f>IF(OR(INDEX($B$22:$Y$22,1,MATCH("Month "&amp;C106,$B$21:$Y$21,0))&gt;=1000000,INDEX($B$32:$Y$32,1,MATCH("Month "&amp;C106,$B$21:$Y$21,0))&lt;&gt;"No Action"),"HIRE AS PLANNED","DELAY")</f>
        <v>HIRE AS PLANNED</v>
      </c>
      <c r="H106" s="299" t="s">
        <v>1206</v>
      </c>
      <c r="I106" s="301" t="s">
        <v>1207</v>
      </c>
    </row>
    <row r="107" spans="1:25" s="3" customFormat="1" ht="13.2"/>
    <row r="108" spans="1:25" s="3" customFormat="1" ht="13.2"/>
    <row r="109" spans="1:25" s="3" customFormat="1" ht="14.4" customHeight="1">
      <c r="A109" s="105" t="s">
        <v>1208</v>
      </c>
      <c r="B109" s="208"/>
      <c r="C109" s="208"/>
      <c r="D109" s="208"/>
      <c r="E109" s="208"/>
      <c r="F109" s="208"/>
      <c r="G109" s="208"/>
      <c r="H109" s="208"/>
      <c r="I109" s="208"/>
      <c r="J109" s="208"/>
      <c r="K109" s="208"/>
      <c r="L109" s="208"/>
      <c r="M109" s="208"/>
      <c r="N109" s="208"/>
      <c r="O109" s="209"/>
      <c r="P109" s="209"/>
      <c r="Q109" s="209"/>
      <c r="R109" s="209"/>
      <c r="S109" s="209"/>
      <c r="T109" s="209"/>
      <c r="U109" s="209"/>
      <c r="V109" s="209"/>
      <c r="W109" s="209"/>
      <c r="X109" s="209"/>
      <c r="Y109" s="209"/>
    </row>
    <row r="110" spans="1:25" s="3" customFormat="1" ht="13.2"/>
    <row r="111" spans="1:25" s="3" customFormat="1" ht="14.4" customHeight="1">
      <c r="A111" s="305" t="s">
        <v>1209</v>
      </c>
      <c r="B111" s="305"/>
      <c r="C111" s="305"/>
      <c r="D111" s="305"/>
      <c r="E111" s="306" t="s">
        <v>1210</v>
      </c>
      <c r="F111" s="306"/>
      <c r="G111" s="306"/>
      <c r="H111" s="306"/>
      <c r="I111" s="307" t="s">
        <v>1211</v>
      </c>
      <c r="J111" s="307"/>
      <c r="K111" s="307"/>
      <c r="L111" s="307"/>
      <c r="M111" s="307"/>
      <c r="N111" s="307"/>
      <c r="O111" s="209"/>
    </row>
    <row r="112" spans="1:25" s="3" customFormat="1" ht="14.4" customHeight="1">
      <c r="A112" s="308" t="str">
        <f>"Preserve cash and delay incremental GTM hiring. In the Bear Case, ARR reaches "&amp;TEXT(C11/1000000,"$0.0")&amp;"M by M24, ending cash is "&amp;TEXT(C12/1000000,"$0.0")&amp;"M, and runway is "&amp;TEXT(C13,"0")&amp;" months. Gross margin ends at "&amp;TEXT(C14,"0%")&amp;", while CAC payback is "&amp;TEXT(C15,"0.0")&amp;" months. Management should prioritize burn control and begin fundraising conversations early if runway approaches the red threshold."</f>
        <v>Preserve cash and delay incremental GTM hiring. In the Bear Case, ARR reaches $0.3M by M24, ending cash is -$0.7M, and runway is -5 months. Gross margin ends at 65%, while CAC payback is 22.0 months. Management should prioritize burn control and begin fundraising conversations early if runway approaches the red threshold.</v>
      </c>
      <c r="B112" s="308"/>
      <c r="C112" s="308"/>
      <c r="D112" s="308"/>
      <c r="E112" s="309" t="str">
        <f>"Start Series A preparation while maintaining hiring discipline. In the Base Case, ARR reaches "&amp;TEXT(D11/1000000,"$0.0")&amp;"M by M24, ending cash is "&amp;TEXT(D12/1000000,"$0.0")&amp;"M, and runway is "&amp;TEXT(D13,"0")&amp;" months. Gross margin ends at "&amp;TEXT(D14,"0%")&amp;", and CAC payback is "&amp;TEXT(D15,"0.0")&amp;" months. Management should prepare investor materials, monitor burn closely, and hire selectively only where CAC payback supports growth."</f>
        <v>Start Series A preparation while maintaining hiring discipline. In the Base Case, ARR reaches $2.2M by M24, ending cash is $5.0M, and runway is 136 months. Gross margin ends at 74%, and CAC payback is 10.5 months. Management should prepare investor materials, monitor burn closely, and hire selectively only where CAC payback supports growth.</v>
      </c>
      <c r="F112" s="309"/>
      <c r="G112" s="309"/>
      <c r="H112" s="309"/>
      <c r="I112" s="310" t="str">
        <f>"Accelerate selectively from a position of strength. In the Bull Case, ARR reaches "&amp;TEXT(E11/1000000,"$0.0")&amp;"M by M24, ending cash is "&amp;TEXT(E12/1000000,"$0.0")&amp;"M, and runway is "&amp;TEXT(E13,"0")&amp;" months. Gross margin ends at "&amp;TEXT(E14,"0%")&amp;", while CAC payback is "&amp;TEXT(E15,"0.0")&amp;" months. Management can increase GTM investment if MRR growth remains strong, logo churn stays controlled, and runway remains above the safety threshold."</f>
        <v>Accelerate selectively from a position of strength. In the Bull Case, ARR reaches $20.7M by M24, ending cash is $14.0M, and runway is 0 months. Gross margin ends at 85%, while CAC payback is 5.6 months. Management can increase GTM investment if MRR growth remains strong, logo churn stays controlled, and runway remains above the safety threshold.</v>
      </c>
      <c r="J112" s="310"/>
      <c r="K112" s="310"/>
      <c r="L112" s="310"/>
      <c r="M112" s="310"/>
      <c r="N112" s="310"/>
      <c r="O112" s="311"/>
    </row>
    <row r="113" spans="1:15" s="3" customFormat="1" ht="13.2">
      <c r="A113" s="308"/>
      <c r="B113" s="308"/>
      <c r="C113" s="308"/>
      <c r="D113" s="308"/>
      <c r="E113" s="309"/>
      <c r="F113" s="309"/>
      <c r="G113" s="309"/>
      <c r="H113" s="309"/>
      <c r="I113" s="310"/>
      <c r="J113" s="310"/>
      <c r="K113" s="310"/>
      <c r="L113" s="310"/>
      <c r="M113" s="310"/>
      <c r="N113" s="310"/>
      <c r="O113" s="311"/>
    </row>
    <row r="114" spans="1:15" s="3" customFormat="1" ht="13.2">
      <c r="A114" s="308"/>
      <c r="B114" s="308"/>
      <c r="C114" s="308"/>
      <c r="D114" s="308"/>
      <c r="E114" s="309"/>
      <c r="F114" s="309"/>
      <c r="G114" s="309"/>
      <c r="H114" s="309"/>
      <c r="I114" s="310"/>
      <c r="J114" s="310"/>
      <c r="K114" s="310"/>
      <c r="L114" s="310"/>
      <c r="M114" s="310"/>
      <c r="N114" s="310"/>
      <c r="O114" s="311"/>
    </row>
    <row r="115" spans="1:15" s="3" customFormat="1" ht="13.2">
      <c r="A115" s="308"/>
      <c r="B115" s="308"/>
      <c r="C115" s="308"/>
      <c r="D115" s="308"/>
      <c r="E115" s="309"/>
      <c r="F115" s="309"/>
      <c r="G115" s="309"/>
      <c r="H115" s="309"/>
      <c r="I115" s="310"/>
      <c r="J115" s="310"/>
      <c r="K115" s="310"/>
      <c r="L115" s="310"/>
      <c r="M115" s="310"/>
      <c r="N115" s="310"/>
      <c r="O115" s="311"/>
    </row>
    <row r="116" spans="1:15" s="3" customFormat="1" ht="13.2">
      <c r="A116" s="308"/>
      <c r="B116" s="308"/>
      <c r="C116" s="308"/>
      <c r="D116" s="308"/>
      <c r="E116" s="309"/>
      <c r="F116" s="309"/>
      <c r="G116" s="309"/>
      <c r="H116" s="309"/>
      <c r="I116" s="310"/>
      <c r="J116" s="310"/>
      <c r="K116" s="310"/>
      <c r="L116" s="310"/>
      <c r="M116" s="310"/>
      <c r="N116" s="310"/>
      <c r="O116" s="311"/>
    </row>
    <row r="117" spans="1:15" s="3" customFormat="1" ht="13.2">
      <c r="A117" s="311"/>
      <c r="B117" s="311"/>
      <c r="C117" s="311"/>
      <c r="D117" s="311"/>
      <c r="E117" s="312"/>
      <c r="F117" s="312"/>
      <c r="G117" s="312"/>
      <c r="H117" s="312"/>
      <c r="I117" s="311"/>
      <c r="J117" s="311"/>
      <c r="K117" s="311"/>
      <c r="L117" s="311"/>
      <c r="M117" s="311"/>
      <c r="N117" s="311"/>
      <c r="O117" s="311"/>
    </row>
    <row r="118" spans="1:15">
      <c r="A118" s="65"/>
      <c r="B118" s="65"/>
      <c r="C118" s="65"/>
      <c r="D118" s="65"/>
      <c r="E118" s="66"/>
      <c r="F118" s="66"/>
      <c r="G118" s="66"/>
      <c r="H118" s="66"/>
      <c r="I118" s="65"/>
      <c r="J118" s="65"/>
      <c r="K118" s="65"/>
      <c r="L118" s="65"/>
      <c r="M118" s="65"/>
      <c r="N118" s="65"/>
      <c r="O118" s="65"/>
    </row>
  </sheetData>
  <mergeCells count="11">
    <mergeCell ref="E112:H116"/>
    <mergeCell ref="I111:N111"/>
    <mergeCell ref="I112:N116"/>
    <mergeCell ref="A100:I100"/>
    <mergeCell ref="A111:D111"/>
    <mergeCell ref="A112:D116"/>
    <mergeCell ref="A70:H70"/>
    <mergeCell ref="A79:H79"/>
    <mergeCell ref="A91:H91"/>
    <mergeCell ref="K4:Y4"/>
    <mergeCell ref="E111:H111"/>
  </mergeCells>
  <conditionalFormatting sqref="B32:Y34">
    <cfRule type="expression" dxfId="7" priority="1">
      <formula>ISNUMBER(SEARCH("RAISE",B32))</formula>
    </cfRule>
    <cfRule type="expression" dxfId="6" priority="2">
      <formula>ISNUMBER(SEARCH("DELAY",B32))</formula>
    </cfRule>
    <cfRule type="expression" dxfId="5" priority="3">
      <formula>ISNUMBER(SEARCH("ACCELERATE",B32))</formula>
    </cfRule>
    <cfRule type="expression" dxfId="4" priority="4">
      <formula>ISNUMBER(SEARCH("WATCH",B32))</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788F9-5032-45AE-A779-E0C95BB8FB4C}">
  <dimension ref="A1:Z113"/>
  <sheetViews>
    <sheetView showGridLines="0" zoomScale="85" zoomScaleNormal="85" workbookViewId="0">
      <selection activeCell="B5" sqref="B5"/>
    </sheetView>
  </sheetViews>
  <sheetFormatPr defaultRowHeight="14.4"/>
  <cols>
    <col min="1" max="1" width="24.88671875" customWidth="1"/>
    <col min="2" max="2" width="26" customWidth="1"/>
    <col min="3" max="3" width="32.77734375" customWidth="1"/>
    <col min="4" max="4" width="27" customWidth="1"/>
    <col min="5" max="5" width="23.33203125" customWidth="1"/>
    <col min="6" max="6" width="30.77734375" customWidth="1"/>
    <col min="7" max="7" width="17.44140625" bestFit="1" customWidth="1"/>
    <col min="8" max="8" width="27" customWidth="1"/>
    <col min="9" max="9" width="22.77734375" customWidth="1"/>
    <col min="10" max="13" width="12.88671875" bestFit="1" customWidth="1"/>
    <col min="14" max="15" width="11" bestFit="1" customWidth="1"/>
    <col min="16" max="26" width="12.6640625" bestFit="1" customWidth="1"/>
  </cols>
  <sheetData>
    <row r="1" spans="1:26">
      <c r="A1" s="62" t="s">
        <v>1324</v>
      </c>
      <c r="B1" s="62"/>
      <c r="C1" s="62"/>
      <c r="D1" s="62"/>
      <c r="E1" s="62"/>
      <c r="F1" s="62"/>
      <c r="G1" s="62"/>
      <c r="H1" s="62"/>
      <c r="I1" s="62"/>
      <c r="J1" s="62"/>
      <c r="K1" s="62"/>
      <c r="L1" s="62"/>
      <c r="M1" s="62"/>
      <c r="N1" s="62"/>
      <c r="O1" s="62"/>
      <c r="P1" s="62"/>
      <c r="Q1" s="62"/>
      <c r="R1" s="62"/>
      <c r="S1" s="62"/>
      <c r="T1" s="62"/>
      <c r="U1" s="62"/>
      <c r="V1" s="62"/>
      <c r="W1" s="62"/>
      <c r="X1" s="62"/>
      <c r="Y1" s="62"/>
      <c r="Z1" s="62"/>
    </row>
    <row r="2" spans="1:26">
      <c r="A2" s="380"/>
      <c r="B2" s="380"/>
      <c r="C2" s="380"/>
      <c r="D2" s="380"/>
      <c r="E2" s="380"/>
      <c r="F2" s="380"/>
      <c r="G2" s="380"/>
      <c r="H2" s="380"/>
      <c r="I2" s="380"/>
      <c r="J2" s="380"/>
      <c r="K2" s="380"/>
      <c r="L2" s="380"/>
      <c r="M2" s="380"/>
      <c r="N2" s="380"/>
      <c r="O2" s="380"/>
      <c r="P2" s="380"/>
      <c r="Q2" s="380"/>
      <c r="R2" s="380"/>
      <c r="S2" s="380"/>
      <c r="T2" s="380"/>
      <c r="U2" s="380"/>
      <c r="V2" s="380"/>
      <c r="W2" s="380"/>
      <c r="X2" s="380"/>
      <c r="Y2" s="380"/>
    </row>
    <row r="3" spans="1:26" s="3" customFormat="1" ht="13.2">
      <c r="A3" s="313" t="s">
        <v>1223</v>
      </c>
      <c r="B3" s="313"/>
      <c r="C3" s="313"/>
      <c r="D3" s="313"/>
      <c r="E3" s="313"/>
      <c r="F3" s="313"/>
      <c r="G3" s="313"/>
      <c r="H3" s="313"/>
      <c r="I3" s="313"/>
      <c r="J3" s="313"/>
      <c r="K3" s="313"/>
      <c r="L3" s="313"/>
      <c r="M3" s="313"/>
      <c r="N3" s="313"/>
      <c r="O3" s="313"/>
      <c r="P3" s="313"/>
      <c r="Q3" s="313"/>
      <c r="R3" s="313"/>
      <c r="S3" s="313"/>
      <c r="T3" s="313"/>
      <c r="U3" s="313"/>
      <c r="V3" s="313"/>
      <c r="W3" s="313"/>
      <c r="X3" s="313"/>
      <c r="Y3" s="313"/>
      <c r="Z3" s="313"/>
    </row>
    <row r="4" spans="1:26" s="3" customFormat="1" ht="13.2">
      <c r="A4" s="104" t="s">
        <v>1224</v>
      </c>
      <c r="B4" s="104" t="s">
        <v>968</v>
      </c>
      <c r="C4" s="104" t="s">
        <v>3</v>
      </c>
      <c r="E4" s="314" t="s">
        <v>1225</v>
      </c>
      <c r="F4" s="315"/>
      <c r="G4" s="315"/>
      <c r="H4" s="315"/>
      <c r="I4" s="315"/>
      <c r="J4" s="315"/>
      <c r="K4" s="315"/>
      <c r="L4" s="315"/>
      <c r="M4" s="315"/>
      <c r="N4" s="315"/>
      <c r="O4" s="315"/>
      <c r="P4" s="315"/>
      <c r="Q4" s="315"/>
      <c r="R4" s="315"/>
      <c r="S4" s="315"/>
      <c r="T4" s="315"/>
      <c r="U4" s="315"/>
      <c r="V4" s="315"/>
      <c r="W4" s="315"/>
      <c r="X4" s="315"/>
      <c r="Y4" s="315"/>
      <c r="Z4" s="315"/>
    </row>
    <row r="5" spans="1:26" s="3" customFormat="1" ht="26.4">
      <c r="A5" s="412" t="s">
        <v>1226</v>
      </c>
      <c r="B5" s="424" t="s">
        <v>1</v>
      </c>
      <c r="C5" s="413" t="s">
        <v>1227</v>
      </c>
      <c r="E5" s="314" t="s">
        <v>1319</v>
      </c>
      <c r="F5" s="315"/>
      <c r="G5" s="315"/>
      <c r="H5" s="315"/>
      <c r="I5" s="315"/>
      <c r="J5" s="315"/>
      <c r="K5" s="315"/>
      <c r="L5" s="315"/>
      <c r="M5" s="315"/>
      <c r="N5" s="315"/>
      <c r="O5" s="315"/>
      <c r="P5" s="315"/>
      <c r="Q5" s="315"/>
      <c r="R5" s="315"/>
      <c r="S5" s="315"/>
      <c r="T5" s="315"/>
      <c r="U5" s="315"/>
      <c r="V5" s="315"/>
      <c r="W5" s="315"/>
      <c r="X5" s="315"/>
      <c r="Y5" s="315"/>
      <c r="Z5" s="315"/>
    </row>
    <row r="6" spans="1:26" s="3" customFormat="1" ht="13.2">
      <c r="A6" s="412" t="s">
        <v>1228</v>
      </c>
      <c r="B6" s="425">
        <v>46023</v>
      </c>
      <c r="C6" s="413" t="s">
        <v>1229</v>
      </c>
      <c r="E6" s="315"/>
      <c r="F6" s="315"/>
      <c r="G6" s="315"/>
      <c r="H6" s="315"/>
      <c r="I6" s="315"/>
      <c r="J6" s="315"/>
      <c r="K6" s="315"/>
      <c r="L6" s="315"/>
      <c r="M6" s="315"/>
      <c r="N6" s="315"/>
      <c r="O6" s="315"/>
      <c r="P6" s="315"/>
      <c r="Q6" s="315"/>
      <c r="R6" s="315"/>
      <c r="S6" s="315"/>
      <c r="T6" s="315"/>
      <c r="U6" s="315"/>
      <c r="V6" s="315"/>
      <c r="W6" s="315"/>
      <c r="X6" s="315"/>
      <c r="Y6" s="315"/>
      <c r="Z6" s="315"/>
    </row>
    <row r="7" spans="1:26" s="3" customFormat="1" ht="26.4">
      <c r="A7" s="412" t="s">
        <v>1230</v>
      </c>
      <c r="B7" s="424" t="s">
        <v>666</v>
      </c>
      <c r="C7" s="413" t="s">
        <v>1231</v>
      </c>
      <c r="E7" s="315"/>
      <c r="F7" s="315"/>
      <c r="G7" s="315"/>
      <c r="H7" s="315"/>
      <c r="I7" s="315"/>
      <c r="J7" s="315"/>
      <c r="K7" s="315"/>
      <c r="L7" s="315"/>
      <c r="M7" s="315"/>
      <c r="N7" s="315"/>
      <c r="O7" s="315"/>
      <c r="P7" s="315"/>
      <c r="Q7" s="315"/>
      <c r="R7" s="315"/>
      <c r="S7" s="315"/>
      <c r="T7" s="315"/>
      <c r="U7" s="315"/>
      <c r="V7" s="315"/>
      <c r="W7" s="315"/>
      <c r="X7" s="315"/>
      <c r="Y7" s="315"/>
      <c r="Z7" s="315"/>
    </row>
    <row r="8" spans="1:26" s="3" customFormat="1" ht="13.2">
      <c r="A8" s="412" t="s">
        <v>1232</v>
      </c>
      <c r="B8" s="424" t="s">
        <v>666</v>
      </c>
      <c r="C8" s="413" t="s">
        <v>1233</v>
      </c>
      <c r="E8" s="315"/>
      <c r="F8" s="315"/>
      <c r="G8" s="315"/>
      <c r="H8" s="315"/>
      <c r="I8" s="315"/>
      <c r="J8" s="315"/>
      <c r="K8" s="315"/>
      <c r="L8" s="315"/>
      <c r="M8" s="315"/>
      <c r="N8" s="315"/>
      <c r="O8" s="315"/>
      <c r="P8" s="315"/>
      <c r="Q8" s="315"/>
      <c r="R8" s="315"/>
      <c r="S8" s="315"/>
      <c r="T8" s="315"/>
      <c r="U8" s="315"/>
      <c r="V8" s="315"/>
      <c r="W8" s="315"/>
      <c r="X8" s="315"/>
      <c r="Y8" s="315"/>
      <c r="Z8" s="315"/>
    </row>
    <row r="9" spans="1:26" s="3" customFormat="1" ht="13.2">
      <c r="A9" s="412" t="s">
        <v>1234</v>
      </c>
      <c r="B9" s="426">
        <v>0.1</v>
      </c>
      <c r="C9" s="413" t="s">
        <v>1235</v>
      </c>
      <c r="E9" s="315"/>
      <c r="F9" s="315"/>
      <c r="G9" s="315"/>
      <c r="H9" s="315"/>
      <c r="I9" s="315"/>
      <c r="J9" s="315"/>
      <c r="K9" s="315"/>
      <c r="L9" s="315"/>
      <c r="M9" s="315"/>
      <c r="N9" s="315"/>
      <c r="O9" s="315"/>
      <c r="P9" s="315"/>
      <c r="Q9" s="315"/>
      <c r="R9" s="315"/>
      <c r="S9" s="315"/>
      <c r="T9" s="315"/>
      <c r="U9" s="315"/>
      <c r="V9" s="315"/>
      <c r="W9" s="315"/>
      <c r="X9" s="315"/>
      <c r="Y9" s="315"/>
      <c r="Z9" s="315"/>
    </row>
    <row r="10" spans="1:26" s="3" customFormat="1" ht="13.2">
      <c r="A10" s="414" t="s">
        <v>1236</v>
      </c>
      <c r="B10" s="424" t="str">
        <f>'1. Assumptions'!$G$5</f>
        <v>Base</v>
      </c>
      <c r="C10" s="413" t="s">
        <v>1237</v>
      </c>
      <c r="E10" s="315"/>
      <c r="F10" s="315"/>
      <c r="G10" s="315"/>
      <c r="H10" s="315"/>
      <c r="I10" s="315"/>
      <c r="J10" s="315"/>
      <c r="K10" s="315"/>
      <c r="L10" s="315"/>
      <c r="M10" s="315"/>
      <c r="N10" s="315"/>
      <c r="O10" s="315"/>
      <c r="P10" s="315"/>
      <c r="Q10" s="315"/>
      <c r="R10" s="315"/>
      <c r="S10" s="315"/>
      <c r="T10" s="315"/>
      <c r="U10" s="315"/>
      <c r="V10" s="315"/>
      <c r="W10" s="315"/>
      <c r="X10" s="315"/>
      <c r="Y10" s="315"/>
      <c r="Z10" s="315"/>
    </row>
    <row r="11" spans="1:26" s="3" customFormat="1" ht="13.2">
      <c r="A11" s="316"/>
      <c r="C11" s="317"/>
      <c r="D11" s="317"/>
      <c r="E11" s="317"/>
      <c r="F11" s="318"/>
      <c r="G11" s="318"/>
      <c r="H11" s="319"/>
    </row>
    <row r="12" spans="1:26" s="3" customFormat="1" ht="13.2">
      <c r="A12" s="313" t="s">
        <v>1238</v>
      </c>
      <c r="B12" s="313"/>
      <c r="C12" s="313"/>
      <c r="D12" s="313"/>
      <c r="E12" s="313"/>
      <c r="F12" s="313"/>
      <c r="G12" s="313"/>
      <c r="H12" s="313"/>
      <c r="I12" s="313"/>
      <c r="J12" s="264"/>
      <c r="K12" s="264"/>
      <c r="L12" s="264"/>
      <c r="M12" s="264"/>
      <c r="N12" s="264"/>
      <c r="O12" s="264"/>
      <c r="P12" s="264"/>
      <c r="Q12" s="264"/>
      <c r="S12" s="264"/>
      <c r="T12" s="264"/>
      <c r="U12" s="264"/>
      <c r="V12" s="264"/>
      <c r="W12" s="264"/>
      <c r="X12" s="264"/>
      <c r="Y12" s="264"/>
    </row>
    <row r="13" spans="1:26" s="3" customFormat="1" ht="13.2">
      <c r="A13" s="104" t="s">
        <v>4</v>
      </c>
      <c r="B13" s="104" t="s">
        <v>1239</v>
      </c>
      <c r="C13" s="104" t="s">
        <v>1240</v>
      </c>
      <c r="D13" s="104" t="s">
        <v>1241</v>
      </c>
      <c r="E13" s="104" t="s">
        <v>1242</v>
      </c>
      <c r="F13" s="104" t="s">
        <v>1243</v>
      </c>
      <c r="G13" s="104" t="s">
        <v>1244</v>
      </c>
      <c r="H13" s="104" t="s">
        <v>1143</v>
      </c>
      <c r="I13" s="104" t="s">
        <v>1245</v>
      </c>
      <c r="J13" s="264"/>
      <c r="K13" s="264"/>
      <c r="L13" s="264"/>
      <c r="M13" s="264"/>
      <c r="N13" s="264"/>
      <c r="O13" s="264"/>
      <c r="P13" s="264"/>
      <c r="Q13" s="264"/>
      <c r="S13" s="264"/>
      <c r="T13" s="264"/>
      <c r="U13" s="264"/>
      <c r="V13" s="264"/>
      <c r="W13" s="264"/>
      <c r="X13" s="264"/>
      <c r="Y13" s="264"/>
    </row>
    <row r="14" spans="1:26" s="3" customFormat="1" ht="26.4">
      <c r="A14" s="415" t="s">
        <v>24</v>
      </c>
      <c r="B14" s="416" cm="1">
        <f t="array" ref="B14">INDEX('8. Scenarios'!$B$22:$Y$31,MATCH(_xlfn.SWITCH($A14,"Total Monthly Revenue","Revenue",$A14),'8. Scenarios'!$A$22:$A$31,0),MATCH($B$8,'8. Scenarios'!$B$21:$Y$21,0))</f>
        <v>574101.17035420542</v>
      </c>
      <c r="C14" s="417">
        <f>INDEX($C$27:$Z$36,MATCH($A14,$A$27:$A$36,0),MATCH($B$8,$C$26:$Z$26,0))</f>
        <v>0</v>
      </c>
      <c r="D14" s="416">
        <f>+C14-B14</f>
        <v>-574101.17035420542</v>
      </c>
      <c r="E14" s="418">
        <f>IFERROR(D14/B14,"")</f>
        <v>-1</v>
      </c>
      <c r="F14" s="419" t="str">
        <f>IF(E14="","",IF(ABS(E14)&lt;=$B$9,"OK",IF(OR($A14="Monthly Net Burn",$A14="CAC Payback",$A14="Logo Churn Rate %"),IF(C14&lt;B14,"Favorable","Review"),IF($A14="Headcount","Review",IF(C14&gt;B14,"Favorable","Review")))))</f>
        <v>Review</v>
      </c>
      <c r="G14" s="420"/>
      <c r="H14" s="420" t="str" cm="1">
        <f t="array" ref="H14">_xlfn.SWITCH($A14,"ARR","CEO/Growth","MRR","CEO/Growth","Total Monthly Revenue","CEO/CFO","Gross Margin %","COO/Engineering","Ending Cash","CFO","Monthly Net Burn","CFO","Runway Months","CFO","CAC Payback","CEO/Growth","Logo Churn Rate %","COO/CS","Headcount","CEO/CFO","")</f>
        <v>CEO/Growth</v>
      </c>
      <c r="I14" s="420" t="str" cm="1">
        <f t="array" ref="I14">IF(F14="OK","Monitor",_xlfn.SWITCH($A14,"ARR","Review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new logo and expansion performance</v>
      </c>
      <c r="J14" s="264"/>
      <c r="K14" s="264"/>
      <c r="L14" s="264"/>
      <c r="M14" s="264"/>
      <c r="N14" s="264"/>
      <c r="O14" s="264"/>
      <c r="P14" s="264"/>
      <c r="Q14" s="264"/>
      <c r="S14" s="264"/>
      <c r="T14" s="264"/>
      <c r="U14" s="264"/>
      <c r="V14" s="264"/>
      <c r="W14" s="264"/>
      <c r="X14" s="264"/>
      <c r="Y14" s="264"/>
    </row>
    <row r="15" spans="1:26" s="3" customFormat="1" ht="26.4">
      <c r="A15" s="415" t="s">
        <v>1085</v>
      </c>
      <c r="B15" s="416" cm="1">
        <f t="array" ref="B15">INDEX('8. Scenarios'!$B$22:$Y$31,MATCH(_xlfn.SWITCH($A15,"Total Monthly Revenue","Revenue",$A15),'8. Scenarios'!$A$22:$A$31,0),MATCH($B$8,'8. Scenarios'!$B$21:$Y$21,0))</f>
        <v>47841.764196183787</v>
      </c>
      <c r="C15" s="417">
        <f t="shared" ref="C15:C23" si="0">INDEX($C$27:$Z$36,MATCH($A15,$A$27:$A$36,0),MATCH($B$8,$C$26:$Z$26,0))</f>
        <v>0</v>
      </c>
      <c r="D15" s="416">
        <f t="shared" ref="D15:D23" si="1">+C15-B15</f>
        <v>-47841.764196183787</v>
      </c>
      <c r="E15" s="418">
        <f t="shared" ref="E15:E23" si="2">IFERROR(D15/B15,"")</f>
        <v>-1</v>
      </c>
      <c r="F15" s="419" t="str">
        <f t="shared" ref="F15:F23" si="3">IF(E15="","",IF(ABS(E15)&lt;=$B$9,"OK",IF(OR($A15="Monthly Net Burn",$A15="CAC Payback",$A15="Logo Churn Rate %"),IF(C15&lt;B15,"Favorable","Review"),IF($A15="Headcount","Review",IF(C15&gt;B15,"Favorable","Review")))))</f>
        <v>Review</v>
      </c>
      <c r="G15" s="420"/>
      <c r="H15" s="420" t="str" cm="1">
        <f t="array" ref="H15">_xlfn.SWITCH($A15,"ARR","CEO/Growth","MRR","CEO/Growth","Total Monthly Revenue","CEO/CFO","Gross Margin %","COO/Engineering","Ending Cash","CFO","Monthly Net Burn","CFO","Runway Months","CFO","CAC Payback","CEO/Growth","Logo Churn Rate %","COO/CS","Headcount","CEO/CFO","")</f>
        <v>CEO/Growth</v>
      </c>
      <c r="I15" s="420" t="str" cm="1">
        <f t="array" ref="I15">IF(F15="OK","Monitor",_xlfn.SWITCH($A15,"ARR","Review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paid conversion and churn movement</v>
      </c>
      <c r="J15" s="264"/>
      <c r="K15" s="264"/>
      <c r="L15" s="264"/>
      <c r="M15" s="264"/>
      <c r="N15" s="264"/>
      <c r="O15" s="264"/>
      <c r="P15" s="264"/>
      <c r="Q15" s="264"/>
      <c r="S15" s="264"/>
      <c r="T15" s="264"/>
      <c r="U15" s="264"/>
      <c r="V15" s="264"/>
      <c r="W15" s="264"/>
      <c r="X15" s="264"/>
      <c r="Y15" s="264"/>
    </row>
    <row r="16" spans="1:26" s="3" customFormat="1" ht="26.4">
      <c r="A16" s="415" t="s">
        <v>790</v>
      </c>
      <c r="B16" s="416" cm="1">
        <f t="array" ref="B16">INDEX('8. Scenarios'!$B$22:$Y$31,MATCH(_xlfn.SWITCH($A16,"Total Monthly Revenue","Revenue",$A16),'8. Scenarios'!$A$22:$A$31,0),MATCH($B$8,'8. Scenarios'!$B$21:$Y$21,0))</f>
        <v>47841.764196183787</v>
      </c>
      <c r="C16" s="417">
        <f t="shared" si="0"/>
        <v>0</v>
      </c>
      <c r="D16" s="416">
        <f t="shared" si="1"/>
        <v>-47841.764196183787</v>
      </c>
      <c r="E16" s="418">
        <f t="shared" si="2"/>
        <v>-1</v>
      </c>
      <c r="F16" s="419" t="str">
        <f t="shared" si="3"/>
        <v>Review</v>
      </c>
      <c r="G16" s="420"/>
      <c r="H16" s="420" t="str" cm="1">
        <f t="array" ref="H16">_xlfn.SWITCH($A16,"ARR","CEO/Growth","MRR","CEO/Growth","Total Monthly Revenue","CEO/CFO","Gross Margin %","COO/Engineering","Ending Cash","CFO","Monthly Net Burn","CFO","Runway Months","CFO","CAC Payback","CEO/Growth","Logo Churn Rate %","COO/CS","Headcount","CEO/CFO","")</f>
        <v>CEO/CFO</v>
      </c>
      <c r="I16" s="420" t="str" cm="1">
        <f t="array" ref="I16">IF(F16="OK","Monitor",_xlfn.SWITCH($A16,"ARR","Review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subscription and usage revenue drivers</v>
      </c>
      <c r="J16" s="264"/>
      <c r="K16" s="264"/>
      <c r="L16" s="264"/>
      <c r="M16" s="264"/>
      <c r="N16" s="264"/>
      <c r="O16" s="264"/>
      <c r="P16" s="264"/>
      <c r="Q16" s="264"/>
      <c r="S16" s="264"/>
      <c r="T16" s="264"/>
      <c r="U16" s="264"/>
      <c r="V16" s="264"/>
      <c r="W16" s="264"/>
      <c r="X16" s="264"/>
      <c r="Y16" s="264"/>
    </row>
    <row r="17" spans="1:26" s="3" customFormat="1" ht="26.4">
      <c r="A17" s="415" t="s">
        <v>936</v>
      </c>
      <c r="B17" s="421" cm="1">
        <f t="array" ref="B17">INDEX('8. Scenarios'!$B$22:$Y$31,MATCH(_xlfn.SWITCH($A17,"Total Monthly Revenue","Revenue",$A17),'8. Scenarios'!$A$22:$A$31,0),MATCH($B$8,'8. Scenarios'!$B$21:$Y$21,0))</f>
        <v>0.82048996233543603</v>
      </c>
      <c r="C17" s="421">
        <f t="shared" si="0"/>
        <v>0</v>
      </c>
      <c r="D17" s="422">
        <f t="shared" si="1"/>
        <v>-0.82048996233543603</v>
      </c>
      <c r="E17" s="418">
        <f t="shared" si="2"/>
        <v>-1</v>
      </c>
      <c r="F17" s="419" t="str">
        <f t="shared" si="3"/>
        <v>Review</v>
      </c>
      <c r="G17" s="420"/>
      <c r="H17" s="420" t="str" cm="1">
        <f t="array" ref="H17">_xlfn.SWITCH($A17,"ARR","CEO/Growth","MRR","CEO/Growth","Total Monthly Revenue","CEO/CFO","Gross Margin %","COO/Engineering","Ending Cash","CFO","Monthly Net Burn","CFO","Runway Months","CFO","CAC Payback","CEO/Growth","Logo Churn Rate %","COO/CS","Headcount","CEO/CFO","")</f>
        <v>COO/Engineering</v>
      </c>
      <c r="I17" s="420" t="str" cm="1">
        <f t="array" ref="I17">IF(F17="OK","Monitor",_xlfn.SWITCH($A17,"ARR","Review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AI compute and COGS efficiency</v>
      </c>
      <c r="J17" s="264"/>
      <c r="K17" s="264"/>
      <c r="L17" s="264"/>
      <c r="M17" s="264"/>
      <c r="N17" s="264"/>
      <c r="O17" s="264"/>
      <c r="P17" s="264"/>
      <c r="Q17" s="264"/>
      <c r="S17" s="264"/>
      <c r="T17" s="264"/>
      <c r="U17" s="264"/>
      <c r="V17" s="264"/>
      <c r="W17" s="264"/>
      <c r="X17" s="264"/>
      <c r="Y17" s="264"/>
    </row>
    <row r="18" spans="1:26" s="3" customFormat="1" ht="26.4">
      <c r="A18" s="415" t="s">
        <v>1086</v>
      </c>
      <c r="B18" s="416" cm="1">
        <f t="array" ref="B18">INDEX('8. Scenarios'!$B$22:$Y$31,MATCH(_xlfn.SWITCH($A18,"Total Monthly Revenue","Revenue",$A18),'8. Scenarios'!$A$22:$A$31,0),MATCH($B$8,'8. Scenarios'!$B$21:$Y$21,0))</f>
        <v>1490023.7528328798</v>
      </c>
      <c r="C18" s="417">
        <f t="shared" si="0"/>
        <v>0</v>
      </c>
      <c r="D18" s="416">
        <f t="shared" si="1"/>
        <v>-1490023.7528328798</v>
      </c>
      <c r="E18" s="418">
        <f t="shared" si="2"/>
        <v>-1</v>
      </c>
      <c r="F18" s="419" t="str">
        <f t="shared" si="3"/>
        <v>Review</v>
      </c>
      <c r="G18" s="420"/>
      <c r="H18" s="420" t="str" cm="1">
        <f t="array" ref="H18">_xlfn.SWITCH($A18,"ARR","CEO/Growth","MRR","CEO/Growth","Total Monthly Revenue","CEO/CFO","Gross Margin %","COO/Engineering","Ending Cash","CFO","Monthly Net Burn","CFO","Runway Months","CFO","CAC Payback","CEO/Growth","Logo Churn Rate %","COO/CS","Headcount","CEO/CFO","")</f>
        <v>CFO</v>
      </c>
      <c r="I18" s="420" t="str" cm="1">
        <f t="array" ref="I18">IF(F18="OK","Monitor",_xlfn.SWITCH($A18,"ARR","Review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burn, collections, and runway plan</v>
      </c>
    </row>
    <row r="19" spans="1:26" s="3" customFormat="1" ht="26.4">
      <c r="A19" s="415" t="s">
        <v>1087</v>
      </c>
      <c r="B19" s="416" cm="1">
        <f t="array" ref="B19">INDEX('8. Scenarios'!$B$22:$Y$31,MATCH(_xlfn.SWITCH($A19,"Total Monthly Revenue","Revenue",$A19),'8. Scenarios'!$A$22:$A$31,0),MATCH($B$8,'8. Scenarios'!$B$21:$Y$21,0))</f>
        <v>18172.971500578569</v>
      </c>
      <c r="C19" s="417">
        <f t="shared" si="0"/>
        <v>0</v>
      </c>
      <c r="D19" s="416">
        <f t="shared" si="1"/>
        <v>-18172.971500578569</v>
      </c>
      <c r="E19" s="418">
        <f t="shared" si="2"/>
        <v>-1</v>
      </c>
      <c r="F19" s="419" t="str">
        <f t="shared" si="3"/>
        <v>Favorable</v>
      </c>
      <c r="G19" s="420"/>
      <c r="H19" s="420" t="str" cm="1">
        <f t="array" ref="H19">_xlfn.SWITCH($A19,"ARR","CEO/Growth","MRR","CEO/Growth","Total Monthly Revenue","CEO/CFO","Gross Margin %","COO/Engineering","Ending Cash","CFO","Monthly Net Burn","CFO","Runway Months","CFO","CAC Payback","CEO/Growth","Logo Churn Rate %","COO/CS","Headcount","CEO/CFO","")</f>
        <v>CFO</v>
      </c>
      <c r="I19" s="420" t="str" cm="1">
        <f t="array" ref="I19">IF(F19="OK","Monitor",_xlfn.SWITCH($A19,"ARR","Review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hiring and discretionary spend</v>
      </c>
    </row>
    <row r="20" spans="1:26" s="3" customFormat="1" ht="26.4">
      <c r="A20" s="415" t="s">
        <v>1059</v>
      </c>
      <c r="B20" s="423" cm="1">
        <f t="array" ref="B20">INDEX('8. Scenarios'!$B$22:$Y$31,MATCH(_xlfn.SWITCH($A20,"Total Monthly Revenue","Revenue",$A20),'8. Scenarios'!$A$22:$A$31,0),MATCH($B$8,'8. Scenarios'!$B$21:$Y$21,0))</f>
        <v>81.991200656724857</v>
      </c>
      <c r="C20" s="423">
        <f t="shared" si="0"/>
        <v>0</v>
      </c>
      <c r="D20" s="423">
        <f t="shared" si="1"/>
        <v>-81.991200656724857</v>
      </c>
      <c r="E20" s="418">
        <f t="shared" si="2"/>
        <v>-1</v>
      </c>
      <c r="F20" s="419" t="str">
        <f t="shared" si="3"/>
        <v>Review</v>
      </c>
      <c r="G20" s="420"/>
      <c r="H20" s="420" t="str" cm="1">
        <f t="array" ref="H20">_xlfn.SWITCH($A20,"ARR","CEO/Growth","MRR","CEO/Growth","Total Monthly Revenue","CEO/CFO","Gross Margin %","COO/Engineering","Ending Cash","CFO","Monthly Net Burn","CFO","Runway Months","CFO","CAC Payback","CEO/Growth","Logo Churn Rate %","COO/CS","Headcount","CEO/CFO","")</f>
        <v>CFO</v>
      </c>
      <c r="I20" s="420" t="str" cm="1">
        <f t="array" ref="I20">IF(F20="OK","Monitor",_xlfn.SWITCH($A20,"ARR","Review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fundraising timing and cash plan</v>
      </c>
    </row>
    <row r="21" spans="1:26" s="3" customFormat="1" ht="26.4">
      <c r="A21" s="415" t="s">
        <v>973</v>
      </c>
      <c r="B21" s="423" cm="1">
        <f t="array" ref="B21">INDEX('8. Scenarios'!$B$22:$Y$31,MATCH(_xlfn.SWITCH($A21,"Total Monthly Revenue","Revenue",$A21),'8. Scenarios'!$A$22:$A$31,0),MATCH($B$8,'8. Scenarios'!$B$21:$Y$21,0))</f>
        <v>8.975294022107386</v>
      </c>
      <c r="C21" s="423">
        <f t="shared" si="0"/>
        <v>0</v>
      </c>
      <c r="D21" s="423">
        <f t="shared" si="1"/>
        <v>-8.975294022107386</v>
      </c>
      <c r="E21" s="418">
        <f t="shared" si="2"/>
        <v>-1</v>
      </c>
      <c r="F21" s="419" t="str">
        <f t="shared" si="3"/>
        <v>Favorable</v>
      </c>
      <c r="G21" s="420"/>
      <c r="H21" s="420" t="str" cm="1">
        <f t="array" ref="H21">_xlfn.SWITCH($A21,"ARR","CEO/Growth","MRR","CEO/Growth","Total Monthly Revenue","CEO/CFO","Gross Margin %","COO/Engineering","Ending Cash","CFO","Monthly Net Burn","CFO","Runway Months","CFO","CAC Payback","CEO/Growth","Logo Churn Rate %","COO/CS","Headcount","CEO/CFO","")</f>
        <v>CEO/Growth</v>
      </c>
      <c r="I21" s="420" t="str" cm="1">
        <f t="array" ref="I21">IF(F21="OK","Monitor",_xlfn.SWITCH($A21,"ARR","Review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GTM efficiency before hiring</v>
      </c>
      <c r="J21" s="209"/>
      <c r="K21" s="209"/>
      <c r="L21" s="209"/>
      <c r="M21" s="209"/>
      <c r="N21" s="209"/>
      <c r="O21" s="209"/>
      <c r="P21" s="209"/>
      <c r="Q21" s="209"/>
      <c r="R21" s="209"/>
      <c r="S21" s="209"/>
      <c r="T21" s="209"/>
      <c r="U21" s="209"/>
      <c r="V21" s="209"/>
      <c r="W21" s="209"/>
      <c r="X21" s="209"/>
      <c r="Y21" s="209"/>
    </row>
    <row r="22" spans="1:26" s="3" customFormat="1" ht="39.6">
      <c r="A22" s="415" t="s">
        <v>1246</v>
      </c>
      <c r="B22" s="418" cm="1">
        <f t="array" ref="B22">INDEX('8. Scenarios'!$B$22:$Y$31,MATCH(_xlfn.SWITCH($A22,"Total Monthly Revenue","Revenue",$A22),'8. Scenarios'!$A$22:$A$31,0),MATCH($B$8,'8. Scenarios'!$B$21:$Y$21,0))</f>
        <v>3.4630334857980394E-2</v>
      </c>
      <c r="C22" s="421">
        <f t="shared" si="0"/>
        <v>0</v>
      </c>
      <c r="D22" s="422">
        <f t="shared" si="1"/>
        <v>-3.4630334857980394E-2</v>
      </c>
      <c r="E22" s="418">
        <f t="shared" si="2"/>
        <v>-1</v>
      </c>
      <c r="F22" s="419" t="str">
        <f t="shared" si="3"/>
        <v>Favorable</v>
      </c>
      <c r="G22" s="420"/>
      <c r="H22" s="420" t="str" cm="1">
        <f t="array" ref="H22">_xlfn.SWITCH($A22,"ARR","CEO/Growth","MRR","CEO/Growth","Total Monthly Revenue","CEO/CFO","Gross Margin %","COO/Engineering","Ending Cash","CFO","Monthly Net Burn","CFO","Runway Months","CFO","CAC Payback","CEO/Growth","Logo Churn Rate %","COO/CS","Headcount","CEO/CFO","")</f>
        <v>COO/CS</v>
      </c>
      <c r="I22" s="420" t="str" cm="1">
        <f t="array" ref="I22">IF(F22="OK","Monitor",_xlfn.SWITCH($A22,"ARR","Review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customer retention and support issues</v>
      </c>
      <c r="J22" s="320"/>
      <c r="K22" s="320"/>
      <c r="L22" s="320"/>
      <c r="M22" s="320"/>
      <c r="N22" s="320"/>
      <c r="O22" s="320"/>
      <c r="P22" s="320"/>
      <c r="Q22" s="320"/>
      <c r="R22" s="320"/>
      <c r="S22" s="320"/>
      <c r="T22" s="320"/>
      <c r="U22" s="320"/>
      <c r="V22" s="320"/>
      <c r="W22" s="320"/>
      <c r="X22" s="320"/>
      <c r="Y22" s="320"/>
    </row>
    <row r="23" spans="1:26" s="3" customFormat="1" ht="26.4">
      <c r="A23" s="415" t="s">
        <v>330</v>
      </c>
      <c r="B23" s="423" cm="1">
        <f t="array" ref="B23">INDEX('8. Scenarios'!$B$22:$Y$31,MATCH(_xlfn.SWITCH($A23,"Total Monthly Revenue","Revenue",$A23),'8. Scenarios'!$A$22:$A$31,0),MATCH($B$8,'8. Scenarios'!$B$21:$Y$21,0))</f>
        <v>3</v>
      </c>
      <c r="C23" s="423">
        <f t="shared" si="0"/>
        <v>0</v>
      </c>
      <c r="D23" s="423">
        <f t="shared" si="1"/>
        <v>-3</v>
      </c>
      <c r="E23" s="418">
        <f t="shared" si="2"/>
        <v>-1</v>
      </c>
      <c r="F23" s="419" t="str">
        <f t="shared" si="3"/>
        <v>Review</v>
      </c>
      <c r="G23" s="420"/>
      <c r="H23" s="420" t="str" cm="1">
        <f t="array" ref="H23">_xlfn.SWITCH($A23,"ARR","CEO/Growth","MRR","CEO/Growth","Total Monthly Revenue","CEO/CFO","Gross Margin %","COO/Engineering","Ending Cash","CFO","Monthly Net Burn","CFO","Runway Months","CFO","CAC Payback","CEO/Growth","Logo Churn Rate %","COO/CS","Headcount","CEO/CFO","")</f>
        <v>CEO/CFO</v>
      </c>
      <c r="I23" s="420" t="str" cm="1">
        <f t="array" ref="I23">IF(F23="OK","Monitor",_xlfn.SWITCH($A23,"ARR","Review new logo and expansion performance","MRR","Review paid conversion and churn movement","Total Monthly Revenue","Review subscription and usage revenue drivers","Gross Margin %","Review AI compute and COGS efficiency","Ending Cash","Review burn, collections, and runway plan","Monthly Net Burn","Review hiring and discretionary spend","Runway Months","Review fundraising timing and cash plan","CAC Payback","Review GTM efficiency before hiring","Logo Churn Rate %","Review customer retention and support issues","Headcount","Review hiring plan vs approved budget","Review variance driver"))</f>
        <v>Review hiring plan vs approved budget</v>
      </c>
      <c r="J23" s="317"/>
      <c r="K23" s="317"/>
      <c r="L23" s="317"/>
      <c r="M23" s="317"/>
      <c r="N23" s="317"/>
      <c r="O23" s="317"/>
      <c r="P23" s="317"/>
      <c r="Q23" s="317"/>
      <c r="R23" s="317"/>
      <c r="S23" s="317"/>
      <c r="T23" s="317"/>
      <c r="U23" s="317"/>
      <c r="V23" s="317"/>
      <c r="W23" s="317"/>
      <c r="X23" s="317"/>
      <c r="Y23" s="317"/>
    </row>
    <row r="24" spans="1:26" s="3" customFormat="1" ht="13.2">
      <c r="A24" s="321"/>
      <c r="B24" s="317"/>
      <c r="C24" s="317"/>
      <c r="D24" s="317"/>
      <c r="E24" s="317"/>
      <c r="F24" s="317"/>
      <c r="G24" s="317"/>
      <c r="H24" s="317"/>
      <c r="I24" s="317"/>
      <c r="J24" s="317"/>
      <c r="K24" s="317"/>
      <c r="L24" s="317"/>
      <c r="M24" s="317"/>
      <c r="N24" s="317"/>
      <c r="O24" s="317"/>
      <c r="P24" s="317"/>
      <c r="Q24" s="317"/>
      <c r="R24" s="317"/>
      <c r="S24" s="317"/>
      <c r="T24" s="317"/>
      <c r="U24" s="317"/>
      <c r="V24" s="317"/>
      <c r="W24" s="317"/>
      <c r="X24" s="317"/>
      <c r="Y24" s="317"/>
    </row>
    <row r="25" spans="1:26" s="3" customFormat="1" ht="13.2">
      <c r="A25" s="313" t="s">
        <v>1247</v>
      </c>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row>
    <row r="26" spans="1:26" s="3" customFormat="1" ht="13.2">
      <c r="A26" s="408" t="s">
        <v>4</v>
      </c>
      <c r="B26" s="408" t="s">
        <v>32</v>
      </c>
      <c r="C26" s="408" t="s">
        <v>664</v>
      </c>
      <c r="D26" s="408" t="s">
        <v>665</v>
      </c>
      <c r="E26" s="408" t="s">
        <v>666</v>
      </c>
      <c r="F26" s="408" t="s">
        <v>667</v>
      </c>
      <c r="G26" s="408" t="s">
        <v>668</v>
      </c>
      <c r="H26" s="408" t="s">
        <v>669</v>
      </c>
      <c r="I26" s="408" t="s">
        <v>670</v>
      </c>
      <c r="J26" s="408" t="s">
        <v>671</v>
      </c>
      <c r="K26" s="408" t="s">
        <v>672</v>
      </c>
      <c r="L26" s="408" t="s">
        <v>673</v>
      </c>
      <c r="M26" s="408" t="s">
        <v>674</v>
      </c>
      <c r="N26" s="408" t="s">
        <v>675</v>
      </c>
      <c r="O26" s="408" t="s">
        <v>676</v>
      </c>
      <c r="P26" s="408" t="s">
        <v>677</v>
      </c>
      <c r="Q26" s="408" t="s">
        <v>678</v>
      </c>
      <c r="R26" s="408" t="s">
        <v>679</v>
      </c>
      <c r="S26" s="408" t="s">
        <v>680</v>
      </c>
      <c r="T26" s="408" t="s">
        <v>681</v>
      </c>
      <c r="U26" s="408" t="s">
        <v>682</v>
      </c>
      <c r="V26" s="408" t="s">
        <v>683</v>
      </c>
      <c r="W26" s="408" t="s">
        <v>684</v>
      </c>
      <c r="X26" s="408" t="s">
        <v>685</v>
      </c>
      <c r="Y26" s="408" t="s">
        <v>686</v>
      </c>
      <c r="Z26" s="408" t="s">
        <v>687</v>
      </c>
    </row>
    <row r="27" spans="1:26" s="3" customFormat="1" ht="13.2">
      <c r="A27" s="409" t="s">
        <v>24</v>
      </c>
      <c r="B27" s="410" t="s">
        <v>64</v>
      </c>
      <c r="C27" s="411"/>
      <c r="D27" s="411"/>
      <c r="E27" s="411"/>
      <c r="F27" s="411"/>
      <c r="G27" s="411"/>
      <c r="H27" s="411"/>
      <c r="I27" s="411"/>
      <c r="J27" s="411"/>
      <c r="K27" s="411"/>
      <c r="L27" s="411"/>
      <c r="M27" s="411"/>
      <c r="N27" s="411"/>
      <c r="O27" s="411"/>
      <c r="P27" s="411"/>
      <c r="Q27" s="411"/>
      <c r="R27" s="411"/>
      <c r="S27" s="411"/>
      <c r="T27" s="411"/>
      <c r="U27" s="411"/>
      <c r="V27" s="411"/>
      <c r="W27" s="411"/>
      <c r="X27" s="411"/>
      <c r="Y27" s="411"/>
      <c r="Z27" s="411"/>
    </row>
    <row r="28" spans="1:26" s="3" customFormat="1" ht="13.2">
      <c r="A28" s="409" t="s">
        <v>1085</v>
      </c>
      <c r="B28" s="410" t="s">
        <v>64</v>
      </c>
      <c r="C28" s="411"/>
      <c r="D28" s="411"/>
      <c r="E28" s="411"/>
      <c r="F28" s="411"/>
      <c r="G28" s="411"/>
      <c r="H28" s="411"/>
      <c r="I28" s="411"/>
      <c r="J28" s="411"/>
      <c r="K28" s="411"/>
      <c r="L28" s="411"/>
      <c r="M28" s="411"/>
      <c r="N28" s="411"/>
      <c r="O28" s="411"/>
      <c r="P28" s="411"/>
      <c r="Q28" s="411"/>
      <c r="R28" s="411"/>
      <c r="S28" s="411"/>
      <c r="T28" s="411"/>
      <c r="U28" s="411"/>
      <c r="V28" s="411"/>
      <c r="W28" s="411"/>
      <c r="X28" s="411"/>
      <c r="Y28" s="411"/>
      <c r="Z28" s="411"/>
    </row>
    <row r="29" spans="1:26" s="3" customFormat="1" ht="13.2">
      <c r="A29" s="409" t="s">
        <v>790</v>
      </c>
      <c r="B29" s="410" t="s">
        <v>64</v>
      </c>
      <c r="C29" s="411"/>
      <c r="D29" s="411"/>
      <c r="E29" s="411"/>
      <c r="F29" s="411"/>
      <c r="G29" s="411"/>
      <c r="H29" s="411"/>
      <c r="I29" s="411"/>
      <c r="J29" s="411"/>
      <c r="K29" s="411"/>
      <c r="L29" s="411"/>
      <c r="M29" s="411"/>
      <c r="N29" s="411"/>
      <c r="O29" s="411"/>
      <c r="P29" s="411"/>
      <c r="Q29" s="411"/>
      <c r="R29" s="411"/>
      <c r="S29" s="411"/>
      <c r="T29" s="411"/>
      <c r="U29" s="411"/>
      <c r="V29" s="411"/>
      <c r="W29" s="411"/>
      <c r="X29" s="411"/>
      <c r="Y29" s="411"/>
      <c r="Z29" s="411"/>
    </row>
    <row r="30" spans="1:26" s="3" customFormat="1" ht="13.2">
      <c r="A30" s="409" t="s">
        <v>936</v>
      </c>
      <c r="B30" s="410" t="s">
        <v>173</v>
      </c>
      <c r="C30" s="411"/>
      <c r="D30" s="411"/>
      <c r="E30" s="411"/>
      <c r="F30" s="411"/>
      <c r="G30" s="411"/>
      <c r="H30" s="411"/>
      <c r="I30" s="411"/>
      <c r="J30" s="411"/>
      <c r="K30" s="411"/>
      <c r="L30" s="411"/>
      <c r="M30" s="411"/>
      <c r="N30" s="411"/>
      <c r="O30" s="411"/>
      <c r="P30" s="411"/>
      <c r="Q30" s="411"/>
      <c r="R30" s="411"/>
      <c r="S30" s="411"/>
      <c r="T30" s="411"/>
      <c r="U30" s="411"/>
      <c r="V30" s="411"/>
      <c r="W30" s="411"/>
      <c r="X30" s="411"/>
      <c r="Y30" s="411"/>
      <c r="Z30" s="411"/>
    </row>
    <row r="31" spans="1:26" s="3" customFormat="1" ht="13.2">
      <c r="A31" s="409" t="s">
        <v>1086</v>
      </c>
      <c r="B31" s="410" t="s">
        <v>64</v>
      </c>
      <c r="C31" s="411"/>
      <c r="D31" s="411"/>
      <c r="E31" s="411"/>
      <c r="F31" s="411"/>
      <c r="G31" s="411"/>
      <c r="H31" s="411"/>
      <c r="I31" s="411"/>
      <c r="J31" s="411"/>
      <c r="K31" s="411"/>
      <c r="L31" s="411"/>
      <c r="M31" s="411"/>
      <c r="N31" s="411"/>
      <c r="O31" s="411"/>
      <c r="P31" s="411"/>
      <c r="Q31" s="411"/>
      <c r="R31" s="411"/>
      <c r="S31" s="411"/>
      <c r="T31" s="411"/>
      <c r="U31" s="411"/>
      <c r="V31" s="411"/>
      <c r="W31" s="411"/>
      <c r="X31" s="411"/>
      <c r="Y31" s="411"/>
      <c r="Z31" s="411"/>
    </row>
    <row r="32" spans="1:26" s="3" customFormat="1" ht="13.2">
      <c r="A32" s="409" t="s">
        <v>1087</v>
      </c>
      <c r="B32" s="410" t="s">
        <v>64</v>
      </c>
      <c r="C32" s="411"/>
      <c r="D32" s="411"/>
      <c r="E32" s="411"/>
      <c r="F32" s="411"/>
      <c r="G32" s="411"/>
      <c r="H32" s="411"/>
      <c r="I32" s="411"/>
      <c r="J32" s="411"/>
      <c r="K32" s="411"/>
      <c r="L32" s="411"/>
      <c r="M32" s="411"/>
      <c r="N32" s="411"/>
      <c r="O32" s="411"/>
      <c r="P32" s="411"/>
      <c r="Q32" s="411"/>
      <c r="R32" s="411"/>
      <c r="S32" s="411"/>
      <c r="T32" s="411"/>
      <c r="U32" s="411"/>
      <c r="V32" s="411"/>
      <c r="W32" s="411"/>
      <c r="X32" s="411"/>
      <c r="Y32" s="411"/>
      <c r="Z32" s="411"/>
    </row>
    <row r="33" spans="1:26" s="3" customFormat="1" ht="13.2">
      <c r="A33" s="409" t="s">
        <v>1059</v>
      </c>
      <c r="B33" s="410" t="s">
        <v>47</v>
      </c>
      <c r="C33" s="411"/>
      <c r="D33" s="411"/>
      <c r="E33" s="411"/>
      <c r="F33" s="411"/>
      <c r="G33" s="411"/>
      <c r="H33" s="411"/>
      <c r="I33" s="411"/>
      <c r="J33" s="411"/>
      <c r="K33" s="411"/>
      <c r="L33" s="411"/>
      <c r="M33" s="411"/>
      <c r="N33" s="411"/>
      <c r="O33" s="411"/>
      <c r="P33" s="411"/>
      <c r="Q33" s="411"/>
      <c r="R33" s="411"/>
      <c r="S33" s="411"/>
      <c r="T33" s="411"/>
      <c r="U33" s="411"/>
      <c r="V33" s="411"/>
      <c r="W33" s="411"/>
      <c r="X33" s="411"/>
      <c r="Y33" s="411"/>
      <c r="Z33" s="411"/>
    </row>
    <row r="34" spans="1:26" s="3" customFormat="1" ht="13.2">
      <c r="A34" s="409" t="s">
        <v>973</v>
      </c>
      <c r="B34" s="410" t="s">
        <v>47</v>
      </c>
      <c r="C34" s="411"/>
      <c r="D34" s="411"/>
      <c r="E34" s="411"/>
      <c r="F34" s="411"/>
      <c r="G34" s="411"/>
      <c r="H34" s="411"/>
      <c r="I34" s="411"/>
      <c r="J34" s="411"/>
      <c r="K34" s="411"/>
      <c r="L34" s="411"/>
      <c r="M34" s="411"/>
      <c r="N34" s="411"/>
      <c r="O34" s="411"/>
      <c r="P34" s="411"/>
      <c r="Q34" s="411"/>
      <c r="R34" s="411"/>
      <c r="S34" s="411"/>
      <c r="T34" s="411"/>
      <c r="U34" s="411"/>
      <c r="V34" s="411"/>
      <c r="W34" s="411"/>
      <c r="X34" s="411"/>
      <c r="Y34" s="411"/>
      <c r="Z34" s="411"/>
    </row>
    <row r="35" spans="1:26" s="3" customFormat="1" ht="13.2">
      <c r="A35" s="409" t="s">
        <v>1246</v>
      </c>
      <c r="B35" s="410" t="s">
        <v>173</v>
      </c>
      <c r="C35" s="411"/>
      <c r="D35" s="411"/>
      <c r="E35" s="411"/>
      <c r="F35" s="411"/>
      <c r="G35" s="411"/>
      <c r="H35" s="411"/>
      <c r="I35" s="411"/>
      <c r="J35" s="411"/>
      <c r="K35" s="411"/>
      <c r="L35" s="411"/>
      <c r="M35" s="411"/>
      <c r="N35" s="411"/>
      <c r="O35" s="411"/>
      <c r="P35" s="411"/>
      <c r="Q35" s="411"/>
      <c r="R35" s="411"/>
      <c r="S35" s="411"/>
      <c r="T35" s="411"/>
      <c r="U35" s="411"/>
      <c r="V35" s="411"/>
      <c r="W35" s="411"/>
      <c r="X35" s="411"/>
      <c r="Y35" s="411"/>
      <c r="Z35" s="411"/>
    </row>
    <row r="36" spans="1:26" s="3" customFormat="1" ht="13.2">
      <c r="A36" s="409" t="s">
        <v>330</v>
      </c>
      <c r="B36" s="410" t="s">
        <v>88</v>
      </c>
      <c r="C36" s="411"/>
      <c r="D36" s="411"/>
      <c r="E36" s="411"/>
      <c r="F36" s="411"/>
      <c r="G36" s="411"/>
      <c r="H36" s="411"/>
      <c r="I36" s="411"/>
      <c r="J36" s="411"/>
      <c r="K36" s="411"/>
      <c r="L36" s="411"/>
      <c r="M36" s="411"/>
      <c r="N36" s="411"/>
      <c r="O36" s="411"/>
      <c r="P36" s="411"/>
      <c r="Q36" s="411"/>
      <c r="R36" s="411"/>
      <c r="S36" s="411"/>
      <c r="T36" s="411"/>
      <c r="U36" s="411"/>
      <c r="V36" s="411"/>
      <c r="W36" s="411"/>
      <c r="X36" s="411"/>
      <c r="Y36" s="411"/>
      <c r="Z36" s="411"/>
    </row>
    <row r="37" spans="1:26" s="3" customFormat="1" ht="13.2"/>
    <row r="38" spans="1:26" s="3" customFormat="1" ht="13.2">
      <c r="A38" s="313" t="s">
        <v>1248</v>
      </c>
      <c r="B38" s="313"/>
      <c r="C38" s="313"/>
      <c r="D38" s="313"/>
      <c r="E38" s="313"/>
      <c r="F38" s="313"/>
      <c r="G38" s="313"/>
      <c r="H38" s="313"/>
      <c r="I38" s="313"/>
      <c r="J38" s="313"/>
      <c r="K38" s="313"/>
      <c r="L38" s="313"/>
      <c r="M38" s="313"/>
      <c r="N38" s="313"/>
      <c r="O38" s="313"/>
      <c r="P38" s="313"/>
      <c r="Q38" s="313"/>
      <c r="R38" s="313"/>
      <c r="S38" s="313"/>
      <c r="T38" s="313"/>
      <c r="U38" s="313"/>
      <c r="V38" s="313"/>
      <c r="W38" s="313"/>
      <c r="X38" s="313"/>
      <c r="Y38" s="313"/>
      <c r="Z38" s="313"/>
    </row>
    <row r="39" spans="1:26" s="3" customFormat="1" ht="13.2">
      <c r="A39" s="104" t="s">
        <v>4</v>
      </c>
      <c r="B39" s="104" t="s">
        <v>1249</v>
      </c>
      <c r="C39" s="104" t="s">
        <v>664</v>
      </c>
      <c r="D39" s="104" t="s">
        <v>665</v>
      </c>
      <c r="E39" s="104" t="s">
        <v>666</v>
      </c>
      <c r="F39" s="104" t="s">
        <v>667</v>
      </c>
      <c r="G39" s="104" t="s">
        <v>668</v>
      </c>
      <c r="H39" s="104" t="s">
        <v>669</v>
      </c>
      <c r="I39" s="104" t="s">
        <v>670</v>
      </c>
      <c r="J39" s="104" t="s">
        <v>671</v>
      </c>
      <c r="K39" s="104" t="s">
        <v>672</v>
      </c>
      <c r="L39" s="104" t="s">
        <v>673</v>
      </c>
      <c r="M39" s="104" t="s">
        <v>674</v>
      </c>
      <c r="N39" s="104" t="s">
        <v>675</v>
      </c>
      <c r="O39" s="104" t="s">
        <v>676</v>
      </c>
      <c r="P39" s="104" t="s">
        <v>677</v>
      </c>
      <c r="Q39" s="104" t="s">
        <v>678</v>
      </c>
      <c r="R39" s="104" t="s">
        <v>679</v>
      </c>
      <c r="S39" s="104" t="s">
        <v>680</v>
      </c>
      <c r="T39" s="104" t="s">
        <v>681</v>
      </c>
      <c r="U39" s="104" t="s">
        <v>682</v>
      </c>
      <c r="V39" s="104" t="s">
        <v>683</v>
      </c>
      <c r="W39" s="104" t="s">
        <v>684</v>
      </c>
      <c r="X39" s="104" t="s">
        <v>685</v>
      </c>
      <c r="Y39" s="104" t="s">
        <v>686</v>
      </c>
      <c r="Z39" s="104" t="s">
        <v>687</v>
      </c>
    </row>
    <row r="40" spans="1:26" s="3" customFormat="1" ht="13.2">
      <c r="A40" s="389" t="s">
        <v>24</v>
      </c>
      <c r="B40" s="390" t="s">
        <v>1239</v>
      </c>
      <c r="C40" s="391" cm="1">
        <f t="array" ref="C40">INDEX('8. Scenarios'!$B$22:$Y$31,MATCH(_xlfn.SWITCH($A40,"Total Monthly Revenue","Revenue",$A40),'8. Scenarios'!$A$22:$A$31,0),MATCH(C$39,'8. Scenarios'!$B$21:$Y$21,0))</f>
        <v>533559.60000000009</v>
      </c>
      <c r="D40" s="391" cm="1">
        <f t="array" ref="D40">INDEX('8. Scenarios'!$B$22:$Y$31,MATCH(_xlfn.SWITCH($A40,"Total Monthly Revenue","Revenue",$A40),'8. Scenarios'!$A$22:$A$31,0),MATCH(D$39,'8. Scenarios'!$B$21:$Y$21,0))</f>
        <v>553552.45233219536</v>
      </c>
      <c r="E40" s="391" cm="1">
        <f t="array" ref="E40">INDEX('8. Scenarios'!$B$22:$Y$31,MATCH(_xlfn.SWITCH($A40,"Total Monthly Revenue","Revenue",$A40),'8. Scenarios'!$A$22:$A$31,0),MATCH(E$39,'8. Scenarios'!$B$21:$Y$21,0))</f>
        <v>574101.17035420542</v>
      </c>
      <c r="F40" s="391" cm="1">
        <f t="array" ref="F40">INDEX('8. Scenarios'!$B$22:$Y$31,MATCH(_xlfn.SWITCH($A40,"Total Monthly Revenue","Revenue",$A40),'8. Scenarios'!$A$22:$A$31,0),MATCH(F$39,'8. Scenarios'!$B$21:$Y$21,0))</f>
        <v>595640.27496867348</v>
      </c>
      <c r="G40" s="391" cm="1">
        <f t="array" ref="G40">INDEX('8. Scenarios'!$B$22:$Y$31,MATCH(_xlfn.SWITCH($A40,"Total Monthly Revenue","Revenue",$A40),'8. Scenarios'!$A$22:$A$31,0),MATCH(G$39,'8. Scenarios'!$B$21:$Y$21,0))</f>
        <v>618558.95316425734</v>
      </c>
      <c r="H40" s="391" cm="1">
        <f t="array" ref="H40">INDEX('8. Scenarios'!$B$22:$Y$31,MATCH(_xlfn.SWITCH($A40,"Total Monthly Revenue","Revenue",$A40),'8. Scenarios'!$A$22:$A$31,0),MATCH(H$39,'8. Scenarios'!$B$21:$Y$21,0))</f>
        <v>650403.43592328834</v>
      </c>
      <c r="I40" s="391" cm="1">
        <f t="array" ref="I40">INDEX('8. Scenarios'!$B$22:$Y$31,MATCH(_xlfn.SWITCH($A40,"Total Monthly Revenue","Revenue",$A40),'8. Scenarios'!$A$22:$A$31,0),MATCH(I$39,'8. Scenarios'!$B$21:$Y$21,0))</f>
        <v>684659.2304366196</v>
      </c>
      <c r="J40" s="391" cm="1">
        <f t="array" ref="J40">INDEX('8. Scenarios'!$B$22:$Y$31,MATCH(_xlfn.SWITCH($A40,"Total Monthly Revenue","Revenue",$A40),'8. Scenarios'!$A$22:$A$31,0),MATCH(J$39,'8. Scenarios'!$B$21:$Y$21,0))</f>
        <v>721681.90570737433</v>
      </c>
      <c r="K40" s="391" cm="1">
        <f t="array" ref="K40">INDEX('8. Scenarios'!$B$22:$Y$31,MATCH(_xlfn.SWITCH($A40,"Total Monthly Revenue","Revenue",$A40),'8. Scenarios'!$A$22:$A$31,0),MATCH(K$39,'8. Scenarios'!$B$21:$Y$21,0))</f>
        <v>761827.03851761343</v>
      </c>
      <c r="L40" s="391" cm="1">
        <f t="array" ref="L40">INDEX('8. Scenarios'!$B$22:$Y$31,MATCH(_xlfn.SWITCH($A40,"Total Monthly Revenue","Revenue",$A40),'8. Scenarios'!$A$22:$A$31,0),MATCH(L$39,'8. Scenarios'!$B$21:$Y$21,0))</f>
        <v>808738.26504080137</v>
      </c>
      <c r="M40" s="391" cm="1">
        <f t="array" ref="M40">INDEX('8. Scenarios'!$B$22:$Y$31,MATCH(_xlfn.SWITCH($A40,"Total Monthly Revenue","Revenue",$A40),'8. Scenarios'!$A$22:$A$31,0),MATCH(M$39,'8. Scenarios'!$B$21:$Y$21,0))</f>
        <v>859904.17127554596</v>
      </c>
      <c r="N40" s="391" cm="1">
        <f t="array" ref="N40">INDEX('8. Scenarios'!$B$22:$Y$31,MATCH(_xlfn.SWITCH($A40,"Total Monthly Revenue","Revenue",$A40),'8. Scenarios'!$A$22:$A$31,0),MATCH(N$39,'8. Scenarios'!$B$21:$Y$21,0))</f>
        <v>915778.20511503622</v>
      </c>
      <c r="O40" s="391" cm="1">
        <f t="array" ref="O40">INDEX('8. Scenarios'!$B$22:$Y$31,MATCH(_xlfn.SWITCH($A40,"Total Monthly Revenue","Revenue",$A40),'8. Scenarios'!$A$22:$A$31,0),MATCH(O$39,'8. Scenarios'!$B$21:$Y$21,0))</f>
        <v>976845.3053982585</v>
      </c>
      <c r="P40" s="391" cm="1">
        <f t="array" ref="P40">INDEX('8. Scenarios'!$B$22:$Y$31,MATCH(_xlfn.SWITCH($A40,"Total Monthly Revenue","Revenue",$A40),'8. Scenarios'!$A$22:$A$31,0),MATCH(P$39,'8. Scenarios'!$B$21:$Y$21,0))</f>
        <v>1043627.2782152807</v>
      </c>
      <c r="Q40" s="391" cm="1">
        <f t="array" ref="Q40">INDEX('8. Scenarios'!$B$22:$Y$31,MATCH(_xlfn.SWITCH($A40,"Total Monthly Revenue","Revenue",$A40),'8. Scenarios'!$A$22:$A$31,0),MATCH(Q$39,'8. Scenarios'!$B$21:$Y$21,0))</f>
        <v>1116688.2268558932</v>
      </c>
      <c r="R40" s="391" cm="1">
        <f t="array" ref="R40">INDEX('8. Scenarios'!$B$22:$Y$31,MATCH(_xlfn.SWITCH($A40,"Total Monthly Revenue","Revenue",$A40),'8. Scenarios'!$A$22:$A$31,0),MATCH(R$39,'8. Scenarios'!$B$21:$Y$21,0))</f>
        <v>1196640.1418957575</v>
      </c>
      <c r="S40" s="391" cm="1">
        <f t="array" ref="S40">INDEX('8. Scenarios'!$B$22:$Y$31,MATCH(_xlfn.SWITCH($A40,"Total Monthly Revenue","Revenue",$A40),'8. Scenarios'!$A$22:$A$31,0),MATCH(S$39,'8. Scenarios'!$B$21:$Y$21,0))</f>
        <v>1284148.7472835707</v>
      </c>
      <c r="T40" s="391" cm="1">
        <f t="array" ref="T40">INDEX('8. Scenarios'!$B$22:$Y$31,MATCH(_xlfn.SWITCH($A40,"Total Monthly Revenue","Revenue",$A40),'8. Scenarios'!$A$22:$A$31,0),MATCH(T$39,'8. Scenarios'!$B$21:$Y$21,0))</f>
        <v>1379939.6911168513</v>
      </c>
      <c r="U40" s="391" cm="1">
        <f t="array" ref="U40">INDEX('8. Scenarios'!$B$22:$Y$31,MATCH(_xlfn.SWITCH($A40,"Total Monthly Revenue","Revenue",$A40),'8. Scenarios'!$A$22:$A$31,0),MATCH(U$39,'8. Scenarios'!$B$21:$Y$21,0))</f>
        <v>1484805.1654667938</v>
      </c>
      <c r="V40" s="391" cm="1">
        <f t="array" ref="V40">INDEX('8. Scenarios'!$B$22:$Y$31,MATCH(_xlfn.SWITCH($A40,"Total Monthly Revenue","Revenue",$A40),'8. Scenarios'!$A$22:$A$31,0),MATCH(V$39,'8. Scenarios'!$B$21:$Y$21,0))</f>
        <v>1599611.0376685413</v>
      </c>
      <c r="W40" s="391" cm="1">
        <f t="array" ref="W40">INDEX('8. Scenarios'!$B$22:$Y$31,MATCH(_xlfn.SWITCH($A40,"Total Monthly Revenue","Revenue",$A40),'8. Scenarios'!$A$22:$A$31,0),MATCH(W$39,'8. Scenarios'!$B$21:$Y$21,0))</f>
        <v>1725304.575578677</v>
      </c>
      <c r="X40" s="391" cm="1">
        <f t="array" ref="X40">INDEX('8. Scenarios'!$B$22:$Y$31,MATCH(_xlfn.SWITCH($A40,"Total Monthly Revenue","Revenue",$A40),'8. Scenarios'!$A$22:$A$31,0),MATCH(X$39,'8. Scenarios'!$B$21:$Y$21,0))</f>
        <v>1862922.8511532308</v>
      </c>
      <c r="Y40" s="391" cm="1">
        <f t="array" ref="Y40">INDEX('8. Scenarios'!$B$22:$Y$31,MATCH(_xlfn.SWITCH($A40,"Total Monthly Revenue","Revenue",$A40),'8. Scenarios'!$A$22:$A$31,0),MATCH(Y$39,'8. Scenarios'!$B$21:$Y$21,0))</f>
        <v>2013601.9101260379</v>
      </c>
      <c r="Z40" s="391" cm="1">
        <f t="array" ref="Z40">INDEX('8. Scenarios'!$B$22:$Y$31,MATCH(_xlfn.SWITCH($A40,"Total Monthly Revenue","Revenue",$A40),'8. Scenarios'!$A$22:$A$31,0),MATCH(Z$39,'8. Scenarios'!$B$21:$Y$21,0))</f>
        <v>2178586.8004370267</v>
      </c>
    </row>
    <row r="41" spans="1:26" s="3" customFormat="1" ht="13.2">
      <c r="A41" s="389"/>
      <c r="B41" s="390" t="s">
        <v>1240</v>
      </c>
      <c r="C41" s="392">
        <f>INDEX($C$27:$Z$36,MATCH($A40,$A$27:$A$36,0),MATCH(C$39,$C$26:$Z$26,0))</f>
        <v>0</v>
      </c>
      <c r="D41" s="392">
        <f t="shared" ref="D41:Z41" si="4">INDEX($C$27:$Z$36,MATCH($A40,$A$27:$A$36,0),MATCH(D$39,$C$26:$Z$26,0))</f>
        <v>0</v>
      </c>
      <c r="E41" s="392">
        <f t="shared" si="4"/>
        <v>0</v>
      </c>
      <c r="F41" s="392">
        <f t="shared" si="4"/>
        <v>0</v>
      </c>
      <c r="G41" s="392">
        <f t="shared" si="4"/>
        <v>0</v>
      </c>
      <c r="H41" s="392">
        <f t="shared" si="4"/>
        <v>0</v>
      </c>
      <c r="I41" s="392">
        <f t="shared" si="4"/>
        <v>0</v>
      </c>
      <c r="J41" s="392">
        <f t="shared" si="4"/>
        <v>0</v>
      </c>
      <c r="K41" s="392">
        <f t="shared" si="4"/>
        <v>0</v>
      </c>
      <c r="L41" s="392">
        <f t="shared" si="4"/>
        <v>0</v>
      </c>
      <c r="M41" s="392">
        <f t="shared" si="4"/>
        <v>0</v>
      </c>
      <c r="N41" s="392">
        <f t="shared" si="4"/>
        <v>0</v>
      </c>
      <c r="O41" s="392">
        <f t="shared" si="4"/>
        <v>0</v>
      </c>
      <c r="P41" s="392">
        <f t="shared" si="4"/>
        <v>0</v>
      </c>
      <c r="Q41" s="392">
        <f t="shared" si="4"/>
        <v>0</v>
      </c>
      <c r="R41" s="392">
        <f t="shared" si="4"/>
        <v>0</v>
      </c>
      <c r="S41" s="392">
        <f t="shared" si="4"/>
        <v>0</v>
      </c>
      <c r="T41" s="392">
        <f t="shared" si="4"/>
        <v>0</v>
      </c>
      <c r="U41" s="392">
        <f t="shared" si="4"/>
        <v>0</v>
      </c>
      <c r="V41" s="392">
        <f t="shared" si="4"/>
        <v>0</v>
      </c>
      <c r="W41" s="392">
        <f t="shared" si="4"/>
        <v>0</v>
      </c>
      <c r="X41" s="392">
        <f t="shared" si="4"/>
        <v>0</v>
      </c>
      <c r="Y41" s="392">
        <f t="shared" si="4"/>
        <v>0</v>
      </c>
      <c r="Z41" s="392">
        <f t="shared" si="4"/>
        <v>0</v>
      </c>
    </row>
    <row r="42" spans="1:26" s="3" customFormat="1" ht="13.2">
      <c r="A42" s="389"/>
      <c r="B42" s="390" t="s">
        <v>1241</v>
      </c>
      <c r="C42" s="393">
        <f>IF(C41="","",C41-C40)</f>
        <v>-533559.60000000009</v>
      </c>
      <c r="D42" s="393">
        <f t="shared" ref="D42:Z42" si="5">IF(D41="","",D41-D40)</f>
        <v>-553552.45233219536</v>
      </c>
      <c r="E42" s="393">
        <f t="shared" si="5"/>
        <v>-574101.17035420542</v>
      </c>
      <c r="F42" s="393">
        <f t="shared" si="5"/>
        <v>-595640.27496867348</v>
      </c>
      <c r="G42" s="393">
        <f t="shared" si="5"/>
        <v>-618558.95316425734</v>
      </c>
      <c r="H42" s="393">
        <f t="shared" si="5"/>
        <v>-650403.43592328834</v>
      </c>
      <c r="I42" s="393">
        <f t="shared" si="5"/>
        <v>-684659.2304366196</v>
      </c>
      <c r="J42" s="393">
        <f t="shared" si="5"/>
        <v>-721681.90570737433</v>
      </c>
      <c r="K42" s="393">
        <f t="shared" si="5"/>
        <v>-761827.03851761343</v>
      </c>
      <c r="L42" s="393">
        <f t="shared" si="5"/>
        <v>-808738.26504080137</v>
      </c>
      <c r="M42" s="393">
        <f t="shared" si="5"/>
        <v>-859904.17127554596</v>
      </c>
      <c r="N42" s="393">
        <f t="shared" si="5"/>
        <v>-915778.20511503622</v>
      </c>
      <c r="O42" s="393">
        <f t="shared" si="5"/>
        <v>-976845.3053982585</v>
      </c>
      <c r="P42" s="393">
        <f t="shared" si="5"/>
        <v>-1043627.2782152807</v>
      </c>
      <c r="Q42" s="393">
        <f t="shared" si="5"/>
        <v>-1116688.2268558932</v>
      </c>
      <c r="R42" s="393">
        <f t="shared" si="5"/>
        <v>-1196640.1418957575</v>
      </c>
      <c r="S42" s="393">
        <f t="shared" si="5"/>
        <v>-1284148.7472835707</v>
      </c>
      <c r="T42" s="393">
        <f t="shared" si="5"/>
        <v>-1379939.6911168513</v>
      </c>
      <c r="U42" s="393">
        <f t="shared" si="5"/>
        <v>-1484805.1654667938</v>
      </c>
      <c r="V42" s="393">
        <f t="shared" si="5"/>
        <v>-1599611.0376685413</v>
      </c>
      <c r="W42" s="393">
        <f t="shared" si="5"/>
        <v>-1725304.575578677</v>
      </c>
      <c r="X42" s="393">
        <f t="shared" si="5"/>
        <v>-1862922.8511532308</v>
      </c>
      <c r="Y42" s="393">
        <f t="shared" si="5"/>
        <v>-2013601.9101260379</v>
      </c>
      <c r="Z42" s="393">
        <f t="shared" si="5"/>
        <v>-2178586.8004370267</v>
      </c>
    </row>
    <row r="43" spans="1:26" s="3" customFormat="1" ht="13.2">
      <c r="A43" s="389"/>
      <c r="B43" s="390" t="s">
        <v>1242</v>
      </c>
      <c r="C43" s="394">
        <f>IF(C41="","",IFERROR(C42/C40,""))</f>
        <v>-1</v>
      </c>
      <c r="D43" s="394">
        <f t="shared" ref="D43:Z43" si="6">IF(D41="","",IFERROR(D42/D40,""))</f>
        <v>-1</v>
      </c>
      <c r="E43" s="394">
        <f t="shared" si="6"/>
        <v>-1</v>
      </c>
      <c r="F43" s="394">
        <f t="shared" si="6"/>
        <v>-1</v>
      </c>
      <c r="G43" s="394">
        <f t="shared" si="6"/>
        <v>-1</v>
      </c>
      <c r="H43" s="394">
        <f t="shared" si="6"/>
        <v>-1</v>
      </c>
      <c r="I43" s="394">
        <f t="shared" si="6"/>
        <v>-1</v>
      </c>
      <c r="J43" s="394">
        <f t="shared" si="6"/>
        <v>-1</v>
      </c>
      <c r="K43" s="394">
        <f t="shared" si="6"/>
        <v>-1</v>
      </c>
      <c r="L43" s="394">
        <f t="shared" si="6"/>
        <v>-1</v>
      </c>
      <c r="M43" s="394">
        <f t="shared" si="6"/>
        <v>-1</v>
      </c>
      <c r="N43" s="394">
        <f t="shared" si="6"/>
        <v>-1</v>
      </c>
      <c r="O43" s="394">
        <f t="shared" si="6"/>
        <v>-1</v>
      </c>
      <c r="P43" s="394">
        <f t="shared" si="6"/>
        <v>-1</v>
      </c>
      <c r="Q43" s="394">
        <f t="shared" si="6"/>
        <v>-1</v>
      </c>
      <c r="R43" s="394">
        <f t="shared" si="6"/>
        <v>-1</v>
      </c>
      <c r="S43" s="394">
        <f t="shared" si="6"/>
        <v>-1</v>
      </c>
      <c r="T43" s="394">
        <f t="shared" si="6"/>
        <v>-1</v>
      </c>
      <c r="U43" s="394">
        <f t="shared" si="6"/>
        <v>-1</v>
      </c>
      <c r="V43" s="394">
        <f t="shared" si="6"/>
        <v>-1</v>
      </c>
      <c r="W43" s="394">
        <f t="shared" si="6"/>
        <v>-1</v>
      </c>
      <c r="X43" s="394">
        <f t="shared" si="6"/>
        <v>-1</v>
      </c>
      <c r="Y43" s="394">
        <f t="shared" si="6"/>
        <v>-1</v>
      </c>
      <c r="Z43" s="394">
        <f t="shared" si="6"/>
        <v>-1</v>
      </c>
    </row>
    <row r="44" spans="1:26" s="3" customFormat="1" ht="13.2">
      <c r="A44" s="389"/>
      <c r="B44" s="390" t="s">
        <v>1243</v>
      </c>
      <c r="C44" s="395" t="str">
        <f>IF(C41="","",IF(ABS(C43)&lt;=$B$9,"OK",IF($A40="Headcount","Review",IF(OR($A40="Monthly Net Burn",$A40="CAC Payback",$A40="Logo Churn Rate %"),IF(C41&lt;C40,"Favorable","Review"),IF(C41&gt;C40,"Favorable","Review")))))</f>
        <v>Review</v>
      </c>
      <c r="D44" s="395" t="str">
        <f t="shared" ref="D44:Z44" si="7">IF(D41="","",IF(ABS(D43)&lt;=$B$9,"OK",IF($A40="Headcount","Review",IF(OR($A40="Monthly Net Burn",$A40="CAC Payback",$A40="Logo Churn Rate %"),IF(D41&lt;D40,"Favorable","Review"),IF(D41&gt;D40,"Favorable","Review")))))</f>
        <v>Review</v>
      </c>
      <c r="E44" s="395" t="str">
        <f t="shared" si="7"/>
        <v>Review</v>
      </c>
      <c r="F44" s="395" t="str">
        <f t="shared" si="7"/>
        <v>Review</v>
      </c>
      <c r="G44" s="395" t="str">
        <f t="shared" si="7"/>
        <v>Review</v>
      </c>
      <c r="H44" s="395" t="str">
        <f t="shared" si="7"/>
        <v>Review</v>
      </c>
      <c r="I44" s="395" t="str">
        <f t="shared" si="7"/>
        <v>Review</v>
      </c>
      <c r="J44" s="395" t="str">
        <f t="shared" si="7"/>
        <v>Review</v>
      </c>
      <c r="K44" s="395" t="str">
        <f t="shared" si="7"/>
        <v>Review</v>
      </c>
      <c r="L44" s="395" t="str">
        <f t="shared" si="7"/>
        <v>Review</v>
      </c>
      <c r="M44" s="395" t="str">
        <f t="shared" si="7"/>
        <v>Review</v>
      </c>
      <c r="N44" s="395" t="str">
        <f t="shared" si="7"/>
        <v>Review</v>
      </c>
      <c r="O44" s="395" t="str">
        <f t="shared" si="7"/>
        <v>Review</v>
      </c>
      <c r="P44" s="395" t="str">
        <f t="shared" si="7"/>
        <v>Review</v>
      </c>
      <c r="Q44" s="395" t="str">
        <f t="shared" si="7"/>
        <v>Review</v>
      </c>
      <c r="R44" s="395" t="str">
        <f t="shared" si="7"/>
        <v>Review</v>
      </c>
      <c r="S44" s="395" t="str">
        <f t="shared" si="7"/>
        <v>Review</v>
      </c>
      <c r="T44" s="395" t="str">
        <f t="shared" si="7"/>
        <v>Review</v>
      </c>
      <c r="U44" s="395" t="str">
        <f t="shared" si="7"/>
        <v>Review</v>
      </c>
      <c r="V44" s="395" t="str">
        <f t="shared" si="7"/>
        <v>Review</v>
      </c>
      <c r="W44" s="395" t="str">
        <f t="shared" si="7"/>
        <v>Review</v>
      </c>
      <c r="X44" s="395" t="str">
        <f t="shared" si="7"/>
        <v>Review</v>
      </c>
      <c r="Y44" s="395" t="str">
        <f t="shared" si="7"/>
        <v>Review</v>
      </c>
      <c r="Z44" s="395" t="str">
        <f t="shared" si="7"/>
        <v>Review</v>
      </c>
    </row>
    <row r="45" spans="1:26" s="3" customFormat="1" ht="13.2">
      <c r="A45" s="389" t="s">
        <v>1085</v>
      </c>
      <c r="B45" s="390" t="s">
        <v>1239</v>
      </c>
      <c r="C45" s="391" cm="1">
        <f t="array" ref="C45">INDEX('8. Scenarios'!$B$22:$Y$31,MATCH(_xlfn.SWITCH($A45,"Total Monthly Revenue","Revenue",$A45),'8. Scenarios'!$A$22:$A$31,0),MATCH(C$39,'8. Scenarios'!$B$21:$Y$21,0))</f>
        <v>44463.3</v>
      </c>
      <c r="D45" s="391" cm="1">
        <f t="array" ref="D45">INDEX('8. Scenarios'!$B$22:$Y$31,MATCH(_xlfn.SWITCH($A45,"Total Monthly Revenue","Revenue",$A45),'8. Scenarios'!$A$22:$A$31,0),MATCH(D$39,'8. Scenarios'!$B$21:$Y$21,0))</f>
        <v>46129.371027682952</v>
      </c>
      <c r="E45" s="391" cm="1">
        <f t="array" ref="E45">INDEX('8. Scenarios'!$B$22:$Y$31,MATCH(_xlfn.SWITCH($A45,"Total Monthly Revenue","Revenue",$A45),'8. Scenarios'!$A$22:$A$31,0),MATCH(E$39,'8. Scenarios'!$B$21:$Y$21,0))</f>
        <v>47841.764196183787</v>
      </c>
      <c r="F45" s="391" cm="1">
        <f t="array" ref="F45">INDEX('8. Scenarios'!$B$22:$Y$31,MATCH(_xlfn.SWITCH($A45,"Total Monthly Revenue","Revenue",$A45),'8. Scenarios'!$A$22:$A$31,0),MATCH(F$39,'8. Scenarios'!$B$21:$Y$21,0))</f>
        <v>49636.689580722785</v>
      </c>
      <c r="G45" s="391" cm="1">
        <f t="array" ref="G45">INDEX('8. Scenarios'!$B$22:$Y$31,MATCH(_xlfn.SWITCH($A45,"Total Monthly Revenue","Revenue",$A45),'8. Scenarios'!$A$22:$A$31,0),MATCH(G$39,'8. Scenarios'!$B$21:$Y$21,0))</f>
        <v>51546.579430354774</v>
      </c>
      <c r="H45" s="391" cm="1">
        <f t="array" ref="H45">INDEX('8. Scenarios'!$B$22:$Y$31,MATCH(_xlfn.SWITCH($A45,"Total Monthly Revenue","Revenue",$A45),'8. Scenarios'!$A$22:$A$31,0),MATCH(H$39,'8. Scenarios'!$B$21:$Y$21,0))</f>
        <v>54200.286326940695</v>
      </c>
      <c r="I45" s="391" cm="1">
        <f t="array" ref="I45">INDEX('8. Scenarios'!$B$22:$Y$31,MATCH(_xlfn.SWITCH($A45,"Total Monthly Revenue","Revenue",$A45),'8. Scenarios'!$A$22:$A$31,0),MATCH(I$39,'8. Scenarios'!$B$21:$Y$21,0))</f>
        <v>57054.935869718305</v>
      </c>
      <c r="J45" s="391" cm="1">
        <f t="array" ref="J45">INDEX('8. Scenarios'!$B$22:$Y$31,MATCH(_xlfn.SWITCH($A45,"Total Monthly Revenue","Revenue",$A45),'8. Scenarios'!$A$22:$A$31,0),MATCH(J$39,'8. Scenarios'!$B$21:$Y$21,0))</f>
        <v>60140.158808947861</v>
      </c>
      <c r="K45" s="391" cm="1">
        <f t="array" ref="K45">INDEX('8. Scenarios'!$B$22:$Y$31,MATCH(_xlfn.SWITCH($A45,"Total Monthly Revenue","Revenue",$A45),'8. Scenarios'!$A$22:$A$31,0),MATCH(K$39,'8. Scenarios'!$B$21:$Y$21,0))</f>
        <v>63485.58654313445</v>
      </c>
      <c r="L45" s="391" cm="1">
        <f t="array" ref="L45">INDEX('8. Scenarios'!$B$22:$Y$31,MATCH(_xlfn.SWITCH($A45,"Total Monthly Revenue","Revenue",$A45),'8. Scenarios'!$A$22:$A$31,0),MATCH(L$39,'8. Scenarios'!$B$21:$Y$21,0))</f>
        <v>67394.855420066786</v>
      </c>
      <c r="M45" s="391" cm="1">
        <f t="array" ref="M45">INDEX('8. Scenarios'!$B$22:$Y$31,MATCH(_xlfn.SWITCH($A45,"Total Monthly Revenue","Revenue",$A45),'8. Scenarios'!$A$22:$A$31,0),MATCH(M$39,'8. Scenarios'!$B$21:$Y$21,0))</f>
        <v>71658.68093962883</v>
      </c>
      <c r="N45" s="391" cm="1">
        <f t="array" ref="N45">INDEX('8. Scenarios'!$B$22:$Y$31,MATCH(_xlfn.SWITCH($A45,"Total Monthly Revenue","Revenue",$A45),'8. Scenarios'!$A$22:$A$31,0),MATCH(N$39,'8. Scenarios'!$B$21:$Y$21,0))</f>
        <v>76314.850426253019</v>
      </c>
      <c r="O45" s="391" cm="1">
        <f t="array" ref="O45">INDEX('8. Scenarios'!$B$22:$Y$31,MATCH(_xlfn.SWITCH($A45,"Total Monthly Revenue","Revenue",$A45),'8. Scenarios'!$A$22:$A$31,0),MATCH(O$39,'8. Scenarios'!$B$21:$Y$21,0))</f>
        <v>81403.775449854875</v>
      </c>
      <c r="P45" s="391" cm="1">
        <f t="array" ref="P45">INDEX('8. Scenarios'!$B$22:$Y$31,MATCH(_xlfn.SWITCH($A45,"Total Monthly Revenue","Revenue",$A45),'8. Scenarios'!$A$22:$A$31,0),MATCH(P$39,'8. Scenarios'!$B$21:$Y$21,0))</f>
        <v>86968.93985127339</v>
      </c>
      <c r="Q45" s="391" cm="1">
        <f t="array" ref="Q45">INDEX('8. Scenarios'!$B$22:$Y$31,MATCH(_xlfn.SWITCH($A45,"Total Monthly Revenue","Revenue",$A45),'8. Scenarios'!$A$22:$A$31,0),MATCH(Q$39,'8. Scenarios'!$B$21:$Y$21,0))</f>
        <v>93057.352237991101</v>
      </c>
      <c r="R45" s="391" cm="1">
        <f t="array" ref="R45">INDEX('8. Scenarios'!$B$22:$Y$31,MATCH(_xlfn.SWITCH($A45,"Total Monthly Revenue","Revenue",$A45),'8. Scenarios'!$A$22:$A$31,0),MATCH(R$39,'8. Scenarios'!$B$21:$Y$21,0))</f>
        <v>99720.01182464647</v>
      </c>
      <c r="S45" s="391" cm="1">
        <f t="array" ref="S45">INDEX('8. Scenarios'!$B$22:$Y$31,MATCH(_xlfn.SWITCH($A45,"Total Monthly Revenue","Revenue",$A45),'8. Scenarios'!$A$22:$A$31,0),MATCH(S$39,'8. Scenarios'!$B$21:$Y$21,0))</f>
        <v>107012.39560696423</v>
      </c>
      <c r="T45" s="391" cm="1">
        <f t="array" ref="T45">INDEX('8. Scenarios'!$B$22:$Y$31,MATCH(_xlfn.SWITCH($A45,"Total Monthly Revenue","Revenue",$A45),'8. Scenarios'!$A$22:$A$31,0),MATCH(T$39,'8. Scenarios'!$B$21:$Y$21,0))</f>
        <v>114994.9742597376</v>
      </c>
      <c r="U45" s="391" cm="1">
        <f t="array" ref="U45">INDEX('8. Scenarios'!$B$22:$Y$31,MATCH(_xlfn.SWITCH($A45,"Total Monthly Revenue","Revenue",$A45),'8. Scenarios'!$A$22:$A$31,0),MATCH(U$39,'8. Scenarios'!$B$21:$Y$21,0))</f>
        <v>123733.76378889949</v>
      </c>
      <c r="V45" s="391" cm="1">
        <f t="array" ref="V45">INDEX('8. Scenarios'!$B$22:$Y$31,MATCH(_xlfn.SWITCH($A45,"Total Monthly Revenue","Revenue",$A45),'8. Scenarios'!$A$22:$A$31,0),MATCH(V$39,'8. Scenarios'!$B$21:$Y$21,0))</f>
        <v>133300.91980571178</v>
      </c>
      <c r="W45" s="391" cm="1">
        <f t="array" ref="W45">INDEX('8. Scenarios'!$B$22:$Y$31,MATCH(_xlfn.SWITCH($A45,"Total Monthly Revenue","Revenue",$A45),'8. Scenarios'!$A$22:$A$31,0),MATCH(W$39,'8. Scenarios'!$B$21:$Y$21,0))</f>
        <v>143775.38129822307</v>
      </c>
      <c r="X45" s="391" cm="1">
        <f t="array" ref="X45">INDEX('8. Scenarios'!$B$22:$Y$31,MATCH(_xlfn.SWITCH($A45,"Total Monthly Revenue","Revenue",$A45),'8. Scenarios'!$A$22:$A$31,0),MATCH(X$39,'8. Scenarios'!$B$21:$Y$21,0))</f>
        <v>155243.5709294359</v>
      </c>
      <c r="Y45" s="391" cm="1">
        <f t="array" ref="Y45">INDEX('8. Scenarios'!$B$22:$Y$31,MATCH(_xlfn.SWITCH($A45,"Total Monthly Revenue","Revenue",$A45),'8. Scenarios'!$A$22:$A$31,0),MATCH(Y$39,'8. Scenarios'!$B$21:$Y$21,0))</f>
        <v>167800.15917716981</v>
      </c>
      <c r="Z45" s="391" cm="1">
        <f t="array" ref="Z45">INDEX('8. Scenarios'!$B$22:$Y$31,MATCH(_xlfn.SWITCH($A45,"Total Monthly Revenue","Revenue",$A45),'8. Scenarios'!$A$22:$A$31,0),MATCH(Z$39,'8. Scenarios'!$B$21:$Y$21,0))</f>
        <v>181548.9000364189</v>
      </c>
    </row>
    <row r="46" spans="1:26" s="3" customFormat="1" ht="13.2">
      <c r="A46" s="389"/>
      <c r="B46" s="390" t="s">
        <v>1240</v>
      </c>
      <c r="C46" s="392">
        <f>INDEX($C$27:$Z$36,MATCH($A45,$A$27:$A$36,0),MATCH(C$39,$C$26:$Z$26,0))</f>
        <v>0</v>
      </c>
      <c r="D46" s="392">
        <f t="shared" ref="D46" si="8">INDEX($C$27:$Z$36,MATCH($A45,$A$27:$A$36,0),MATCH(D$39,$C$26:$Z$26,0))</f>
        <v>0</v>
      </c>
      <c r="E46" s="392">
        <f t="shared" ref="E46" si="9">INDEX($C$27:$Z$36,MATCH($A45,$A$27:$A$36,0),MATCH(E$39,$C$26:$Z$26,0))</f>
        <v>0</v>
      </c>
      <c r="F46" s="392">
        <f t="shared" ref="F46" si="10">INDEX($C$27:$Z$36,MATCH($A45,$A$27:$A$36,0),MATCH(F$39,$C$26:$Z$26,0))</f>
        <v>0</v>
      </c>
      <c r="G46" s="392">
        <f t="shared" ref="G46" si="11">INDEX($C$27:$Z$36,MATCH($A45,$A$27:$A$36,0),MATCH(G$39,$C$26:$Z$26,0))</f>
        <v>0</v>
      </c>
      <c r="H46" s="392">
        <f t="shared" ref="H46" si="12">INDEX($C$27:$Z$36,MATCH($A45,$A$27:$A$36,0),MATCH(H$39,$C$26:$Z$26,0))</f>
        <v>0</v>
      </c>
      <c r="I46" s="392">
        <f t="shared" ref="I46" si="13">INDEX($C$27:$Z$36,MATCH($A45,$A$27:$A$36,0),MATCH(I$39,$C$26:$Z$26,0))</f>
        <v>0</v>
      </c>
      <c r="J46" s="392">
        <f t="shared" ref="J46" si="14">INDEX($C$27:$Z$36,MATCH($A45,$A$27:$A$36,0),MATCH(J$39,$C$26:$Z$26,0))</f>
        <v>0</v>
      </c>
      <c r="K46" s="392">
        <f t="shared" ref="K46" si="15">INDEX($C$27:$Z$36,MATCH($A45,$A$27:$A$36,0),MATCH(K$39,$C$26:$Z$26,0))</f>
        <v>0</v>
      </c>
      <c r="L46" s="392">
        <f t="shared" ref="L46" si="16">INDEX($C$27:$Z$36,MATCH($A45,$A$27:$A$36,0),MATCH(L$39,$C$26:$Z$26,0))</f>
        <v>0</v>
      </c>
      <c r="M46" s="392">
        <f t="shared" ref="M46" si="17">INDEX($C$27:$Z$36,MATCH($A45,$A$27:$A$36,0),MATCH(M$39,$C$26:$Z$26,0))</f>
        <v>0</v>
      </c>
      <c r="N46" s="392">
        <f t="shared" ref="N46" si="18">INDEX($C$27:$Z$36,MATCH($A45,$A$27:$A$36,0),MATCH(N$39,$C$26:$Z$26,0))</f>
        <v>0</v>
      </c>
      <c r="O46" s="392">
        <f t="shared" ref="O46" si="19">INDEX($C$27:$Z$36,MATCH($A45,$A$27:$A$36,0),MATCH(O$39,$C$26:$Z$26,0))</f>
        <v>0</v>
      </c>
      <c r="P46" s="392">
        <f t="shared" ref="P46" si="20">INDEX($C$27:$Z$36,MATCH($A45,$A$27:$A$36,0),MATCH(P$39,$C$26:$Z$26,0))</f>
        <v>0</v>
      </c>
      <c r="Q46" s="392">
        <f t="shared" ref="Q46" si="21">INDEX($C$27:$Z$36,MATCH($A45,$A$27:$A$36,0),MATCH(Q$39,$C$26:$Z$26,0))</f>
        <v>0</v>
      </c>
      <c r="R46" s="392">
        <f t="shared" ref="R46" si="22">INDEX($C$27:$Z$36,MATCH($A45,$A$27:$A$36,0),MATCH(R$39,$C$26:$Z$26,0))</f>
        <v>0</v>
      </c>
      <c r="S46" s="392">
        <f t="shared" ref="S46" si="23">INDEX($C$27:$Z$36,MATCH($A45,$A$27:$A$36,0),MATCH(S$39,$C$26:$Z$26,0))</f>
        <v>0</v>
      </c>
      <c r="T46" s="392">
        <f t="shared" ref="T46" si="24">INDEX($C$27:$Z$36,MATCH($A45,$A$27:$A$36,0),MATCH(T$39,$C$26:$Z$26,0))</f>
        <v>0</v>
      </c>
      <c r="U46" s="392">
        <f t="shared" ref="U46" si="25">INDEX($C$27:$Z$36,MATCH($A45,$A$27:$A$36,0),MATCH(U$39,$C$26:$Z$26,0))</f>
        <v>0</v>
      </c>
      <c r="V46" s="392">
        <f t="shared" ref="V46" si="26">INDEX($C$27:$Z$36,MATCH($A45,$A$27:$A$36,0),MATCH(V$39,$C$26:$Z$26,0))</f>
        <v>0</v>
      </c>
      <c r="W46" s="392">
        <f t="shared" ref="W46" si="27">INDEX($C$27:$Z$36,MATCH($A45,$A$27:$A$36,0),MATCH(W$39,$C$26:$Z$26,0))</f>
        <v>0</v>
      </c>
      <c r="X46" s="392">
        <f t="shared" ref="X46" si="28">INDEX($C$27:$Z$36,MATCH($A45,$A$27:$A$36,0),MATCH(X$39,$C$26:$Z$26,0))</f>
        <v>0</v>
      </c>
      <c r="Y46" s="392">
        <f t="shared" ref="Y46" si="29">INDEX($C$27:$Z$36,MATCH($A45,$A$27:$A$36,0),MATCH(Y$39,$C$26:$Z$26,0))</f>
        <v>0</v>
      </c>
      <c r="Z46" s="392">
        <f t="shared" ref="Z46" si="30">INDEX($C$27:$Z$36,MATCH($A45,$A$27:$A$36,0),MATCH(Z$39,$C$26:$Z$26,0))</f>
        <v>0</v>
      </c>
    </row>
    <row r="47" spans="1:26" s="3" customFormat="1" ht="13.2">
      <c r="A47" s="389"/>
      <c r="B47" s="390" t="s">
        <v>1241</v>
      </c>
      <c r="C47" s="393">
        <f>IF(C46="","",C46-C45)</f>
        <v>-44463.3</v>
      </c>
      <c r="D47" s="393">
        <f t="shared" ref="D47" si="31">IF(D46="","",D46-D45)</f>
        <v>-46129.371027682952</v>
      </c>
      <c r="E47" s="393">
        <f t="shared" ref="E47" si="32">IF(E46="","",E46-E45)</f>
        <v>-47841.764196183787</v>
      </c>
      <c r="F47" s="393">
        <f t="shared" ref="F47" si="33">IF(F46="","",F46-F45)</f>
        <v>-49636.689580722785</v>
      </c>
      <c r="G47" s="393">
        <f t="shared" ref="G47" si="34">IF(G46="","",G46-G45)</f>
        <v>-51546.579430354774</v>
      </c>
      <c r="H47" s="393">
        <f t="shared" ref="H47" si="35">IF(H46="","",H46-H45)</f>
        <v>-54200.286326940695</v>
      </c>
      <c r="I47" s="393">
        <f t="shared" ref="I47" si="36">IF(I46="","",I46-I45)</f>
        <v>-57054.935869718305</v>
      </c>
      <c r="J47" s="393">
        <f t="shared" ref="J47" si="37">IF(J46="","",J46-J45)</f>
        <v>-60140.158808947861</v>
      </c>
      <c r="K47" s="393">
        <f t="shared" ref="K47" si="38">IF(K46="","",K46-K45)</f>
        <v>-63485.58654313445</v>
      </c>
      <c r="L47" s="393">
        <f t="shared" ref="L47" si="39">IF(L46="","",L46-L45)</f>
        <v>-67394.855420066786</v>
      </c>
      <c r="M47" s="393">
        <f t="shared" ref="M47" si="40">IF(M46="","",M46-M45)</f>
        <v>-71658.68093962883</v>
      </c>
      <c r="N47" s="393">
        <f t="shared" ref="N47" si="41">IF(N46="","",N46-N45)</f>
        <v>-76314.850426253019</v>
      </c>
      <c r="O47" s="393">
        <f t="shared" ref="O47" si="42">IF(O46="","",O46-O45)</f>
        <v>-81403.775449854875</v>
      </c>
      <c r="P47" s="393">
        <f t="shared" ref="P47" si="43">IF(P46="","",P46-P45)</f>
        <v>-86968.93985127339</v>
      </c>
      <c r="Q47" s="393">
        <f t="shared" ref="Q47" si="44">IF(Q46="","",Q46-Q45)</f>
        <v>-93057.352237991101</v>
      </c>
      <c r="R47" s="393">
        <f t="shared" ref="R47" si="45">IF(R46="","",R46-R45)</f>
        <v>-99720.01182464647</v>
      </c>
      <c r="S47" s="393">
        <f t="shared" ref="S47" si="46">IF(S46="","",S46-S45)</f>
        <v>-107012.39560696423</v>
      </c>
      <c r="T47" s="393">
        <f t="shared" ref="T47" si="47">IF(T46="","",T46-T45)</f>
        <v>-114994.9742597376</v>
      </c>
      <c r="U47" s="393">
        <f t="shared" ref="U47" si="48">IF(U46="","",U46-U45)</f>
        <v>-123733.76378889949</v>
      </c>
      <c r="V47" s="393">
        <f t="shared" ref="V47" si="49">IF(V46="","",V46-V45)</f>
        <v>-133300.91980571178</v>
      </c>
      <c r="W47" s="393">
        <f t="shared" ref="W47" si="50">IF(W46="","",W46-W45)</f>
        <v>-143775.38129822307</v>
      </c>
      <c r="X47" s="393">
        <f t="shared" ref="X47" si="51">IF(X46="","",X46-X45)</f>
        <v>-155243.5709294359</v>
      </c>
      <c r="Y47" s="393">
        <f t="shared" ref="Y47" si="52">IF(Y46="","",Y46-Y45)</f>
        <v>-167800.15917716981</v>
      </c>
      <c r="Z47" s="393">
        <f t="shared" ref="Z47" si="53">IF(Z46="","",Z46-Z45)</f>
        <v>-181548.9000364189</v>
      </c>
    </row>
    <row r="48" spans="1:26" s="3" customFormat="1" ht="13.2">
      <c r="A48" s="389"/>
      <c r="B48" s="390" t="s">
        <v>1242</v>
      </c>
      <c r="C48" s="394">
        <f>IF(C46="","",IFERROR(C47/C45,""))</f>
        <v>-1</v>
      </c>
      <c r="D48" s="394">
        <f t="shared" ref="D48" si="54">IF(D46="","",IFERROR(D47/D45,""))</f>
        <v>-1</v>
      </c>
      <c r="E48" s="394">
        <f t="shared" ref="E48" si="55">IF(E46="","",IFERROR(E47/E45,""))</f>
        <v>-1</v>
      </c>
      <c r="F48" s="394">
        <f t="shared" ref="F48" si="56">IF(F46="","",IFERROR(F47/F45,""))</f>
        <v>-1</v>
      </c>
      <c r="G48" s="394">
        <f t="shared" ref="G48" si="57">IF(G46="","",IFERROR(G47/G45,""))</f>
        <v>-1</v>
      </c>
      <c r="H48" s="394">
        <f t="shared" ref="H48" si="58">IF(H46="","",IFERROR(H47/H45,""))</f>
        <v>-1</v>
      </c>
      <c r="I48" s="394">
        <f t="shared" ref="I48" si="59">IF(I46="","",IFERROR(I47/I45,""))</f>
        <v>-1</v>
      </c>
      <c r="J48" s="394">
        <f t="shared" ref="J48" si="60">IF(J46="","",IFERROR(J47/J45,""))</f>
        <v>-1</v>
      </c>
      <c r="K48" s="394">
        <f t="shared" ref="K48" si="61">IF(K46="","",IFERROR(K47/K45,""))</f>
        <v>-1</v>
      </c>
      <c r="L48" s="394">
        <f t="shared" ref="L48" si="62">IF(L46="","",IFERROR(L47/L45,""))</f>
        <v>-1</v>
      </c>
      <c r="M48" s="394">
        <f t="shared" ref="M48" si="63">IF(M46="","",IFERROR(M47/M45,""))</f>
        <v>-1</v>
      </c>
      <c r="N48" s="394">
        <f t="shared" ref="N48" si="64">IF(N46="","",IFERROR(N47/N45,""))</f>
        <v>-1</v>
      </c>
      <c r="O48" s="394">
        <f t="shared" ref="O48" si="65">IF(O46="","",IFERROR(O47/O45,""))</f>
        <v>-1</v>
      </c>
      <c r="P48" s="394">
        <f t="shared" ref="P48" si="66">IF(P46="","",IFERROR(P47/P45,""))</f>
        <v>-1</v>
      </c>
      <c r="Q48" s="394">
        <f t="shared" ref="Q48" si="67">IF(Q46="","",IFERROR(Q47/Q45,""))</f>
        <v>-1</v>
      </c>
      <c r="R48" s="394">
        <f t="shared" ref="R48" si="68">IF(R46="","",IFERROR(R47/R45,""))</f>
        <v>-1</v>
      </c>
      <c r="S48" s="394">
        <f t="shared" ref="S48" si="69">IF(S46="","",IFERROR(S47/S45,""))</f>
        <v>-1</v>
      </c>
      <c r="T48" s="394">
        <f t="shared" ref="T48" si="70">IF(T46="","",IFERROR(T47/T45,""))</f>
        <v>-1</v>
      </c>
      <c r="U48" s="394">
        <f t="shared" ref="U48" si="71">IF(U46="","",IFERROR(U47/U45,""))</f>
        <v>-1</v>
      </c>
      <c r="V48" s="394">
        <f t="shared" ref="V48" si="72">IF(V46="","",IFERROR(V47/V45,""))</f>
        <v>-1</v>
      </c>
      <c r="W48" s="394">
        <f t="shared" ref="W48" si="73">IF(W46="","",IFERROR(W47/W45,""))</f>
        <v>-1</v>
      </c>
      <c r="X48" s="394">
        <f t="shared" ref="X48" si="74">IF(X46="","",IFERROR(X47/X45,""))</f>
        <v>-1</v>
      </c>
      <c r="Y48" s="394">
        <f t="shared" ref="Y48" si="75">IF(Y46="","",IFERROR(Y47/Y45,""))</f>
        <v>-1</v>
      </c>
      <c r="Z48" s="394">
        <f t="shared" ref="Z48" si="76">IF(Z46="","",IFERROR(Z47/Z45,""))</f>
        <v>-1</v>
      </c>
    </row>
    <row r="49" spans="1:26" s="3" customFormat="1" ht="13.2">
      <c r="A49" s="389"/>
      <c r="B49" s="390" t="s">
        <v>1243</v>
      </c>
      <c r="C49" s="395" t="str">
        <f>IF(C46="","",IF(ABS(C48)&lt;=$B$9,"OK",IF($A45="Headcount","Review",IF(OR($A45="Monthly Net Burn",$A45="CAC Payback",$A45="Logo Churn Rate %"),IF(C46&lt;C45,"Favorable","Review"),IF(C46&gt;C45,"Favorable","Review")))))</f>
        <v>Review</v>
      </c>
      <c r="D49" s="395" t="str">
        <f t="shared" ref="D49" si="77">IF(D46="","",IF(ABS(D48)&lt;=$B$9,"OK",IF($A45="Headcount","Review",IF(OR($A45="Monthly Net Burn",$A45="CAC Payback",$A45="Logo Churn Rate %"),IF(D46&lt;D45,"Favorable","Review"),IF(D46&gt;D45,"Favorable","Review")))))</f>
        <v>Review</v>
      </c>
      <c r="E49" s="395" t="str">
        <f t="shared" ref="E49" si="78">IF(E46="","",IF(ABS(E48)&lt;=$B$9,"OK",IF($A45="Headcount","Review",IF(OR($A45="Monthly Net Burn",$A45="CAC Payback",$A45="Logo Churn Rate %"),IF(E46&lt;E45,"Favorable","Review"),IF(E46&gt;E45,"Favorable","Review")))))</f>
        <v>Review</v>
      </c>
      <c r="F49" s="395" t="str">
        <f t="shared" ref="F49" si="79">IF(F46="","",IF(ABS(F48)&lt;=$B$9,"OK",IF($A45="Headcount","Review",IF(OR($A45="Monthly Net Burn",$A45="CAC Payback",$A45="Logo Churn Rate %"),IF(F46&lt;F45,"Favorable","Review"),IF(F46&gt;F45,"Favorable","Review")))))</f>
        <v>Review</v>
      </c>
      <c r="G49" s="395" t="str">
        <f t="shared" ref="G49" si="80">IF(G46="","",IF(ABS(G48)&lt;=$B$9,"OK",IF($A45="Headcount","Review",IF(OR($A45="Monthly Net Burn",$A45="CAC Payback",$A45="Logo Churn Rate %"),IF(G46&lt;G45,"Favorable","Review"),IF(G46&gt;G45,"Favorable","Review")))))</f>
        <v>Review</v>
      </c>
      <c r="H49" s="395" t="str">
        <f t="shared" ref="H49" si="81">IF(H46="","",IF(ABS(H48)&lt;=$B$9,"OK",IF($A45="Headcount","Review",IF(OR($A45="Monthly Net Burn",$A45="CAC Payback",$A45="Logo Churn Rate %"),IF(H46&lt;H45,"Favorable","Review"),IF(H46&gt;H45,"Favorable","Review")))))</f>
        <v>Review</v>
      </c>
      <c r="I49" s="395" t="str">
        <f t="shared" ref="I49" si="82">IF(I46="","",IF(ABS(I48)&lt;=$B$9,"OK",IF($A45="Headcount","Review",IF(OR($A45="Monthly Net Burn",$A45="CAC Payback",$A45="Logo Churn Rate %"),IF(I46&lt;I45,"Favorable","Review"),IF(I46&gt;I45,"Favorable","Review")))))</f>
        <v>Review</v>
      </c>
      <c r="J49" s="395" t="str">
        <f t="shared" ref="J49" si="83">IF(J46="","",IF(ABS(J48)&lt;=$B$9,"OK",IF($A45="Headcount","Review",IF(OR($A45="Monthly Net Burn",$A45="CAC Payback",$A45="Logo Churn Rate %"),IF(J46&lt;J45,"Favorable","Review"),IF(J46&gt;J45,"Favorable","Review")))))</f>
        <v>Review</v>
      </c>
      <c r="K49" s="395" t="str">
        <f t="shared" ref="K49" si="84">IF(K46="","",IF(ABS(K48)&lt;=$B$9,"OK",IF($A45="Headcount","Review",IF(OR($A45="Monthly Net Burn",$A45="CAC Payback",$A45="Logo Churn Rate %"),IF(K46&lt;K45,"Favorable","Review"),IF(K46&gt;K45,"Favorable","Review")))))</f>
        <v>Review</v>
      </c>
      <c r="L49" s="395" t="str">
        <f t="shared" ref="L49" si="85">IF(L46="","",IF(ABS(L48)&lt;=$B$9,"OK",IF($A45="Headcount","Review",IF(OR($A45="Monthly Net Burn",$A45="CAC Payback",$A45="Logo Churn Rate %"),IF(L46&lt;L45,"Favorable","Review"),IF(L46&gt;L45,"Favorable","Review")))))</f>
        <v>Review</v>
      </c>
      <c r="M49" s="395" t="str">
        <f t="shared" ref="M49" si="86">IF(M46="","",IF(ABS(M48)&lt;=$B$9,"OK",IF($A45="Headcount","Review",IF(OR($A45="Monthly Net Burn",$A45="CAC Payback",$A45="Logo Churn Rate %"),IF(M46&lt;M45,"Favorable","Review"),IF(M46&gt;M45,"Favorable","Review")))))</f>
        <v>Review</v>
      </c>
      <c r="N49" s="395" t="str">
        <f t="shared" ref="N49" si="87">IF(N46="","",IF(ABS(N48)&lt;=$B$9,"OK",IF($A45="Headcount","Review",IF(OR($A45="Monthly Net Burn",$A45="CAC Payback",$A45="Logo Churn Rate %"),IF(N46&lt;N45,"Favorable","Review"),IF(N46&gt;N45,"Favorable","Review")))))</f>
        <v>Review</v>
      </c>
      <c r="O49" s="395" t="str">
        <f t="shared" ref="O49" si="88">IF(O46="","",IF(ABS(O48)&lt;=$B$9,"OK",IF($A45="Headcount","Review",IF(OR($A45="Monthly Net Burn",$A45="CAC Payback",$A45="Logo Churn Rate %"),IF(O46&lt;O45,"Favorable","Review"),IF(O46&gt;O45,"Favorable","Review")))))</f>
        <v>Review</v>
      </c>
      <c r="P49" s="395" t="str">
        <f t="shared" ref="P49" si="89">IF(P46="","",IF(ABS(P48)&lt;=$B$9,"OK",IF($A45="Headcount","Review",IF(OR($A45="Monthly Net Burn",$A45="CAC Payback",$A45="Logo Churn Rate %"),IF(P46&lt;P45,"Favorable","Review"),IF(P46&gt;P45,"Favorable","Review")))))</f>
        <v>Review</v>
      </c>
      <c r="Q49" s="395" t="str">
        <f t="shared" ref="Q49" si="90">IF(Q46="","",IF(ABS(Q48)&lt;=$B$9,"OK",IF($A45="Headcount","Review",IF(OR($A45="Monthly Net Burn",$A45="CAC Payback",$A45="Logo Churn Rate %"),IF(Q46&lt;Q45,"Favorable","Review"),IF(Q46&gt;Q45,"Favorable","Review")))))</f>
        <v>Review</v>
      </c>
      <c r="R49" s="395" t="str">
        <f t="shared" ref="R49" si="91">IF(R46="","",IF(ABS(R48)&lt;=$B$9,"OK",IF($A45="Headcount","Review",IF(OR($A45="Monthly Net Burn",$A45="CAC Payback",$A45="Logo Churn Rate %"),IF(R46&lt;R45,"Favorable","Review"),IF(R46&gt;R45,"Favorable","Review")))))</f>
        <v>Review</v>
      </c>
      <c r="S49" s="395" t="str">
        <f t="shared" ref="S49" si="92">IF(S46="","",IF(ABS(S48)&lt;=$B$9,"OK",IF($A45="Headcount","Review",IF(OR($A45="Monthly Net Burn",$A45="CAC Payback",$A45="Logo Churn Rate %"),IF(S46&lt;S45,"Favorable","Review"),IF(S46&gt;S45,"Favorable","Review")))))</f>
        <v>Review</v>
      </c>
      <c r="T49" s="395" t="str">
        <f t="shared" ref="T49" si="93">IF(T46="","",IF(ABS(T48)&lt;=$B$9,"OK",IF($A45="Headcount","Review",IF(OR($A45="Monthly Net Burn",$A45="CAC Payback",$A45="Logo Churn Rate %"),IF(T46&lt;T45,"Favorable","Review"),IF(T46&gt;T45,"Favorable","Review")))))</f>
        <v>Review</v>
      </c>
      <c r="U49" s="395" t="str">
        <f t="shared" ref="U49" si="94">IF(U46="","",IF(ABS(U48)&lt;=$B$9,"OK",IF($A45="Headcount","Review",IF(OR($A45="Monthly Net Burn",$A45="CAC Payback",$A45="Logo Churn Rate %"),IF(U46&lt;U45,"Favorable","Review"),IF(U46&gt;U45,"Favorable","Review")))))</f>
        <v>Review</v>
      </c>
      <c r="V49" s="395" t="str">
        <f t="shared" ref="V49" si="95">IF(V46="","",IF(ABS(V48)&lt;=$B$9,"OK",IF($A45="Headcount","Review",IF(OR($A45="Monthly Net Burn",$A45="CAC Payback",$A45="Logo Churn Rate %"),IF(V46&lt;V45,"Favorable","Review"),IF(V46&gt;V45,"Favorable","Review")))))</f>
        <v>Review</v>
      </c>
      <c r="W49" s="395" t="str">
        <f t="shared" ref="W49" si="96">IF(W46="","",IF(ABS(W48)&lt;=$B$9,"OK",IF($A45="Headcount","Review",IF(OR($A45="Monthly Net Burn",$A45="CAC Payback",$A45="Logo Churn Rate %"),IF(W46&lt;W45,"Favorable","Review"),IF(W46&gt;W45,"Favorable","Review")))))</f>
        <v>Review</v>
      </c>
      <c r="X49" s="395" t="str">
        <f t="shared" ref="X49" si="97">IF(X46="","",IF(ABS(X48)&lt;=$B$9,"OK",IF($A45="Headcount","Review",IF(OR($A45="Monthly Net Burn",$A45="CAC Payback",$A45="Logo Churn Rate %"),IF(X46&lt;X45,"Favorable","Review"),IF(X46&gt;X45,"Favorable","Review")))))</f>
        <v>Review</v>
      </c>
      <c r="Y49" s="395" t="str">
        <f t="shared" ref="Y49" si="98">IF(Y46="","",IF(ABS(Y48)&lt;=$B$9,"OK",IF($A45="Headcount","Review",IF(OR($A45="Monthly Net Burn",$A45="CAC Payback",$A45="Logo Churn Rate %"),IF(Y46&lt;Y45,"Favorable","Review"),IF(Y46&gt;Y45,"Favorable","Review")))))</f>
        <v>Review</v>
      </c>
      <c r="Z49" s="395" t="str">
        <f t="shared" ref="Z49" si="99">IF(Z46="","",IF(ABS(Z48)&lt;=$B$9,"OK",IF($A45="Headcount","Review",IF(OR($A45="Monthly Net Burn",$A45="CAC Payback",$A45="Logo Churn Rate %"),IF(Z46&lt;Z45,"Favorable","Review"),IF(Z46&gt;Z45,"Favorable","Review")))))</f>
        <v>Review</v>
      </c>
    </row>
    <row r="50" spans="1:26" s="3" customFormat="1" ht="13.2">
      <c r="A50" s="389" t="s">
        <v>790</v>
      </c>
      <c r="B50" s="390" t="s">
        <v>1239</v>
      </c>
      <c r="C50" s="391" cm="1">
        <f t="array" ref="C50">INDEX('8. Scenarios'!$B$22:$Y$31,MATCH(_xlfn.SWITCH($A50,"Total Monthly Revenue","Revenue",$A50),'8. Scenarios'!$A$22:$A$31,0),MATCH(C$39,'8. Scenarios'!$B$21:$Y$21,0))</f>
        <v>44463.3</v>
      </c>
      <c r="D50" s="391" cm="1">
        <f t="array" ref="D50">INDEX('8. Scenarios'!$B$22:$Y$31,MATCH(_xlfn.SWITCH($A50,"Total Monthly Revenue","Revenue",$A50),'8. Scenarios'!$A$22:$A$31,0),MATCH(D$39,'8. Scenarios'!$B$21:$Y$21,0))</f>
        <v>46129.371027682952</v>
      </c>
      <c r="E50" s="391" cm="1">
        <f t="array" ref="E50">INDEX('8. Scenarios'!$B$22:$Y$31,MATCH(_xlfn.SWITCH($A50,"Total Monthly Revenue","Revenue",$A50),'8. Scenarios'!$A$22:$A$31,0),MATCH(E$39,'8. Scenarios'!$B$21:$Y$21,0))</f>
        <v>47841.764196183787</v>
      </c>
      <c r="F50" s="391" cm="1">
        <f t="array" ref="F50">INDEX('8. Scenarios'!$B$22:$Y$31,MATCH(_xlfn.SWITCH($A50,"Total Monthly Revenue","Revenue",$A50),'8. Scenarios'!$A$22:$A$31,0),MATCH(F$39,'8. Scenarios'!$B$21:$Y$21,0))</f>
        <v>49636.689580722785</v>
      </c>
      <c r="G50" s="391" cm="1">
        <f t="array" ref="G50">INDEX('8. Scenarios'!$B$22:$Y$31,MATCH(_xlfn.SWITCH($A50,"Total Monthly Revenue","Revenue",$A50),'8. Scenarios'!$A$22:$A$31,0),MATCH(G$39,'8. Scenarios'!$B$21:$Y$21,0))</f>
        <v>51546.579430354774</v>
      </c>
      <c r="H50" s="391" cm="1">
        <f t="array" ref="H50">INDEX('8. Scenarios'!$B$22:$Y$31,MATCH(_xlfn.SWITCH($A50,"Total Monthly Revenue","Revenue",$A50),'8. Scenarios'!$A$22:$A$31,0),MATCH(H$39,'8. Scenarios'!$B$21:$Y$21,0))</f>
        <v>55200.286326940695</v>
      </c>
      <c r="I50" s="391" cm="1">
        <f t="array" ref="I50">INDEX('8. Scenarios'!$B$22:$Y$31,MATCH(_xlfn.SWITCH($A50,"Total Monthly Revenue","Revenue",$A50),'8. Scenarios'!$A$22:$A$31,0),MATCH(I$39,'8. Scenarios'!$B$21:$Y$21,0))</f>
        <v>59124.935869718305</v>
      </c>
      <c r="J50" s="391" cm="1">
        <f t="array" ref="J50">INDEX('8. Scenarios'!$B$22:$Y$31,MATCH(_xlfn.SWITCH($A50,"Total Monthly Revenue","Revenue",$A50),'8. Scenarios'!$A$22:$A$31,0),MATCH(J$39,'8. Scenarios'!$B$21:$Y$21,0))</f>
        <v>63355.058808947862</v>
      </c>
      <c r="K50" s="391" cm="1">
        <f t="array" ref="K50">INDEX('8. Scenarios'!$B$22:$Y$31,MATCH(_xlfn.SWITCH($A50,"Total Monthly Revenue","Revenue",$A50),'8. Scenarios'!$A$22:$A$31,0),MATCH(K$39,'8. Scenarios'!$B$21:$Y$21,0))</f>
        <v>66925.529543134457</v>
      </c>
      <c r="L50" s="391" cm="1">
        <f t="array" ref="L50">INDEX('8. Scenarios'!$B$22:$Y$31,MATCH(_xlfn.SWITCH($A50,"Total Monthly Revenue","Revenue",$A50),'8. Scenarios'!$A$22:$A$31,0),MATCH(L$39,'8. Scenarios'!$B$21:$Y$21,0))</f>
        <v>71075.594430066791</v>
      </c>
      <c r="M50" s="391" cm="1">
        <f t="array" ref="M50">INDEX('8. Scenarios'!$B$22:$Y$31,MATCH(_xlfn.SWITCH($A50,"Total Monthly Revenue","Revenue",$A50),'8. Scenarios'!$A$22:$A$31,0),MATCH(M$39,'8. Scenarios'!$B$21:$Y$21,0))</f>
        <v>75597.071680328838</v>
      </c>
      <c r="N50" s="391" cm="1">
        <f t="array" ref="N50">INDEX('8. Scenarios'!$B$22:$Y$31,MATCH(_xlfn.SWITCH($A50,"Total Monthly Revenue","Revenue",$A50),'8. Scenarios'!$A$22:$A$31,0),MATCH(N$39,'8. Scenarios'!$B$21:$Y$21,0))</f>
        <v>80528.928518802015</v>
      </c>
      <c r="O50" s="391" cm="1">
        <f t="array" ref="O50">INDEX('8. Scenarios'!$B$22:$Y$31,MATCH(_xlfn.SWITCH($A50,"Total Monthly Revenue","Revenue",$A50),'8. Scenarios'!$A$22:$A$31,0),MATCH(O$39,'8. Scenarios'!$B$21:$Y$21,0))</f>
        <v>85912.839008882307</v>
      </c>
      <c r="P50" s="391" cm="1">
        <f t="array" ref="P50">INDEX('8. Scenarios'!$B$22:$Y$31,MATCH(_xlfn.SWITCH($A50,"Total Monthly Revenue","Revenue",$A50),'8. Scenarios'!$A$22:$A$31,0),MATCH(P$39,'8. Scenarios'!$B$21:$Y$21,0))</f>
        <v>91793.63785943274</v>
      </c>
      <c r="Q50" s="391" cm="1">
        <f t="array" ref="Q50">INDEX('8. Scenarios'!$B$22:$Y$31,MATCH(_xlfn.SWITCH($A50,"Total Monthly Revenue","Revenue",$A50),'8. Scenarios'!$A$22:$A$31,0),MATCH(Q$39,'8. Scenarios'!$B$21:$Y$21,0))</f>
        <v>98219.779106721602</v>
      </c>
      <c r="R50" s="391" cm="1">
        <f t="array" ref="R50">INDEX('8. Scenarios'!$B$22:$Y$31,MATCH(_xlfn.SWITCH($A50,"Total Monthly Revenue","Revenue",$A50),'8. Scenarios'!$A$22:$A$31,0),MATCH(R$39,'8. Scenarios'!$B$21:$Y$21,0))</f>
        <v>105243.80857418811</v>
      </c>
      <c r="S50" s="391" cm="1">
        <f t="array" ref="S50">INDEX('8. Scenarios'!$B$22:$Y$31,MATCH(_xlfn.SWITCH($A50,"Total Monthly Revenue","Revenue",$A50),'8. Scenarios'!$A$22:$A$31,0),MATCH(S$39,'8. Scenarios'!$B$21:$Y$21,0))</f>
        <v>112922.85812897378</v>
      </c>
      <c r="T50" s="391" cm="1">
        <f t="array" ref="T50">INDEX('8. Scenarios'!$B$22:$Y$31,MATCH(_xlfn.SWITCH($A50,"Total Monthly Revenue","Revenue",$A50),'8. Scenarios'!$A$22:$A$31,0),MATCH(T$39,'8. Scenarios'!$B$21:$Y$21,0))</f>
        <v>121319.16915828783</v>
      </c>
      <c r="U50" s="391" cm="1">
        <f t="array" ref="U50">INDEX('8. Scenarios'!$B$22:$Y$31,MATCH(_xlfn.SWITCH($A50,"Total Monthly Revenue","Revenue",$A50),'8. Scenarios'!$A$22:$A$31,0),MATCH(U$39,'8. Scenarios'!$B$21:$Y$21,0))</f>
        <v>130500.65233034824</v>
      </c>
      <c r="V50" s="391" cm="1">
        <f t="array" ref="V50">INDEX('8. Scenarios'!$B$22:$Y$31,MATCH(_xlfn.SWITCH($A50,"Total Monthly Revenue","Revenue",$A50),'8. Scenarios'!$A$22:$A$31,0),MATCH(V$39,'8. Scenarios'!$B$21:$Y$21,0))</f>
        <v>140541.49054506194</v>
      </c>
      <c r="W50" s="391" cm="1">
        <f t="array" ref="W50">INDEX('8. Scenarios'!$B$22:$Y$31,MATCH(_xlfn.SWITCH($A50,"Total Monthly Revenue","Revenue",$A50),'8. Scenarios'!$A$22:$A$31,0),MATCH(W$39,'8. Scenarios'!$B$21:$Y$21,0))</f>
        <v>151522.79198932773</v>
      </c>
      <c r="X50" s="391" cm="1">
        <f t="array" ref="X50">INDEX('8. Scenarios'!$B$22:$Y$31,MATCH(_xlfn.SWITCH($A50,"Total Monthly Revenue","Revenue",$A50),'8. Scenarios'!$A$22:$A$31,0),MATCH(X$39,'8. Scenarios'!$B$21:$Y$21,0))</f>
        <v>163533.30036891787</v>
      </c>
      <c r="Y50" s="391" cm="1">
        <f t="array" ref="Y50">INDEX('8. Scenarios'!$B$22:$Y$31,MATCH(_xlfn.SWITCH($A50,"Total Monthly Revenue","Revenue",$A50),'8. Scenarios'!$A$22:$A$31,0),MATCH(Y$39,'8. Scenarios'!$B$21:$Y$21,0))</f>
        <v>176670.16967741554</v>
      </c>
      <c r="Z50" s="391" cm="1">
        <f t="array" ref="Z50">INDEX('8. Scenarios'!$B$22:$Y$31,MATCH(_xlfn.SWITCH($A50,"Total Monthly Revenue","Revenue",$A50),'8. Scenarios'!$A$22:$A$31,0),MATCH(Z$39,'8. Scenarios'!$B$21:$Y$21,0))</f>
        <v>191039.81127168183</v>
      </c>
    </row>
    <row r="51" spans="1:26" s="3" customFormat="1" ht="13.2">
      <c r="A51" s="389"/>
      <c r="B51" s="390" t="s">
        <v>1240</v>
      </c>
      <c r="C51" s="392">
        <f>INDEX($C$27:$Z$36,MATCH($A50,$A$27:$A$36,0),MATCH(C$39,$C$26:$Z$26,0))</f>
        <v>0</v>
      </c>
      <c r="D51" s="392">
        <f t="shared" ref="D51" si="100">INDEX($C$27:$Z$36,MATCH($A50,$A$27:$A$36,0),MATCH(D$39,$C$26:$Z$26,0))</f>
        <v>0</v>
      </c>
      <c r="E51" s="392">
        <f t="shared" ref="E51" si="101">INDEX($C$27:$Z$36,MATCH($A50,$A$27:$A$36,0),MATCH(E$39,$C$26:$Z$26,0))</f>
        <v>0</v>
      </c>
      <c r="F51" s="392">
        <f t="shared" ref="F51" si="102">INDEX($C$27:$Z$36,MATCH($A50,$A$27:$A$36,0),MATCH(F$39,$C$26:$Z$26,0))</f>
        <v>0</v>
      </c>
      <c r="G51" s="392">
        <f t="shared" ref="G51" si="103">INDEX($C$27:$Z$36,MATCH($A50,$A$27:$A$36,0),MATCH(G$39,$C$26:$Z$26,0))</f>
        <v>0</v>
      </c>
      <c r="H51" s="392">
        <f t="shared" ref="H51" si="104">INDEX($C$27:$Z$36,MATCH($A50,$A$27:$A$36,0),MATCH(H$39,$C$26:$Z$26,0))</f>
        <v>0</v>
      </c>
      <c r="I51" s="392">
        <f t="shared" ref="I51" si="105">INDEX($C$27:$Z$36,MATCH($A50,$A$27:$A$36,0),MATCH(I$39,$C$26:$Z$26,0))</f>
        <v>0</v>
      </c>
      <c r="J51" s="392">
        <f t="shared" ref="J51" si="106">INDEX($C$27:$Z$36,MATCH($A50,$A$27:$A$36,0),MATCH(J$39,$C$26:$Z$26,0))</f>
        <v>0</v>
      </c>
      <c r="K51" s="392">
        <f t="shared" ref="K51" si="107">INDEX($C$27:$Z$36,MATCH($A50,$A$27:$A$36,0),MATCH(K$39,$C$26:$Z$26,0))</f>
        <v>0</v>
      </c>
      <c r="L51" s="392">
        <f t="shared" ref="L51" si="108">INDEX($C$27:$Z$36,MATCH($A50,$A$27:$A$36,0),MATCH(L$39,$C$26:$Z$26,0))</f>
        <v>0</v>
      </c>
      <c r="M51" s="392">
        <f t="shared" ref="M51" si="109">INDEX($C$27:$Z$36,MATCH($A50,$A$27:$A$36,0),MATCH(M$39,$C$26:$Z$26,0))</f>
        <v>0</v>
      </c>
      <c r="N51" s="392">
        <f t="shared" ref="N51" si="110">INDEX($C$27:$Z$36,MATCH($A50,$A$27:$A$36,0),MATCH(N$39,$C$26:$Z$26,0))</f>
        <v>0</v>
      </c>
      <c r="O51" s="392">
        <f t="shared" ref="O51" si="111">INDEX($C$27:$Z$36,MATCH($A50,$A$27:$A$36,0),MATCH(O$39,$C$26:$Z$26,0))</f>
        <v>0</v>
      </c>
      <c r="P51" s="392">
        <f t="shared" ref="P51" si="112">INDEX($C$27:$Z$36,MATCH($A50,$A$27:$A$36,0),MATCH(P$39,$C$26:$Z$26,0))</f>
        <v>0</v>
      </c>
      <c r="Q51" s="392">
        <f t="shared" ref="Q51" si="113">INDEX($C$27:$Z$36,MATCH($A50,$A$27:$A$36,0),MATCH(Q$39,$C$26:$Z$26,0))</f>
        <v>0</v>
      </c>
      <c r="R51" s="392">
        <f t="shared" ref="R51" si="114">INDEX($C$27:$Z$36,MATCH($A50,$A$27:$A$36,0),MATCH(R$39,$C$26:$Z$26,0))</f>
        <v>0</v>
      </c>
      <c r="S51" s="392">
        <f t="shared" ref="S51" si="115">INDEX($C$27:$Z$36,MATCH($A50,$A$27:$A$36,0),MATCH(S$39,$C$26:$Z$26,0))</f>
        <v>0</v>
      </c>
      <c r="T51" s="392">
        <f t="shared" ref="T51" si="116">INDEX($C$27:$Z$36,MATCH($A50,$A$27:$A$36,0),MATCH(T$39,$C$26:$Z$26,0))</f>
        <v>0</v>
      </c>
      <c r="U51" s="392">
        <f t="shared" ref="U51" si="117">INDEX($C$27:$Z$36,MATCH($A50,$A$27:$A$36,0),MATCH(U$39,$C$26:$Z$26,0))</f>
        <v>0</v>
      </c>
      <c r="V51" s="392">
        <f t="shared" ref="V51" si="118">INDEX($C$27:$Z$36,MATCH($A50,$A$27:$A$36,0),MATCH(V$39,$C$26:$Z$26,0))</f>
        <v>0</v>
      </c>
      <c r="W51" s="392">
        <f t="shared" ref="W51" si="119">INDEX($C$27:$Z$36,MATCH($A50,$A$27:$A$36,0),MATCH(W$39,$C$26:$Z$26,0))</f>
        <v>0</v>
      </c>
      <c r="X51" s="392">
        <f t="shared" ref="X51" si="120">INDEX($C$27:$Z$36,MATCH($A50,$A$27:$A$36,0),MATCH(X$39,$C$26:$Z$26,0))</f>
        <v>0</v>
      </c>
      <c r="Y51" s="392">
        <f t="shared" ref="Y51" si="121">INDEX($C$27:$Z$36,MATCH($A50,$A$27:$A$36,0),MATCH(Y$39,$C$26:$Z$26,0))</f>
        <v>0</v>
      </c>
      <c r="Z51" s="392">
        <f t="shared" ref="Z51" si="122">INDEX($C$27:$Z$36,MATCH($A50,$A$27:$A$36,0),MATCH(Z$39,$C$26:$Z$26,0))</f>
        <v>0</v>
      </c>
    </row>
    <row r="52" spans="1:26" s="3" customFormat="1" ht="13.2">
      <c r="A52" s="389"/>
      <c r="B52" s="390" t="s">
        <v>1241</v>
      </c>
      <c r="C52" s="393">
        <f>IF(C51="","",C51-C50)</f>
        <v>-44463.3</v>
      </c>
      <c r="D52" s="393">
        <f t="shared" ref="D52" si="123">IF(D51="","",D51-D50)</f>
        <v>-46129.371027682952</v>
      </c>
      <c r="E52" s="393">
        <f t="shared" ref="E52" si="124">IF(E51="","",E51-E50)</f>
        <v>-47841.764196183787</v>
      </c>
      <c r="F52" s="393">
        <f t="shared" ref="F52" si="125">IF(F51="","",F51-F50)</f>
        <v>-49636.689580722785</v>
      </c>
      <c r="G52" s="393">
        <f t="shared" ref="G52" si="126">IF(G51="","",G51-G50)</f>
        <v>-51546.579430354774</v>
      </c>
      <c r="H52" s="393">
        <f t="shared" ref="H52" si="127">IF(H51="","",H51-H50)</f>
        <v>-55200.286326940695</v>
      </c>
      <c r="I52" s="393">
        <f t="shared" ref="I52" si="128">IF(I51="","",I51-I50)</f>
        <v>-59124.935869718305</v>
      </c>
      <c r="J52" s="393">
        <f t="shared" ref="J52" si="129">IF(J51="","",J51-J50)</f>
        <v>-63355.058808947862</v>
      </c>
      <c r="K52" s="393">
        <f t="shared" ref="K52" si="130">IF(K51="","",K51-K50)</f>
        <v>-66925.529543134457</v>
      </c>
      <c r="L52" s="393">
        <f t="shared" ref="L52" si="131">IF(L51="","",L51-L50)</f>
        <v>-71075.594430066791</v>
      </c>
      <c r="M52" s="393">
        <f t="shared" ref="M52" si="132">IF(M51="","",M51-M50)</f>
        <v>-75597.071680328838</v>
      </c>
      <c r="N52" s="393">
        <f t="shared" ref="N52" si="133">IF(N51="","",N51-N50)</f>
        <v>-80528.928518802015</v>
      </c>
      <c r="O52" s="393">
        <f t="shared" ref="O52" si="134">IF(O51="","",O51-O50)</f>
        <v>-85912.839008882307</v>
      </c>
      <c r="P52" s="393">
        <f t="shared" ref="P52" si="135">IF(P51="","",P51-P50)</f>
        <v>-91793.63785943274</v>
      </c>
      <c r="Q52" s="393">
        <f t="shared" ref="Q52" si="136">IF(Q51="","",Q51-Q50)</f>
        <v>-98219.779106721602</v>
      </c>
      <c r="R52" s="393">
        <f t="shared" ref="R52" si="137">IF(R51="","",R51-R50)</f>
        <v>-105243.80857418811</v>
      </c>
      <c r="S52" s="393">
        <f t="shared" ref="S52" si="138">IF(S51="","",S51-S50)</f>
        <v>-112922.85812897378</v>
      </c>
      <c r="T52" s="393">
        <f t="shared" ref="T52" si="139">IF(T51="","",T51-T50)</f>
        <v>-121319.16915828783</v>
      </c>
      <c r="U52" s="393">
        <f t="shared" ref="U52" si="140">IF(U51="","",U51-U50)</f>
        <v>-130500.65233034824</v>
      </c>
      <c r="V52" s="393">
        <f t="shared" ref="V52" si="141">IF(V51="","",V51-V50)</f>
        <v>-140541.49054506194</v>
      </c>
      <c r="W52" s="393">
        <f t="shared" ref="W52" si="142">IF(W51="","",W51-W50)</f>
        <v>-151522.79198932773</v>
      </c>
      <c r="X52" s="393">
        <f t="shared" ref="X52" si="143">IF(X51="","",X51-X50)</f>
        <v>-163533.30036891787</v>
      </c>
      <c r="Y52" s="393">
        <f t="shared" ref="Y52" si="144">IF(Y51="","",Y51-Y50)</f>
        <v>-176670.16967741554</v>
      </c>
      <c r="Z52" s="393">
        <f t="shared" ref="Z52" si="145">IF(Z51="","",Z51-Z50)</f>
        <v>-191039.81127168183</v>
      </c>
    </row>
    <row r="53" spans="1:26" s="3" customFormat="1" ht="13.2">
      <c r="A53" s="389"/>
      <c r="B53" s="390" t="s">
        <v>1242</v>
      </c>
      <c r="C53" s="394">
        <f>IF(C51="","",IFERROR(C52/C50,""))</f>
        <v>-1</v>
      </c>
      <c r="D53" s="394">
        <f t="shared" ref="D53" si="146">IF(D51="","",IFERROR(D52/D50,""))</f>
        <v>-1</v>
      </c>
      <c r="E53" s="394">
        <f t="shared" ref="E53" si="147">IF(E51="","",IFERROR(E52/E50,""))</f>
        <v>-1</v>
      </c>
      <c r="F53" s="394">
        <f t="shared" ref="F53" si="148">IF(F51="","",IFERROR(F52/F50,""))</f>
        <v>-1</v>
      </c>
      <c r="G53" s="394">
        <f t="shared" ref="G53" si="149">IF(G51="","",IFERROR(G52/G50,""))</f>
        <v>-1</v>
      </c>
      <c r="H53" s="394">
        <f t="shared" ref="H53" si="150">IF(H51="","",IFERROR(H52/H50,""))</f>
        <v>-1</v>
      </c>
      <c r="I53" s="394">
        <f t="shared" ref="I53" si="151">IF(I51="","",IFERROR(I52/I50,""))</f>
        <v>-1</v>
      </c>
      <c r="J53" s="394">
        <f t="shared" ref="J53" si="152">IF(J51="","",IFERROR(J52/J50,""))</f>
        <v>-1</v>
      </c>
      <c r="K53" s="394">
        <f t="shared" ref="K53" si="153">IF(K51="","",IFERROR(K52/K50,""))</f>
        <v>-1</v>
      </c>
      <c r="L53" s="394">
        <f t="shared" ref="L53" si="154">IF(L51="","",IFERROR(L52/L50,""))</f>
        <v>-1</v>
      </c>
      <c r="M53" s="394">
        <f t="shared" ref="M53" si="155">IF(M51="","",IFERROR(M52/M50,""))</f>
        <v>-1</v>
      </c>
      <c r="N53" s="394">
        <f t="shared" ref="N53" si="156">IF(N51="","",IFERROR(N52/N50,""))</f>
        <v>-1</v>
      </c>
      <c r="O53" s="394">
        <f t="shared" ref="O53" si="157">IF(O51="","",IFERROR(O52/O50,""))</f>
        <v>-1</v>
      </c>
      <c r="P53" s="394">
        <f t="shared" ref="P53" si="158">IF(P51="","",IFERROR(P52/P50,""))</f>
        <v>-1</v>
      </c>
      <c r="Q53" s="394">
        <f t="shared" ref="Q53" si="159">IF(Q51="","",IFERROR(Q52/Q50,""))</f>
        <v>-1</v>
      </c>
      <c r="R53" s="394">
        <f t="shared" ref="R53" si="160">IF(R51="","",IFERROR(R52/R50,""))</f>
        <v>-1</v>
      </c>
      <c r="S53" s="394">
        <f t="shared" ref="S53" si="161">IF(S51="","",IFERROR(S52/S50,""))</f>
        <v>-1</v>
      </c>
      <c r="T53" s="394">
        <f t="shared" ref="T53" si="162">IF(T51="","",IFERROR(T52/T50,""))</f>
        <v>-1</v>
      </c>
      <c r="U53" s="394">
        <f t="shared" ref="U53" si="163">IF(U51="","",IFERROR(U52/U50,""))</f>
        <v>-1</v>
      </c>
      <c r="V53" s="394">
        <f t="shared" ref="V53" si="164">IF(V51="","",IFERROR(V52/V50,""))</f>
        <v>-1</v>
      </c>
      <c r="W53" s="394">
        <f t="shared" ref="W53" si="165">IF(W51="","",IFERROR(W52/W50,""))</f>
        <v>-1</v>
      </c>
      <c r="X53" s="394">
        <f t="shared" ref="X53" si="166">IF(X51="","",IFERROR(X52/X50,""))</f>
        <v>-1</v>
      </c>
      <c r="Y53" s="394">
        <f t="shared" ref="Y53" si="167">IF(Y51="","",IFERROR(Y52/Y50,""))</f>
        <v>-1</v>
      </c>
      <c r="Z53" s="394">
        <f t="shared" ref="Z53" si="168">IF(Z51="","",IFERROR(Z52/Z50,""))</f>
        <v>-1</v>
      </c>
    </row>
    <row r="54" spans="1:26" s="3" customFormat="1" ht="13.2">
      <c r="A54" s="389"/>
      <c r="B54" s="390" t="s">
        <v>1243</v>
      </c>
      <c r="C54" s="395" t="str">
        <f>IF(C51="","",IF(ABS(C53)&lt;=$B$9,"OK",IF($A50="Headcount","Review",IF(OR($A50="Monthly Net Burn",$A50="CAC Payback",$A50="Logo Churn Rate %"),IF(C51&lt;C50,"Favorable","Review"),IF(C51&gt;C50,"Favorable","Review")))))</f>
        <v>Review</v>
      </c>
      <c r="D54" s="395" t="str">
        <f t="shared" ref="D54" si="169">IF(D51="","",IF(ABS(D53)&lt;=$B$9,"OK",IF($A50="Headcount","Review",IF(OR($A50="Monthly Net Burn",$A50="CAC Payback",$A50="Logo Churn Rate %"),IF(D51&lt;D50,"Favorable","Review"),IF(D51&gt;D50,"Favorable","Review")))))</f>
        <v>Review</v>
      </c>
      <c r="E54" s="395" t="str">
        <f t="shared" ref="E54" si="170">IF(E51="","",IF(ABS(E53)&lt;=$B$9,"OK",IF($A50="Headcount","Review",IF(OR($A50="Monthly Net Burn",$A50="CAC Payback",$A50="Logo Churn Rate %"),IF(E51&lt;E50,"Favorable","Review"),IF(E51&gt;E50,"Favorable","Review")))))</f>
        <v>Review</v>
      </c>
      <c r="F54" s="395" t="str">
        <f t="shared" ref="F54" si="171">IF(F51="","",IF(ABS(F53)&lt;=$B$9,"OK",IF($A50="Headcount","Review",IF(OR($A50="Monthly Net Burn",$A50="CAC Payback",$A50="Logo Churn Rate %"),IF(F51&lt;F50,"Favorable","Review"),IF(F51&gt;F50,"Favorable","Review")))))</f>
        <v>Review</v>
      </c>
      <c r="G54" s="395" t="str">
        <f t="shared" ref="G54" si="172">IF(G51="","",IF(ABS(G53)&lt;=$B$9,"OK",IF($A50="Headcount","Review",IF(OR($A50="Monthly Net Burn",$A50="CAC Payback",$A50="Logo Churn Rate %"),IF(G51&lt;G50,"Favorable","Review"),IF(G51&gt;G50,"Favorable","Review")))))</f>
        <v>Review</v>
      </c>
      <c r="H54" s="395" t="str">
        <f t="shared" ref="H54" si="173">IF(H51="","",IF(ABS(H53)&lt;=$B$9,"OK",IF($A50="Headcount","Review",IF(OR($A50="Monthly Net Burn",$A50="CAC Payback",$A50="Logo Churn Rate %"),IF(H51&lt;H50,"Favorable","Review"),IF(H51&gt;H50,"Favorable","Review")))))</f>
        <v>Review</v>
      </c>
      <c r="I54" s="395" t="str">
        <f t="shared" ref="I54" si="174">IF(I51="","",IF(ABS(I53)&lt;=$B$9,"OK",IF($A50="Headcount","Review",IF(OR($A50="Monthly Net Burn",$A50="CAC Payback",$A50="Logo Churn Rate %"),IF(I51&lt;I50,"Favorable","Review"),IF(I51&gt;I50,"Favorable","Review")))))</f>
        <v>Review</v>
      </c>
      <c r="J54" s="395" t="str">
        <f t="shared" ref="J54" si="175">IF(J51="","",IF(ABS(J53)&lt;=$B$9,"OK",IF($A50="Headcount","Review",IF(OR($A50="Monthly Net Burn",$A50="CAC Payback",$A50="Logo Churn Rate %"),IF(J51&lt;J50,"Favorable","Review"),IF(J51&gt;J50,"Favorable","Review")))))</f>
        <v>Review</v>
      </c>
      <c r="K54" s="395" t="str">
        <f t="shared" ref="K54" si="176">IF(K51="","",IF(ABS(K53)&lt;=$B$9,"OK",IF($A50="Headcount","Review",IF(OR($A50="Monthly Net Burn",$A50="CAC Payback",$A50="Logo Churn Rate %"),IF(K51&lt;K50,"Favorable","Review"),IF(K51&gt;K50,"Favorable","Review")))))</f>
        <v>Review</v>
      </c>
      <c r="L54" s="395" t="str">
        <f t="shared" ref="L54" si="177">IF(L51="","",IF(ABS(L53)&lt;=$B$9,"OK",IF($A50="Headcount","Review",IF(OR($A50="Monthly Net Burn",$A50="CAC Payback",$A50="Logo Churn Rate %"),IF(L51&lt;L50,"Favorable","Review"),IF(L51&gt;L50,"Favorable","Review")))))</f>
        <v>Review</v>
      </c>
      <c r="M54" s="395" t="str">
        <f t="shared" ref="M54" si="178">IF(M51="","",IF(ABS(M53)&lt;=$B$9,"OK",IF($A50="Headcount","Review",IF(OR($A50="Monthly Net Burn",$A50="CAC Payback",$A50="Logo Churn Rate %"),IF(M51&lt;M50,"Favorable","Review"),IF(M51&gt;M50,"Favorable","Review")))))</f>
        <v>Review</v>
      </c>
      <c r="N54" s="395" t="str">
        <f t="shared" ref="N54" si="179">IF(N51="","",IF(ABS(N53)&lt;=$B$9,"OK",IF($A50="Headcount","Review",IF(OR($A50="Monthly Net Burn",$A50="CAC Payback",$A50="Logo Churn Rate %"),IF(N51&lt;N50,"Favorable","Review"),IF(N51&gt;N50,"Favorable","Review")))))</f>
        <v>Review</v>
      </c>
      <c r="O54" s="395" t="str">
        <f t="shared" ref="O54" si="180">IF(O51="","",IF(ABS(O53)&lt;=$B$9,"OK",IF($A50="Headcount","Review",IF(OR($A50="Monthly Net Burn",$A50="CAC Payback",$A50="Logo Churn Rate %"),IF(O51&lt;O50,"Favorable","Review"),IF(O51&gt;O50,"Favorable","Review")))))</f>
        <v>Review</v>
      </c>
      <c r="P54" s="395" t="str">
        <f t="shared" ref="P54" si="181">IF(P51="","",IF(ABS(P53)&lt;=$B$9,"OK",IF($A50="Headcount","Review",IF(OR($A50="Monthly Net Burn",$A50="CAC Payback",$A50="Logo Churn Rate %"),IF(P51&lt;P50,"Favorable","Review"),IF(P51&gt;P50,"Favorable","Review")))))</f>
        <v>Review</v>
      </c>
      <c r="Q54" s="395" t="str">
        <f t="shared" ref="Q54" si="182">IF(Q51="","",IF(ABS(Q53)&lt;=$B$9,"OK",IF($A50="Headcount","Review",IF(OR($A50="Monthly Net Burn",$A50="CAC Payback",$A50="Logo Churn Rate %"),IF(Q51&lt;Q50,"Favorable","Review"),IF(Q51&gt;Q50,"Favorable","Review")))))</f>
        <v>Review</v>
      </c>
      <c r="R54" s="395" t="str">
        <f t="shared" ref="R54" si="183">IF(R51="","",IF(ABS(R53)&lt;=$B$9,"OK",IF($A50="Headcount","Review",IF(OR($A50="Monthly Net Burn",$A50="CAC Payback",$A50="Logo Churn Rate %"),IF(R51&lt;R50,"Favorable","Review"),IF(R51&gt;R50,"Favorable","Review")))))</f>
        <v>Review</v>
      </c>
      <c r="S54" s="395" t="str">
        <f t="shared" ref="S54" si="184">IF(S51="","",IF(ABS(S53)&lt;=$B$9,"OK",IF($A50="Headcount","Review",IF(OR($A50="Monthly Net Burn",$A50="CAC Payback",$A50="Logo Churn Rate %"),IF(S51&lt;S50,"Favorable","Review"),IF(S51&gt;S50,"Favorable","Review")))))</f>
        <v>Review</v>
      </c>
      <c r="T54" s="395" t="str">
        <f t="shared" ref="T54" si="185">IF(T51="","",IF(ABS(T53)&lt;=$B$9,"OK",IF($A50="Headcount","Review",IF(OR($A50="Monthly Net Burn",$A50="CAC Payback",$A50="Logo Churn Rate %"),IF(T51&lt;T50,"Favorable","Review"),IF(T51&gt;T50,"Favorable","Review")))))</f>
        <v>Review</v>
      </c>
      <c r="U54" s="395" t="str">
        <f t="shared" ref="U54" si="186">IF(U51="","",IF(ABS(U53)&lt;=$B$9,"OK",IF($A50="Headcount","Review",IF(OR($A50="Monthly Net Burn",$A50="CAC Payback",$A50="Logo Churn Rate %"),IF(U51&lt;U50,"Favorable","Review"),IF(U51&gt;U50,"Favorable","Review")))))</f>
        <v>Review</v>
      </c>
      <c r="V54" s="395" t="str">
        <f t="shared" ref="V54" si="187">IF(V51="","",IF(ABS(V53)&lt;=$B$9,"OK",IF($A50="Headcount","Review",IF(OR($A50="Monthly Net Burn",$A50="CAC Payback",$A50="Logo Churn Rate %"),IF(V51&lt;V50,"Favorable","Review"),IF(V51&gt;V50,"Favorable","Review")))))</f>
        <v>Review</v>
      </c>
      <c r="W54" s="395" t="str">
        <f t="shared" ref="W54" si="188">IF(W51="","",IF(ABS(W53)&lt;=$B$9,"OK",IF($A50="Headcount","Review",IF(OR($A50="Monthly Net Burn",$A50="CAC Payback",$A50="Logo Churn Rate %"),IF(W51&lt;W50,"Favorable","Review"),IF(W51&gt;W50,"Favorable","Review")))))</f>
        <v>Review</v>
      </c>
      <c r="X54" s="395" t="str">
        <f t="shared" ref="X54" si="189">IF(X51="","",IF(ABS(X53)&lt;=$B$9,"OK",IF($A50="Headcount","Review",IF(OR($A50="Monthly Net Burn",$A50="CAC Payback",$A50="Logo Churn Rate %"),IF(X51&lt;X50,"Favorable","Review"),IF(X51&gt;X50,"Favorable","Review")))))</f>
        <v>Review</v>
      </c>
      <c r="Y54" s="395" t="str">
        <f t="shared" ref="Y54" si="190">IF(Y51="","",IF(ABS(Y53)&lt;=$B$9,"OK",IF($A50="Headcount","Review",IF(OR($A50="Monthly Net Burn",$A50="CAC Payback",$A50="Logo Churn Rate %"),IF(Y51&lt;Y50,"Favorable","Review"),IF(Y51&gt;Y50,"Favorable","Review")))))</f>
        <v>Review</v>
      </c>
      <c r="Z54" s="395" t="str">
        <f t="shared" ref="Z54" si="191">IF(Z51="","",IF(ABS(Z53)&lt;=$B$9,"OK",IF($A50="Headcount","Review",IF(OR($A50="Monthly Net Burn",$A50="CAC Payback",$A50="Logo Churn Rate %"),IF(Z51&lt;Z50,"Favorable","Review"),IF(Z51&gt;Z50,"Favorable","Review")))))</f>
        <v>Review</v>
      </c>
    </row>
    <row r="55" spans="1:26" s="3" customFormat="1" ht="13.2">
      <c r="A55" s="389" t="s">
        <v>936</v>
      </c>
      <c r="B55" s="390" t="s">
        <v>1239</v>
      </c>
      <c r="C55" s="396" cm="1">
        <f t="array" ref="C55">INDEX('8. Scenarios'!$B$22:$Y$31,MATCH(_xlfn.SWITCH($A55,"Total Monthly Revenue","Revenue",$A55),'8. Scenarios'!$A$22:$A$31,0),MATCH(C$39,'8. Scenarios'!$B$21:$Y$21,0))</f>
        <v>0.81985908490822779</v>
      </c>
      <c r="D55" s="396" cm="1">
        <f t="array" ref="D55">INDEX('8. Scenarios'!$B$22:$Y$31,MATCH(_xlfn.SWITCH($A55,"Total Monthly Revenue","Revenue",$A55),'8. Scenarios'!$A$22:$A$31,0),MATCH(D$39,'8. Scenarios'!$B$21:$Y$21,0))</f>
        <v>0.82012327456166512</v>
      </c>
      <c r="E55" s="396" cm="1">
        <f t="array" ref="E55">INDEX('8. Scenarios'!$B$22:$Y$31,MATCH(_xlfn.SWITCH($A55,"Total Monthly Revenue","Revenue",$A55),'8. Scenarios'!$A$22:$A$31,0),MATCH(E$39,'8. Scenarios'!$B$21:$Y$21,0))</f>
        <v>0.82048996233543603</v>
      </c>
      <c r="F55" s="396" cm="1">
        <f t="array" ref="F55">INDEX('8. Scenarios'!$B$22:$Y$31,MATCH(_xlfn.SWITCH($A55,"Total Monthly Revenue","Revenue",$A55),'8. Scenarios'!$A$22:$A$31,0),MATCH(F$39,'8. Scenarios'!$B$21:$Y$21,0))</f>
        <v>0.82092287250609863</v>
      </c>
      <c r="G55" s="396" cm="1">
        <f t="array" ref="G55">INDEX('8. Scenarios'!$B$22:$Y$31,MATCH(_xlfn.SWITCH($A55,"Total Monthly Revenue","Revenue",$A55),'8. Scenarios'!$A$22:$A$31,0),MATCH(G$39,'8. Scenarios'!$B$21:$Y$21,0))</f>
        <v>0.82139574493609535</v>
      </c>
      <c r="H55" s="396" cm="1">
        <f t="array" ref="H55">INDEX('8. Scenarios'!$B$22:$Y$31,MATCH(_xlfn.SWITCH($A55,"Total Monthly Revenue","Revenue",$A55),'8. Scenarios'!$A$22:$A$31,0),MATCH(H$39,'8. Scenarios'!$B$21:$Y$21,0))</f>
        <v>0.81963945450971321</v>
      </c>
      <c r="I55" s="396" cm="1">
        <f t="array" ref="I55">INDEX('8. Scenarios'!$B$22:$Y$31,MATCH(_xlfn.SWITCH($A55,"Total Monthly Revenue","Revenue",$A55),'8. Scenarios'!$A$22:$A$31,0),MATCH(I$39,'8. Scenarios'!$B$21:$Y$21,0))</f>
        <v>0.8179735679524891</v>
      </c>
      <c r="J55" s="396" cm="1">
        <f t="array" ref="J55">INDEX('8. Scenarios'!$B$22:$Y$31,MATCH(_xlfn.SWITCH($A55,"Total Monthly Revenue","Revenue",$A55),'8. Scenarios'!$A$22:$A$31,0),MATCH(J$39,'8. Scenarios'!$B$21:$Y$21,0))</f>
        <v>0.67959487440738942</v>
      </c>
      <c r="K55" s="396" cm="1">
        <f t="array" ref="K55">INDEX('8. Scenarios'!$B$22:$Y$31,MATCH(_xlfn.SWITCH($A55,"Total Monthly Revenue","Revenue",$A55),'8. Scenarios'!$A$22:$A$31,0),MATCH(K$39,'8. Scenarios'!$B$21:$Y$21,0))</f>
        <v>0.68859868723125639</v>
      </c>
      <c r="L55" s="396" cm="1">
        <f t="array" ref="L55">INDEX('8. Scenarios'!$B$22:$Y$31,MATCH(_xlfn.SWITCH($A55,"Total Monthly Revenue","Revenue",$A55),'8. Scenarios'!$A$22:$A$31,0),MATCH(L$39,'8. Scenarios'!$B$21:$Y$21,0))</f>
        <v>0.69725960350791172</v>
      </c>
      <c r="M55" s="396" cm="1">
        <f t="array" ref="M55">INDEX('8. Scenarios'!$B$22:$Y$31,MATCH(_xlfn.SWITCH($A55,"Total Monthly Revenue","Revenue",$A55),'8. Scenarios'!$A$22:$A$31,0),MATCH(M$39,'8. Scenarios'!$B$21:$Y$21,0))</f>
        <v>0.70557351776589405</v>
      </c>
      <c r="N55" s="396" cm="1">
        <f t="array" ref="N55">INDEX('8. Scenarios'!$B$22:$Y$31,MATCH(_xlfn.SWITCH($A55,"Total Monthly Revenue","Revenue",$A55),'8. Scenarios'!$A$22:$A$31,0),MATCH(N$39,'8. Scenarios'!$B$21:$Y$21,0))</f>
        <v>0.71353775911037398</v>
      </c>
      <c r="O55" s="396" cm="1">
        <f t="array" ref="O55">INDEX('8. Scenarios'!$B$22:$Y$31,MATCH(_xlfn.SWITCH($A55,"Total Monthly Revenue","Revenue",$A55),'8. Scenarios'!$A$22:$A$31,0),MATCH(O$39,'8. Scenarios'!$B$21:$Y$21,0))</f>
        <v>0.72114943615728833</v>
      </c>
      <c r="P55" s="396" cm="1">
        <f t="array" ref="P55">INDEX('8. Scenarios'!$B$22:$Y$31,MATCH(_xlfn.SWITCH($A55,"Total Monthly Revenue","Revenue",$A55),'8. Scenarios'!$A$22:$A$31,0),MATCH(P$39,'8. Scenarios'!$B$21:$Y$21,0))</f>
        <v>0.72840650935195994</v>
      </c>
      <c r="Q55" s="396" cm="1">
        <f t="array" ref="Q55">INDEX('8. Scenarios'!$B$22:$Y$31,MATCH(_xlfn.SWITCH($A55,"Total Monthly Revenue","Revenue",$A55),'8. Scenarios'!$A$22:$A$31,0),MATCH(Q$39,'8. Scenarios'!$B$21:$Y$21,0))</f>
        <v>0.73530846509945214</v>
      </c>
      <c r="R55" s="396" cm="1">
        <f t="array" ref="R55">INDEX('8. Scenarios'!$B$22:$Y$31,MATCH(_xlfn.SWITCH($A55,"Total Monthly Revenue","Revenue",$A55),'8. Scenarios'!$A$22:$A$31,0),MATCH(R$39,'8. Scenarios'!$B$21:$Y$21,0))</f>
        <v>0.65950822240294249</v>
      </c>
      <c r="S55" s="396" cm="1">
        <f t="array" ref="S55">INDEX('8. Scenarios'!$B$22:$Y$31,MATCH(_xlfn.SWITCH($A55,"Total Monthly Revenue","Revenue",$A55),'8. Scenarios'!$A$22:$A$31,0),MATCH(S$39,'8. Scenarios'!$B$21:$Y$21,0))</f>
        <v>0.67130608439668193</v>
      </c>
      <c r="T55" s="396" cm="1">
        <f t="array" ref="T55">INDEX('8. Scenarios'!$B$22:$Y$31,MATCH(_xlfn.SWITCH($A55,"Total Monthly Revenue","Revenue",$A55),'8. Scenarios'!$A$22:$A$31,0),MATCH(T$39,'8. Scenarios'!$B$21:$Y$21,0))</f>
        <v>0.6824709188534831</v>
      </c>
      <c r="U55" s="396" cm="1">
        <f t="array" ref="U55">INDEX('8. Scenarios'!$B$22:$Y$31,MATCH(_xlfn.SWITCH($A55,"Total Monthly Revenue","Revenue",$A55),'8. Scenarios'!$A$22:$A$31,0),MATCH(U$39,'8. Scenarios'!$B$21:$Y$21,0))</f>
        <v>0.6930128079901503</v>
      </c>
      <c r="V55" s="396" cm="1">
        <f t="array" ref="V55">INDEX('8. Scenarios'!$B$22:$Y$31,MATCH(_xlfn.SWITCH($A55,"Total Monthly Revenue","Revenue",$A55),'8. Scenarios'!$A$22:$A$31,0),MATCH(V$39,'8. Scenarios'!$B$21:$Y$21,0))</f>
        <v>0.70294528161623926</v>
      </c>
      <c r="W55" s="396" cm="1">
        <f t="array" ref="W55">INDEX('8. Scenarios'!$B$22:$Y$31,MATCH(_xlfn.SWITCH($A55,"Total Monthly Revenue","Revenue",$A55),'8. Scenarios'!$A$22:$A$31,0),MATCH(W$39,'8. Scenarios'!$B$21:$Y$21,0))</f>
        <v>0.71228493722424824</v>
      </c>
      <c r="X55" s="396" cm="1">
        <f t="array" ref="X55">INDEX('8. Scenarios'!$B$22:$Y$31,MATCH(_xlfn.SWITCH($A55,"Total Monthly Revenue","Revenue",$A55),'8. Scenarios'!$A$22:$A$31,0),MATCH(X$39,'8. Scenarios'!$B$21:$Y$21,0))</f>
        <v>0.72105100317048632</v>
      </c>
      <c r="Y55" s="396" cm="1">
        <f t="array" ref="Y55">INDEX('8. Scenarios'!$B$22:$Y$31,MATCH(_xlfn.SWITCH($A55,"Total Monthly Revenue","Revenue",$A55),'8. Scenarios'!$A$22:$A$31,0),MATCH(Y$39,'8. Scenarios'!$B$21:$Y$21,0))</f>
        <v>0.72926487897986281</v>
      </c>
      <c r="Z55" s="396" cm="1">
        <f t="array" ref="Z55">INDEX('8. Scenarios'!$B$22:$Y$31,MATCH(_xlfn.SWITCH($A55,"Total Monthly Revenue","Revenue",$A55),'8. Scenarios'!$A$22:$A$31,0),MATCH(Z$39,'8. Scenarios'!$B$21:$Y$21,0))</f>
        <v>0.73694967780662013</v>
      </c>
    </row>
    <row r="56" spans="1:26" s="3" customFormat="1" ht="13.2">
      <c r="A56" s="389"/>
      <c r="B56" s="390" t="s">
        <v>1240</v>
      </c>
      <c r="C56" s="397">
        <f>INDEX($C$27:$Z$36,MATCH($A55,$A$27:$A$36,0),MATCH(C$39,$C$26:$Z$26,0))</f>
        <v>0</v>
      </c>
      <c r="D56" s="397">
        <f t="shared" ref="D56:Z56" si="192">INDEX($C$27:$Z$36,MATCH($A55,$A$27:$A$36,0),MATCH(D$39,$C$26:$Z$26,0))</f>
        <v>0</v>
      </c>
      <c r="E56" s="397">
        <f t="shared" si="192"/>
        <v>0</v>
      </c>
      <c r="F56" s="397">
        <f t="shared" si="192"/>
        <v>0</v>
      </c>
      <c r="G56" s="397">
        <f t="shared" si="192"/>
        <v>0</v>
      </c>
      <c r="H56" s="397">
        <f t="shared" si="192"/>
        <v>0</v>
      </c>
      <c r="I56" s="397">
        <f t="shared" si="192"/>
        <v>0</v>
      </c>
      <c r="J56" s="397">
        <f t="shared" si="192"/>
        <v>0</v>
      </c>
      <c r="K56" s="397">
        <f t="shared" si="192"/>
        <v>0</v>
      </c>
      <c r="L56" s="397">
        <f t="shared" si="192"/>
        <v>0</v>
      </c>
      <c r="M56" s="397">
        <f t="shared" si="192"/>
        <v>0</v>
      </c>
      <c r="N56" s="397">
        <f t="shared" si="192"/>
        <v>0</v>
      </c>
      <c r="O56" s="397">
        <f t="shared" si="192"/>
        <v>0</v>
      </c>
      <c r="P56" s="397">
        <f t="shared" si="192"/>
        <v>0</v>
      </c>
      <c r="Q56" s="397">
        <f t="shared" si="192"/>
        <v>0</v>
      </c>
      <c r="R56" s="397">
        <f t="shared" si="192"/>
        <v>0</v>
      </c>
      <c r="S56" s="397">
        <f t="shared" si="192"/>
        <v>0</v>
      </c>
      <c r="T56" s="397">
        <f t="shared" si="192"/>
        <v>0</v>
      </c>
      <c r="U56" s="397">
        <f t="shared" si="192"/>
        <v>0</v>
      </c>
      <c r="V56" s="397">
        <f t="shared" si="192"/>
        <v>0</v>
      </c>
      <c r="W56" s="397">
        <f t="shared" si="192"/>
        <v>0</v>
      </c>
      <c r="X56" s="397">
        <f t="shared" si="192"/>
        <v>0</v>
      </c>
      <c r="Y56" s="397">
        <f t="shared" si="192"/>
        <v>0</v>
      </c>
      <c r="Z56" s="397">
        <f t="shared" si="192"/>
        <v>0</v>
      </c>
    </row>
    <row r="57" spans="1:26" s="3" customFormat="1" ht="13.2">
      <c r="A57" s="389"/>
      <c r="B57" s="390" t="s">
        <v>1241</v>
      </c>
      <c r="C57" s="398">
        <f>IF(C56="","",C56-C55)</f>
        <v>-0.81985908490822779</v>
      </c>
      <c r="D57" s="398">
        <f t="shared" ref="D57:Z57" si="193">IF(D56="","",D56-D55)</f>
        <v>-0.82012327456166512</v>
      </c>
      <c r="E57" s="398">
        <f t="shared" si="193"/>
        <v>-0.82048996233543603</v>
      </c>
      <c r="F57" s="398">
        <f t="shared" si="193"/>
        <v>-0.82092287250609863</v>
      </c>
      <c r="G57" s="398">
        <f t="shared" si="193"/>
        <v>-0.82139574493609535</v>
      </c>
      <c r="H57" s="398">
        <f t="shared" si="193"/>
        <v>-0.81963945450971321</v>
      </c>
      <c r="I57" s="398">
        <f t="shared" si="193"/>
        <v>-0.8179735679524891</v>
      </c>
      <c r="J57" s="398">
        <f t="shared" si="193"/>
        <v>-0.67959487440738942</v>
      </c>
      <c r="K57" s="398">
        <f t="shared" si="193"/>
        <v>-0.68859868723125639</v>
      </c>
      <c r="L57" s="398">
        <f t="shared" si="193"/>
        <v>-0.69725960350791172</v>
      </c>
      <c r="M57" s="398">
        <f t="shared" si="193"/>
        <v>-0.70557351776589405</v>
      </c>
      <c r="N57" s="398">
        <f t="shared" si="193"/>
        <v>-0.71353775911037398</v>
      </c>
      <c r="O57" s="398">
        <f t="shared" si="193"/>
        <v>-0.72114943615728833</v>
      </c>
      <c r="P57" s="398">
        <f t="shared" si="193"/>
        <v>-0.72840650935195994</v>
      </c>
      <c r="Q57" s="398">
        <f t="shared" si="193"/>
        <v>-0.73530846509945214</v>
      </c>
      <c r="R57" s="398">
        <f t="shared" si="193"/>
        <v>-0.65950822240294249</v>
      </c>
      <c r="S57" s="398">
        <f t="shared" si="193"/>
        <v>-0.67130608439668193</v>
      </c>
      <c r="T57" s="398">
        <f t="shared" si="193"/>
        <v>-0.6824709188534831</v>
      </c>
      <c r="U57" s="398">
        <f t="shared" si="193"/>
        <v>-0.6930128079901503</v>
      </c>
      <c r="V57" s="398">
        <f t="shared" si="193"/>
        <v>-0.70294528161623926</v>
      </c>
      <c r="W57" s="398">
        <f t="shared" si="193"/>
        <v>-0.71228493722424824</v>
      </c>
      <c r="X57" s="398">
        <f t="shared" si="193"/>
        <v>-0.72105100317048632</v>
      </c>
      <c r="Y57" s="398">
        <f t="shared" si="193"/>
        <v>-0.72926487897986281</v>
      </c>
      <c r="Z57" s="398">
        <f t="shared" si="193"/>
        <v>-0.73694967780662013</v>
      </c>
    </row>
    <row r="58" spans="1:26" s="3" customFormat="1" ht="13.2">
      <c r="A58" s="389"/>
      <c r="B58" s="390" t="s">
        <v>1242</v>
      </c>
      <c r="C58" s="394">
        <f>IF(C56="","",IFERROR(C57/C55,""))</f>
        <v>-1</v>
      </c>
      <c r="D58" s="394">
        <f t="shared" ref="D58" si="194">IF(D56="","",IFERROR(D57/D55,""))</f>
        <v>-1</v>
      </c>
      <c r="E58" s="394">
        <f t="shared" ref="E58" si="195">IF(E56="","",IFERROR(E57/E55,""))</f>
        <v>-1</v>
      </c>
      <c r="F58" s="394">
        <f t="shared" ref="F58" si="196">IF(F56="","",IFERROR(F57/F55,""))</f>
        <v>-1</v>
      </c>
      <c r="G58" s="394">
        <f t="shared" ref="G58" si="197">IF(G56="","",IFERROR(G57/G55,""))</f>
        <v>-1</v>
      </c>
      <c r="H58" s="394">
        <f t="shared" ref="H58" si="198">IF(H56="","",IFERROR(H57/H55,""))</f>
        <v>-1</v>
      </c>
      <c r="I58" s="394">
        <f t="shared" ref="I58" si="199">IF(I56="","",IFERROR(I57/I55,""))</f>
        <v>-1</v>
      </c>
      <c r="J58" s="394">
        <f t="shared" ref="J58" si="200">IF(J56="","",IFERROR(J57/J55,""))</f>
        <v>-1</v>
      </c>
      <c r="K58" s="394">
        <f t="shared" ref="K58" si="201">IF(K56="","",IFERROR(K57/K55,""))</f>
        <v>-1</v>
      </c>
      <c r="L58" s="394">
        <f t="shared" ref="L58" si="202">IF(L56="","",IFERROR(L57/L55,""))</f>
        <v>-1</v>
      </c>
      <c r="M58" s="394">
        <f t="shared" ref="M58" si="203">IF(M56="","",IFERROR(M57/M55,""))</f>
        <v>-1</v>
      </c>
      <c r="N58" s="394">
        <f t="shared" ref="N58" si="204">IF(N56="","",IFERROR(N57/N55,""))</f>
        <v>-1</v>
      </c>
      <c r="O58" s="394">
        <f t="shared" ref="O58" si="205">IF(O56="","",IFERROR(O57/O55,""))</f>
        <v>-1</v>
      </c>
      <c r="P58" s="394">
        <f t="shared" ref="P58" si="206">IF(P56="","",IFERROR(P57/P55,""))</f>
        <v>-1</v>
      </c>
      <c r="Q58" s="394">
        <f t="shared" ref="Q58" si="207">IF(Q56="","",IFERROR(Q57/Q55,""))</f>
        <v>-1</v>
      </c>
      <c r="R58" s="394">
        <f t="shared" ref="R58" si="208">IF(R56="","",IFERROR(R57/R55,""))</f>
        <v>-1</v>
      </c>
      <c r="S58" s="394">
        <f t="shared" ref="S58" si="209">IF(S56="","",IFERROR(S57/S55,""))</f>
        <v>-1</v>
      </c>
      <c r="T58" s="394">
        <f t="shared" ref="T58" si="210">IF(T56="","",IFERROR(T57/T55,""))</f>
        <v>-1</v>
      </c>
      <c r="U58" s="394">
        <f t="shared" ref="U58" si="211">IF(U56="","",IFERROR(U57/U55,""))</f>
        <v>-1</v>
      </c>
      <c r="V58" s="394">
        <f t="shared" ref="V58" si="212">IF(V56="","",IFERROR(V57/V55,""))</f>
        <v>-1</v>
      </c>
      <c r="W58" s="394">
        <f t="shared" ref="W58" si="213">IF(W56="","",IFERROR(W57/W55,""))</f>
        <v>-1</v>
      </c>
      <c r="X58" s="394">
        <f t="shared" ref="X58" si="214">IF(X56="","",IFERROR(X57/X55,""))</f>
        <v>-1</v>
      </c>
      <c r="Y58" s="394">
        <f t="shared" ref="Y58" si="215">IF(Y56="","",IFERROR(Y57/Y55,""))</f>
        <v>-1</v>
      </c>
      <c r="Z58" s="394">
        <f t="shared" ref="Z58" si="216">IF(Z56="","",IFERROR(Z57/Z55,""))</f>
        <v>-1</v>
      </c>
    </row>
    <row r="59" spans="1:26" s="3" customFormat="1" ht="13.2">
      <c r="A59" s="389"/>
      <c r="B59" s="390" t="s">
        <v>1243</v>
      </c>
      <c r="C59" s="395" t="str">
        <f>IF(C56="","",IF(ABS(C58)&lt;=$B$9,"OK",IF($A55="Headcount","Review",IF(OR($A55="Monthly Net Burn",$A55="CAC Payback",$A55="Logo Churn Rate %"),IF(C56&lt;C55,"Favorable","Review"),IF(C56&gt;C55,"Favorable","Review")))))</f>
        <v>Review</v>
      </c>
      <c r="D59" s="395" t="str">
        <f t="shared" ref="D59" si="217">IF(D56="","",IF(ABS(D58)&lt;=$B$9,"OK",IF($A55="Headcount","Review",IF(OR($A55="Monthly Net Burn",$A55="CAC Payback",$A55="Logo Churn Rate %"),IF(D56&lt;D55,"Favorable","Review"),IF(D56&gt;D55,"Favorable","Review")))))</f>
        <v>Review</v>
      </c>
      <c r="E59" s="395" t="str">
        <f t="shared" ref="E59" si="218">IF(E56="","",IF(ABS(E58)&lt;=$B$9,"OK",IF($A55="Headcount","Review",IF(OR($A55="Monthly Net Burn",$A55="CAC Payback",$A55="Logo Churn Rate %"),IF(E56&lt;E55,"Favorable","Review"),IF(E56&gt;E55,"Favorable","Review")))))</f>
        <v>Review</v>
      </c>
      <c r="F59" s="395" t="str">
        <f t="shared" ref="F59" si="219">IF(F56="","",IF(ABS(F58)&lt;=$B$9,"OK",IF($A55="Headcount","Review",IF(OR($A55="Monthly Net Burn",$A55="CAC Payback",$A55="Logo Churn Rate %"),IF(F56&lt;F55,"Favorable","Review"),IF(F56&gt;F55,"Favorable","Review")))))</f>
        <v>Review</v>
      </c>
      <c r="G59" s="395" t="str">
        <f t="shared" ref="G59" si="220">IF(G56="","",IF(ABS(G58)&lt;=$B$9,"OK",IF($A55="Headcount","Review",IF(OR($A55="Monthly Net Burn",$A55="CAC Payback",$A55="Logo Churn Rate %"),IF(G56&lt;G55,"Favorable","Review"),IF(G56&gt;G55,"Favorable","Review")))))</f>
        <v>Review</v>
      </c>
      <c r="H59" s="395" t="str">
        <f t="shared" ref="H59" si="221">IF(H56="","",IF(ABS(H58)&lt;=$B$9,"OK",IF($A55="Headcount","Review",IF(OR($A55="Monthly Net Burn",$A55="CAC Payback",$A55="Logo Churn Rate %"),IF(H56&lt;H55,"Favorable","Review"),IF(H56&gt;H55,"Favorable","Review")))))</f>
        <v>Review</v>
      </c>
      <c r="I59" s="395" t="str">
        <f t="shared" ref="I59" si="222">IF(I56="","",IF(ABS(I58)&lt;=$B$9,"OK",IF($A55="Headcount","Review",IF(OR($A55="Monthly Net Burn",$A55="CAC Payback",$A55="Logo Churn Rate %"),IF(I56&lt;I55,"Favorable","Review"),IF(I56&gt;I55,"Favorable","Review")))))</f>
        <v>Review</v>
      </c>
      <c r="J59" s="395" t="str">
        <f t="shared" ref="J59" si="223">IF(J56="","",IF(ABS(J58)&lt;=$B$9,"OK",IF($A55="Headcount","Review",IF(OR($A55="Monthly Net Burn",$A55="CAC Payback",$A55="Logo Churn Rate %"),IF(J56&lt;J55,"Favorable","Review"),IF(J56&gt;J55,"Favorable","Review")))))</f>
        <v>Review</v>
      </c>
      <c r="K59" s="395" t="str">
        <f t="shared" ref="K59" si="224">IF(K56="","",IF(ABS(K58)&lt;=$B$9,"OK",IF($A55="Headcount","Review",IF(OR($A55="Monthly Net Burn",$A55="CAC Payback",$A55="Logo Churn Rate %"),IF(K56&lt;K55,"Favorable","Review"),IF(K56&gt;K55,"Favorable","Review")))))</f>
        <v>Review</v>
      </c>
      <c r="L59" s="395" t="str">
        <f t="shared" ref="L59" si="225">IF(L56="","",IF(ABS(L58)&lt;=$B$9,"OK",IF($A55="Headcount","Review",IF(OR($A55="Monthly Net Burn",$A55="CAC Payback",$A55="Logo Churn Rate %"),IF(L56&lt;L55,"Favorable","Review"),IF(L56&gt;L55,"Favorable","Review")))))</f>
        <v>Review</v>
      </c>
      <c r="M59" s="395" t="str">
        <f t="shared" ref="M59" si="226">IF(M56="","",IF(ABS(M58)&lt;=$B$9,"OK",IF($A55="Headcount","Review",IF(OR($A55="Monthly Net Burn",$A55="CAC Payback",$A55="Logo Churn Rate %"),IF(M56&lt;M55,"Favorable","Review"),IF(M56&gt;M55,"Favorable","Review")))))</f>
        <v>Review</v>
      </c>
      <c r="N59" s="395" t="str">
        <f t="shared" ref="N59" si="227">IF(N56="","",IF(ABS(N58)&lt;=$B$9,"OK",IF($A55="Headcount","Review",IF(OR($A55="Monthly Net Burn",$A55="CAC Payback",$A55="Logo Churn Rate %"),IF(N56&lt;N55,"Favorable","Review"),IF(N56&gt;N55,"Favorable","Review")))))</f>
        <v>Review</v>
      </c>
      <c r="O59" s="395" t="str">
        <f t="shared" ref="O59" si="228">IF(O56="","",IF(ABS(O58)&lt;=$B$9,"OK",IF($A55="Headcount","Review",IF(OR($A55="Monthly Net Burn",$A55="CAC Payback",$A55="Logo Churn Rate %"),IF(O56&lt;O55,"Favorable","Review"),IF(O56&gt;O55,"Favorable","Review")))))</f>
        <v>Review</v>
      </c>
      <c r="P59" s="395" t="str">
        <f t="shared" ref="P59" si="229">IF(P56="","",IF(ABS(P58)&lt;=$B$9,"OK",IF($A55="Headcount","Review",IF(OR($A55="Monthly Net Burn",$A55="CAC Payback",$A55="Logo Churn Rate %"),IF(P56&lt;P55,"Favorable","Review"),IF(P56&gt;P55,"Favorable","Review")))))</f>
        <v>Review</v>
      </c>
      <c r="Q59" s="395" t="str">
        <f t="shared" ref="Q59" si="230">IF(Q56="","",IF(ABS(Q58)&lt;=$B$9,"OK",IF($A55="Headcount","Review",IF(OR($A55="Monthly Net Burn",$A55="CAC Payback",$A55="Logo Churn Rate %"),IF(Q56&lt;Q55,"Favorable","Review"),IF(Q56&gt;Q55,"Favorable","Review")))))</f>
        <v>Review</v>
      </c>
      <c r="R59" s="395" t="str">
        <f t="shared" ref="R59" si="231">IF(R56="","",IF(ABS(R58)&lt;=$B$9,"OK",IF($A55="Headcount","Review",IF(OR($A55="Monthly Net Burn",$A55="CAC Payback",$A55="Logo Churn Rate %"),IF(R56&lt;R55,"Favorable","Review"),IF(R56&gt;R55,"Favorable","Review")))))</f>
        <v>Review</v>
      </c>
      <c r="S59" s="395" t="str">
        <f t="shared" ref="S59" si="232">IF(S56="","",IF(ABS(S58)&lt;=$B$9,"OK",IF($A55="Headcount","Review",IF(OR($A55="Monthly Net Burn",$A55="CAC Payback",$A55="Logo Churn Rate %"),IF(S56&lt;S55,"Favorable","Review"),IF(S56&gt;S55,"Favorable","Review")))))</f>
        <v>Review</v>
      </c>
      <c r="T59" s="395" t="str">
        <f t="shared" ref="T59" si="233">IF(T56="","",IF(ABS(T58)&lt;=$B$9,"OK",IF($A55="Headcount","Review",IF(OR($A55="Monthly Net Burn",$A55="CAC Payback",$A55="Logo Churn Rate %"),IF(T56&lt;T55,"Favorable","Review"),IF(T56&gt;T55,"Favorable","Review")))))</f>
        <v>Review</v>
      </c>
      <c r="U59" s="395" t="str">
        <f t="shared" ref="U59" si="234">IF(U56="","",IF(ABS(U58)&lt;=$B$9,"OK",IF($A55="Headcount","Review",IF(OR($A55="Monthly Net Burn",$A55="CAC Payback",$A55="Logo Churn Rate %"),IF(U56&lt;U55,"Favorable","Review"),IF(U56&gt;U55,"Favorable","Review")))))</f>
        <v>Review</v>
      </c>
      <c r="V59" s="395" t="str">
        <f t="shared" ref="V59" si="235">IF(V56="","",IF(ABS(V58)&lt;=$B$9,"OK",IF($A55="Headcount","Review",IF(OR($A55="Monthly Net Burn",$A55="CAC Payback",$A55="Logo Churn Rate %"),IF(V56&lt;V55,"Favorable","Review"),IF(V56&gt;V55,"Favorable","Review")))))</f>
        <v>Review</v>
      </c>
      <c r="W59" s="395" t="str">
        <f t="shared" ref="W59" si="236">IF(W56="","",IF(ABS(W58)&lt;=$B$9,"OK",IF($A55="Headcount","Review",IF(OR($A55="Monthly Net Burn",$A55="CAC Payback",$A55="Logo Churn Rate %"),IF(W56&lt;W55,"Favorable","Review"),IF(W56&gt;W55,"Favorable","Review")))))</f>
        <v>Review</v>
      </c>
      <c r="X59" s="395" t="str">
        <f t="shared" ref="X59" si="237">IF(X56="","",IF(ABS(X58)&lt;=$B$9,"OK",IF($A55="Headcount","Review",IF(OR($A55="Monthly Net Burn",$A55="CAC Payback",$A55="Logo Churn Rate %"),IF(X56&lt;X55,"Favorable","Review"),IF(X56&gt;X55,"Favorable","Review")))))</f>
        <v>Review</v>
      </c>
      <c r="Y59" s="395" t="str">
        <f t="shared" ref="Y59" si="238">IF(Y56="","",IF(ABS(Y58)&lt;=$B$9,"OK",IF($A55="Headcount","Review",IF(OR($A55="Monthly Net Burn",$A55="CAC Payback",$A55="Logo Churn Rate %"),IF(Y56&lt;Y55,"Favorable","Review"),IF(Y56&gt;Y55,"Favorable","Review")))))</f>
        <v>Review</v>
      </c>
      <c r="Z59" s="395" t="str">
        <f t="shared" ref="Z59" si="239">IF(Z56="","",IF(ABS(Z58)&lt;=$B$9,"OK",IF($A55="Headcount","Review",IF(OR($A55="Monthly Net Burn",$A55="CAC Payback",$A55="Logo Churn Rate %"),IF(Z56&lt;Z55,"Favorable","Review"),IF(Z56&gt;Z55,"Favorable","Review")))))</f>
        <v>Review</v>
      </c>
    </row>
    <row r="60" spans="1:26" s="3" customFormat="1" ht="13.2">
      <c r="A60" s="389" t="s">
        <v>1086</v>
      </c>
      <c r="B60" s="390" t="s">
        <v>1239</v>
      </c>
      <c r="C60" s="391" cm="1">
        <f t="array" ref="C60">INDEX('8. Scenarios'!$B$22:$Y$31,MATCH(_xlfn.SWITCH($A60,"Total Monthly Revenue","Revenue",$A60),'8. Scenarios'!$A$22:$A$31,0),MATCH(C$39,'8. Scenarios'!$B$21:$Y$21,0))</f>
        <v>1512335.4621166666</v>
      </c>
      <c r="D60" s="391" cm="1">
        <f t="array" ref="D60">INDEX('8. Scenarios'!$B$22:$Y$31,MATCH(_xlfn.SWITCH($A60,"Total Monthly Revenue","Revenue",$A60),'8. Scenarios'!$A$22:$A$31,0),MATCH(D$39,'8. Scenarios'!$B$21:$Y$21,0))</f>
        <v>1508196.7243334583</v>
      </c>
      <c r="E60" s="391" cm="1">
        <f t="array" ref="E60">INDEX('8. Scenarios'!$B$22:$Y$31,MATCH(_xlfn.SWITCH($A60,"Total Monthly Revenue","Revenue",$A60),'8. Scenarios'!$A$22:$A$31,0),MATCH(E$39,'8. Scenarios'!$B$21:$Y$21,0))</f>
        <v>1490023.7528328798</v>
      </c>
      <c r="F60" s="391" cm="1">
        <f t="array" ref="F60">INDEX('8. Scenarios'!$B$22:$Y$31,MATCH(_xlfn.SWITCH($A60,"Total Monthly Revenue","Revenue",$A60),'8. Scenarios'!$A$22:$A$31,0),MATCH(F$39,'8. Scenarios'!$B$21:$Y$21,0))</f>
        <v>1457902.0742307885</v>
      </c>
      <c r="G60" s="391" cm="1">
        <f t="array" ref="G60">INDEX('8. Scenarios'!$B$22:$Y$31,MATCH(_xlfn.SWITCH($A60,"Total Monthly Revenue","Revenue",$A60),'8. Scenarios'!$A$22:$A$31,0),MATCH(G$39,'8. Scenarios'!$B$21:$Y$21,0))</f>
        <v>1416942.7845283854</v>
      </c>
      <c r="H60" s="391" cm="1">
        <f t="array" ref="H60">INDEX('8. Scenarios'!$B$22:$Y$31,MATCH(_xlfn.SWITCH($A60,"Total Monthly Revenue","Revenue",$A60),'8. Scenarios'!$A$22:$A$31,0),MATCH(H$39,'8. Scenarios'!$B$21:$Y$21,0))</f>
        <v>1361562.316727173</v>
      </c>
      <c r="I60" s="391" cm="1">
        <f t="array" ref="I60">INDEX('8. Scenarios'!$B$22:$Y$31,MATCH(_xlfn.SWITCH($A60,"Total Monthly Revenue","Revenue",$A60),'8. Scenarios'!$A$22:$A$31,0),MATCH(I$39,'8. Scenarios'!$B$21:$Y$21,0))</f>
        <v>1305944.4411794234</v>
      </c>
      <c r="J60" s="391" cm="1">
        <f t="array" ref="J60">INDEX('8. Scenarios'!$B$22:$Y$31,MATCH(_xlfn.SWITCH($A60,"Total Monthly Revenue","Revenue",$A60),'8. Scenarios'!$A$22:$A$31,0),MATCH(J$39,'8. Scenarios'!$B$21:$Y$21,0))</f>
        <v>1244676.1563135234</v>
      </c>
      <c r="K60" s="391" cm="1">
        <f t="array" ref="K60">INDEX('8. Scenarios'!$B$22:$Y$31,MATCH(_xlfn.SWITCH($A60,"Total Monthly Revenue","Revenue",$A60),'8. Scenarios'!$A$22:$A$31,0),MATCH(K$39,'8. Scenarios'!$B$21:$Y$21,0))</f>
        <v>1172539.7665720116</v>
      </c>
      <c r="L60" s="391" cm="1">
        <f t="array" ref="L60">INDEX('8. Scenarios'!$B$22:$Y$31,MATCH(_xlfn.SWITCH($A60,"Total Monthly Revenue","Revenue",$A60),'8. Scenarios'!$A$22:$A$31,0),MATCH(L$39,'8. Scenarios'!$B$21:$Y$21,0))</f>
        <v>1090493.3783798253</v>
      </c>
      <c r="M60" s="391" cm="1">
        <f t="array" ref="M60">INDEX('8. Scenarios'!$B$22:$Y$31,MATCH(_xlfn.SWITCH($A60,"Total Monthly Revenue","Revenue",$A60),'8. Scenarios'!$A$22:$A$31,0),MATCH(M$39,'8. Scenarios'!$B$21:$Y$21,0))</f>
        <v>1011976.7843103755</v>
      </c>
      <c r="N60" s="391" cm="1">
        <f t="array" ref="N60">INDEX('8. Scenarios'!$B$22:$Y$31,MATCH(_xlfn.SWITCH($A60,"Total Monthly Revenue","Revenue",$A60),'8. Scenarios'!$A$22:$A$31,0),MATCH(N$39,'8. Scenarios'!$B$21:$Y$21,0))</f>
        <v>923184.26222337573</v>
      </c>
      <c r="O60" s="391" cm="1">
        <f t="array" ref="O60">INDEX('8. Scenarios'!$B$22:$Y$31,MATCH(_xlfn.SWITCH($A60,"Total Monthly Revenue","Revenue",$A60),'8. Scenarios'!$A$22:$A$31,0),MATCH(O$39,'8. Scenarios'!$B$21:$Y$21,0))</f>
        <v>837680.01577680232</v>
      </c>
      <c r="P60" s="391" cm="1">
        <f t="array" ref="P60">INDEX('8. Scenarios'!$B$22:$Y$31,MATCH(_xlfn.SWITCH($A60,"Total Monthly Revenue","Revenue",$A60),'8. Scenarios'!$A$22:$A$31,0),MATCH(P$39,'8. Scenarios'!$B$21:$Y$21,0))</f>
        <v>742734.43658203131</v>
      </c>
      <c r="Q60" s="391" cm="1">
        <f t="array" ref="Q60">INDEX('8. Scenarios'!$B$22:$Y$31,MATCH(_xlfn.SWITCH($A60,"Total Monthly Revenue","Revenue",$A60),'8. Scenarios'!$A$22:$A$31,0),MATCH(Q$39,'8. Scenarios'!$B$21:$Y$21,0))</f>
        <v>652994.09296540951</v>
      </c>
      <c r="R60" s="391" cm="1">
        <f t="array" ref="R60">INDEX('8. Scenarios'!$B$22:$Y$31,MATCH(_xlfn.SWITCH($A60,"Total Monthly Revenue","Revenue",$A60),'8. Scenarios'!$A$22:$A$31,0),MATCH(R$39,'8. Scenarios'!$B$21:$Y$21,0))</f>
        <v>560318.79583351512</v>
      </c>
      <c r="S60" s="391" cm="1">
        <f t="array" ref="S60">INDEX('8. Scenarios'!$B$22:$Y$31,MATCH(_xlfn.SWITCH($A60,"Total Monthly Revenue","Revenue",$A60),'8. Scenarios'!$A$22:$A$31,0),MATCH(S$39,'8. Scenarios'!$B$21:$Y$21,0))</f>
        <v>473952.43196457293</v>
      </c>
      <c r="T60" s="391" cm="1">
        <f t="array" ref="T60">INDEX('8. Scenarios'!$B$22:$Y$31,MATCH(_xlfn.SWITCH($A60,"Total Monthly Revenue","Revenue",$A60),'8. Scenarios'!$A$22:$A$31,0),MATCH(T$39,'8. Scenarios'!$B$21:$Y$21,0))</f>
        <v>394527.59451722878</v>
      </c>
      <c r="U60" s="391" cm="1">
        <f t="array" ref="U60">INDEX('8. Scenarios'!$B$22:$Y$31,MATCH(_xlfn.SWITCH($A60,"Total Monthly Revenue","Revenue",$A60),'8. Scenarios'!$A$22:$A$31,0),MATCH(U$39,'8. Scenarios'!$B$21:$Y$21,0))</f>
        <v>322737.37984522828</v>
      </c>
      <c r="V60" s="391" cm="1">
        <f t="array" ref="V60">INDEX('8. Scenarios'!$B$22:$Y$31,MATCH(_xlfn.SWITCH($A60,"Total Monthly Revenue","Revenue",$A60),'8. Scenarios'!$A$22:$A$31,0),MATCH(V$39,'8. Scenarios'!$B$21:$Y$21,0))</f>
        <v>243174.39232203056</v>
      </c>
      <c r="W60" s="391" cm="1">
        <f t="array" ref="W60">INDEX('8. Scenarios'!$B$22:$Y$31,MATCH(_xlfn.SWITCH($A60,"Total Monthly Revenue","Revenue",$A60),'8. Scenarios'!$A$22:$A$31,0),MATCH(W$39,'8. Scenarios'!$B$21:$Y$21,0))</f>
        <v>172837.00494782929</v>
      </c>
      <c r="X60" s="391" cm="1">
        <f t="array" ref="X60">INDEX('8. Scenarios'!$B$22:$Y$31,MATCH(_xlfn.SWITCH($A60,"Total Monthly Revenue","Revenue",$A60),'8. Scenarios'!$A$22:$A$31,0),MATCH(X$39,'8. Scenarios'!$B$21:$Y$21,0))</f>
        <v>112636.2631522055</v>
      </c>
      <c r="Y60" s="391" cm="1">
        <f t="array" ref="Y60">INDEX('8. Scenarios'!$B$22:$Y$31,MATCH(_xlfn.SWITCH($A60,"Total Monthly Revenue","Revenue",$A60),'8. Scenarios'!$A$22:$A$31,0),MATCH(Y$39,'8. Scenarios'!$B$21:$Y$21,0))</f>
        <v>5063570.1591940625</v>
      </c>
      <c r="Z60" s="391" cm="1">
        <f t="array" ref="Z60">INDEX('8. Scenarios'!$B$22:$Y$31,MATCH(_xlfn.SWITCH($A60,"Total Monthly Revenue","Revenue",$A60),'8. Scenarios'!$A$22:$A$31,0),MATCH(Z$39,'8. Scenarios'!$B$21:$Y$21,0))</f>
        <v>5026732.0116651999</v>
      </c>
    </row>
    <row r="61" spans="1:26" s="3" customFormat="1" ht="13.2">
      <c r="A61" s="389"/>
      <c r="B61" s="390" t="s">
        <v>1240</v>
      </c>
      <c r="C61" s="392">
        <f>INDEX($C$27:$Z$36,MATCH($A60,$A$27:$A$36,0),MATCH(C$39,$C$26:$Z$26,0))</f>
        <v>0</v>
      </c>
      <c r="D61" s="392">
        <f t="shared" ref="D61" si="240">INDEX($C$27:$Z$36,MATCH($A60,$A$27:$A$36,0),MATCH(D$39,$C$26:$Z$26,0))</f>
        <v>0</v>
      </c>
      <c r="E61" s="392">
        <f t="shared" ref="E61" si="241">INDEX($C$27:$Z$36,MATCH($A60,$A$27:$A$36,0),MATCH(E$39,$C$26:$Z$26,0))</f>
        <v>0</v>
      </c>
      <c r="F61" s="392">
        <f t="shared" ref="F61" si="242">INDEX($C$27:$Z$36,MATCH($A60,$A$27:$A$36,0),MATCH(F$39,$C$26:$Z$26,0))</f>
        <v>0</v>
      </c>
      <c r="G61" s="392">
        <f t="shared" ref="G61" si="243">INDEX($C$27:$Z$36,MATCH($A60,$A$27:$A$36,0),MATCH(G$39,$C$26:$Z$26,0))</f>
        <v>0</v>
      </c>
      <c r="H61" s="392">
        <f t="shared" ref="H61" si="244">INDEX($C$27:$Z$36,MATCH($A60,$A$27:$A$36,0),MATCH(H$39,$C$26:$Z$26,0))</f>
        <v>0</v>
      </c>
      <c r="I61" s="392">
        <f t="shared" ref="I61" si="245">INDEX($C$27:$Z$36,MATCH($A60,$A$27:$A$36,0),MATCH(I$39,$C$26:$Z$26,0))</f>
        <v>0</v>
      </c>
      <c r="J61" s="392">
        <f t="shared" ref="J61" si="246">INDEX($C$27:$Z$36,MATCH($A60,$A$27:$A$36,0),MATCH(J$39,$C$26:$Z$26,0))</f>
        <v>0</v>
      </c>
      <c r="K61" s="392">
        <f t="shared" ref="K61" si="247">INDEX($C$27:$Z$36,MATCH($A60,$A$27:$A$36,0),MATCH(K$39,$C$26:$Z$26,0))</f>
        <v>0</v>
      </c>
      <c r="L61" s="392">
        <f t="shared" ref="L61" si="248">INDEX($C$27:$Z$36,MATCH($A60,$A$27:$A$36,0),MATCH(L$39,$C$26:$Z$26,0))</f>
        <v>0</v>
      </c>
      <c r="M61" s="392">
        <f t="shared" ref="M61" si="249">INDEX($C$27:$Z$36,MATCH($A60,$A$27:$A$36,0),MATCH(M$39,$C$26:$Z$26,0))</f>
        <v>0</v>
      </c>
      <c r="N61" s="392">
        <f t="shared" ref="N61" si="250">INDEX($C$27:$Z$36,MATCH($A60,$A$27:$A$36,0),MATCH(N$39,$C$26:$Z$26,0))</f>
        <v>0</v>
      </c>
      <c r="O61" s="392">
        <f t="shared" ref="O61" si="251">INDEX($C$27:$Z$36,MATCH($A60,$A$27:$A$36,0),MATCH(O$39,$C$26:$Z$26,0))</f>
        <v>0</v>
      </c>
      <c r="P61" s="392">
        <f t="shared" ref="P61" si="252">INDEX($C$27:$Z$36,MATCH($A60,$A$27:$A$36,0),MATCH(P$39,$C$26:$Z$26,0))</f>
        <v>0</v>
      </c>
      <c r="Q61" s="392">
        <f t="shared" ref="Q61" si="253">INDEX($C$27:$Z$36,MATCH($A60,$A$27:$A$36,0),MATCH(Q$39,$C$26:$Z$26,0))</f>
        <v>0</v>
      </c>
      <c r="R61" s="392">
        <f t="shared" ref="R61" si="254">INDEX($C$27:$Z$36,MATCH($A60,$A$27:$A$36,0),MATCH(R$39,$C$26:$Z$26,0))</f>
        <v>0</v>
      </c>
      <c r="S61" s="392">
        <f t="shared" ref="S61" si="255">INDEX($C$27:$Z$36,MATCH($A60,$A$27:$A$36,0),MATCH(S$39,$C$26:$Z$26,0))</f>
        <v>0</v>
      </c>
      <c r="T61" s="392">
        <f t="shared" ref="T61" si="256">INDEX($C$27:$Z$36,MATCH($A60,$A$27:$A$36,0),MATCH(T$39,$C$26:$Z$26,0))</f>
        <v>0</v>
      </c>
      <c r="U61" s="392">
        <f t="shared" ref="U61" si="257">INDEX($C$27:$Z$36,MATCH($A60,$A$27:$A$36,0),MATCH(U$39,$C$26:$Z$26,0))</f>
        <v>0</v>
      </c>
      <c r="V61" s="392">
        <f t="shared" ref="V61" si="258">INDEX($C$27:$Z$36,MATCH($A60,$A$27:$A$36,0),MATCH(V$39,$C$26:$Z$26,0))</f>
        <v>0</v>
      </c>
      <c r="W61" s="392">
        <f t="shared" ref="W61" si="259">INDEX($C$27:$Z$36,MATCH($A60,$A$27:$A$36,0),MATCH(W$39,$C$26:$Z$26,0))</f>
        <v>0</v>
      </c>
      <c r="X61" s="392">
        <f t="shared" ref="X61" si="260">INDEX($C$27:$Z$36,MATCH($A60,$A$27:$A$36,0),MATCH(X$39,$C$26:$Z$26,0))</f>
        <v>0</v>
      </c>
      <c r="Y61" s="392">
        <f t="shared" ref="Y61" si="261">INDEX($C$27:$Z$36,MATCH($A60,$A$27:$A$36,0),MATCH(Y$39,$C$26:$Z$26,0))</f>
        <v>0</v>
      </c>
      <c r="Z61" s="392">
        <f t="shared" ref="Z61" si="262">INDEX($C$27:$Z$36,MATCH($A60,$A$27:$A$36,0),MATCH(Z$39,$C$26:$Z$26,0))</f>
        <v>0</v>
      </c>
    </row>
    <row r="62" spans="1:26" s="3" customFormat="1" ht="13.2">
      <c r="A62" s="389"/>
      <c r="B62" s="390" t="s">
        <v>1241</v>
      </c>
      <c r="C62" s="393">
        <f>IF(C61="","",C61-C60)</f>
        <v>-1512335.4621166666</v>
      </c>
      <c r="D62" s="393">
        <f t="shared" ref="D62" si="263">IF(D61="","",D61-D60)</f>
        <v>-1508196.7243334583</v>
      </c>
      <c r="E62" s="393">
        <f t="shared" ref="E62" si="264">IF(E61="","",E61-E60)</f>
        <v>-1490023.7528328798</v>
      </c>
      <c r="F62" s="393">
        <f t="shared" ref="F62" si="265">IF(F61="","",F61-F60)</f>
        <v>-1457902.0742307885</v>
      </c>
      <c r="G62" s="393">
        <f t="shared" ref="G62" si="266">IF(G61="","",G61-G60)</f>
        <v>-1416942.7845283854</v>
      </c>
      <c r="H62" s="393">
        <f t="shared" ref="H62" si="267">IF(H61="","",H61-H60)</f>
        <v>-1361562.316727173</v>
      </c>
      <c r="I62" s="393">
        <f t="shared" ref="I62" si="268">IF(I61="","",I61-I60)</f>
        <v>-1305944.4411794234</v>
      </c>
      <c r="J62" s="393">
        <f t="shared" ref="J62" si="269">IF(J61="","",J61-J60)</f>
        <v>-1244676.1563135234</v>
      </c>
      <c r="K62" s="393">
        <f t="shared" ref="K62" si="270">IF(K61="","",K61-K60)</f>
        <v>-1172539.7665720116</v>
      </c>
      <c r="L62" s="393">
        <f t="shared" ref="L62" si="271">IF(L61="","",L61-L60)</f>
        <v>-1090493.3783798253</v>
      </c>
      <c r="M62" s="393">
        <f t="shared" ref="M62" si="272">IF(M61="","",M61-M60)</f>
        <v>-1011976.7843103755</v>
      </c>
      <c r="N62" s="393">
        <f t="shared" ref="N62" si="273">IF(N61="","",N61-N60)</f>
        <v>-923184.26222337573</v>
      </c>
      <c r="O62" s="393">
        <f t="shared" ref="O62" si="274">IF(O61="","",O61-O60)</f>
        <v>-837680.01577680232</v>
      </c>
      <c r="P62" s="393">
        <f t="shared" ref="P62" si="275">IF(P61="","",P61-P60)</f>
        <v>-742734.43658203131</v>
      </c>
      <c r="Q62" s="393">
        <f t="shared" ref="Q62" si="276">IF(Q61="","",Q61-Q60)</f>
        <v>-652994.09296540951</v>
      </c>
      <c r="R62" s="393">
        <f t="shared" ref="R62" si="277">IF(R61="","",R61-R60)</f>
        <v>-560318.79583351512</v>
      </c>
      <c r="S62" s="393">
        <f t="shared" ref="S62" si="278">IF(S61="","",S61-S60)</f>
        <v>-473952.43196457293</v>
      </c>
      <c r="T62" s="393">
        <f t="shared" ref="T62" si="279">IF(T61="","",T61-T60)</f>
        <v>-394527.59451722878</v>
      </c>
      <c r="U62" s="393">
        <f t="shared" ref="U62" si="280">IF(U61="","",U61-U60)</f>
        <v>-322737.37984522828</v>
      </c>
      <c r="V62" s="393">
        <f t="shared" ref="V62" si="281">IF(V61="","",V61-V60)</f>
        <v>-243174.39232203056</v>
      </c>
      <c r="W62" s="393">
        <f t="shared" ref="W62" si="282">IF(W61="","",W61-W60)</f>
        <v>-172837.00494782929</v>
      </c>
      <c r="X62" s="393">
        <f t="shared" ref="X62" si="283">IF(X61="","",X61-X60)</f>
        <v>-112636.2631522055</v>
      </c>
      <c r="Y62" s="393">
        <f t="shared" ref="Y62" si="284">IF(Y61="","",Y61-Y60)</f>
        <v>-5063570.1591940625</v>
      </c>
      <c r="Z62" s="393">
        <f t="shared" ref="Z62" si="285">IF(Z61="","",Z61-Z60)</f>
        <v>-5026732.0116651999</v>
      </c>
    </row>
    <row r="63" spans="1:26" s="3" customFormat="1" ht="13.2">
      <c r="A63" s="389"/>
      <c r="B63" s="390" t="s">
        <v>1242</v>
      </c>
      <c r="C63" s="394">
        <f>IF(C61="","",IFERROR(C62/C60,""))</f>
        <v>-1</v>
      </c>
      <c r="D63" s="394">
        <f t="shared" ref="D63" si="286">IF(D61="","",IFERROR(D62/D60,""))</f>
        <v>-1</v>
      </c>
      <c r="E63" s="394">
        <f t="shared" ref="E63" si="287">IF(E61="","",IFERROR(E62/E60,""))</f>
        <v>-1</v>
      </c>
      <c r="F63" s="394">
        <f t="shared" ref="F63" si="288">IF(F61="","",IFERROR(F62/F60,""))</f>
        <v>-1</v>
      </c>
      <c r="G63" s="394">
        <f t="shared" ref="G63" si="289">IF(G61="","",IFERROR(G62/G60,""))</f>
        <v>-1</v>
      </c>
      <c r="H63" s="394">
        <f t="shared" ref="H63" si="290">IF(H61="","",IFERROR(H62/H60,""))</f>
        <v>-1</v>
      </c>
      <c r="I63" s="394">
        <f t="shared" ref="I63" si="291">IF(I61="","",IFERROR(I62/I60,""))</f>
        <v>-1</v>
      </c>
      <c r="J63" s="394">
        <f t="shared" ref="J63" si="292">IF(J61="","",IFERROR(J62/J60,""))</f>
        <v>-1</v>
      </c>
      <c r="K63" s="394">
        <f t="shared" ref="K63" si="293">IF(K61="","",IFERROR(K62/K60,""))</f>
        <v>-1</v>
      </c>
      <c r="L63" s="394">
        <f t="shared" ref="L63" si="294">IF(L61="","",IFERROR(L62/L60,""))</f>
        <v>-1</v>
      </c>
      <c r="M63" s="394">
        <f t="shared" ref="M63" si="295">IF(M61="","",IFERROR(M62/M60,""))</f>
        <v>-1</v>
      </c>
      <c r="N63" s="394">
        <f t="shared" ref="N63" si="296">IF(N61="","",IFERROR(N62/N60,""))</f>
        <v>-1</v>
      </c>
      <c r="O63" s="394">
        <f t="shared" ref="O63" si="297">IF(O61="","",IFERROR(O62/O60,""))</f>
        <v>-1</v>
      </c>
      <c r="P63" s="394">
        <f t="shared" ref="P63" si="298">IF(P61="","",IFERROR(P62/P60,""))</f>
        <v>-1</v>
      </c>
      <c r="Q63" s="394">
        <f t="shared" ref="Q63" si="299">IF(Q61="","",IFERROR(Q62/Q60,""))</f>
        <v>-1</v>
      </c>
      <c r="R63" s="394">
        <f t="shared" ref="R63" si="300">IF(R61="","",IFERROR(R62/R60,""))</f>
        <v>-1</v>
      </c>
      <c r="S63" s="394">
        <f t="shared" ref="S63" si="301">IF(S61="","",IFERROR(S62/S60,""))</f>
        <v>-1</v>
      </c>
      <c r="T63" s="394">
        <f t="shared" ref="T63" si="302">IF(T61="","",IFERROR(T62/T60,""))</f>
        <v>-1</v>
      </c>
      <c r="U63" s="394">
        <f t="shared" ref="U63" si="303">IF(U61="","",IFERROR(U62/U60,""))</f>
        <v>-1</v>
      </c>
      <c r="V63" s="394">
        <f t="shared" ref="V63" si="304">IF(V61="","",IFERROR(V62/V60,""))</f>
        <v>-1</v>
      </c>
      <c r="W63" s="394">
        <f t="shared" ref="W63" si="305">IF(W61="","",IFERROR(W62/W60,""))</f>
        <v>-1</v>
      </c>
      <c r="X63" s="394">
        <f t="shared" ref="X63" si="306">IF(X61="","",IFERROR(X62/X60,""))</f>
        <v>-1</v>
      </c>
      <c r="Y63" s="394">
        <f t="shared" ref="Y63" si="307">IF(Y61="","",IFERROR(Y62/Y60,""))</f>
        <v>-1</v>
      </c>
      <c r="Z63" s="394">
        <f t="shared" ref="Z63" si="308">IF(Z61="","",IFERROR(Z62/Z60,""))</f>
        <v>-1</v>
      </c>
    </row>
    <row r="64" spans="1:26" s="3" customFormat="1" ht="13.2">
      <c r="A64" s="389"/>
      <c r="B64" s="390" t="s">
        <v>1243</v>
      </c>
      <c r="C64" s="395" t="str">
        <f>IF(C61="","",IF(ABS(C63)&lt;=$B$9,"OK",IF($A60="Headcount","Review",IF(OR($A60="Monthly Net Burn",$A60="CAC Payback",$A60="Logo Churn Rate %"),IF(C61&lt;C60,"Favorable","Review"),IF(C61&gt;C60,"Favorable","Review")))))</f>
        <v>Review</v>
      </c>
      <c r="D64" s="395" t="str">
        <f t="shared" ref="D64" si="309">IF(D61="","",IF(ABS(D63)&lt;=$B$9,"OK",IF($A60="Headcount","Review",IF(OR($A60="Monthly Net Burn",$A60="CAC Payback",$A60="Logo Churn Rate %"),IF(D61&lt;D60,"Favorable","Review"),IF(D61&gt;D60,"Favorable","Review")))))</f>
        <v>Review</v>
      </c>
      <c r="E64" s="395" t="str">
        <f t="shared" ref="E64" si="310">IF(E61="","",IF(ABS(E63)&lt;=$B$9,"OK",IF($A60="Headcount","Review",IF(OR($A60="Monthly Net Burn",$A60="CAC Payback",$A60="Logo Churn Rate %"),IF(E61&lt;E60,"Favorable","Review"),IF(E61&gt;E60,"Favorable","Review")))))</f>
        <v>Review</v>
      </c>
      <c r="F64" s="395" t="str">
        <f t="shared" ref="F64" si="311">IF(F61="","",IF(ABS(F63)&lt;=$B$9,"OK",IF($A60="Headcount","Review",IF(OR($A60="Monthly Net Burn",$A60="CAC Payback",$A60="Logo Churn Rate %"),IF(F61&lt;F60,"Favorable","Review"),IF(F61&gt;F60,"Favorable","Review")))))</f>
        <v>Review</v>
      </c>
      <c r="G64" s="395" t="str">
        <f t="shared" ref="G64" si="312">IF(G61="","",IF(ABS(G63)&lt;=$B$9,"OK",IF($A60="Headcount","Review",IF(OR($A60="Monthly Net Burn",$A60="CAC Payback",$A60="Logo Churn Rate %"),IF(G61&lt;G60,"Favorable","Review"),IF(G61&gt;G60,"Favorable","Review")))))</f>
        <v>Review</v>
      </c>
      <c r="H64" s="395" t="str">
        <f t="shared" ref="H64" si="313">IF(H61="","",IF(ABS(H63)&lt;=$B$9,"OK",IF($A60="Headcount","Review",IF(OR($A60="Monthly Net Burn",$A60="CAC Payback",$A60="Logo Churn Rate %"),IF(H61&lt;H60,"Favorable","Review"),IF(H61&gt;H60,"Favorable","Review")))))</f>
        <v>Review</v>
      </c>
      <c r="I64" s="395" t="str">
        <f t="shared" ref="I64" si="314">IF(I61="","",IF(ABS(I63)&lt;=$B$9,"OK",IF($A60="Headcount","Review",IF(OR($A60="Monthly Net Burn",$A60="CAC Payback",$A60="Logo Churn Rate %"),IF(I61&lt;I60,"Favorable","Review"),IF(I61&gt;I60,"Favorable","Review")))))</f>
        <v>Review</v>
      </c>
      <c r="J64" s="395" t="str">
        <f t="shared" ref="J64" si="315">IF(J61="","",IF(ABS(J63)&lt;=$B$9,"OK",IF($A60="Headcount","Review",IF(OR($A60="Monthly Net Burn",$A60="CAC Payback",$A60="Logo Churn Rate %"),IF(J61&lt;J60,"Favorable","Review"),IF(J61&gt;J60,"Favorable","Review")))))</f>
        <v>Review</v>
      </c>
      <c r="K64" s="395" t="str">
        <f t="shared" ref="K64" si="316">IF(K61="","",IF(ABS(K63)&lt;=$B$9,"OK",IF($A60="Headcount","Review",IF(OR($A60="Monthly Net Burn",$A60="CAC Payback",$A60="Logo Churn Rate %"),IF(K61&lt;K60,"Favorable","Review"),IF(K61&gt;K60,"Favorable","Review")))))</f>
        <v>Review</v>
      </c>
      <c r="L64" s="395" t="str">
        <f t="shared" ref="L64" si="317">IF(L61="","",IF(ABS(L63)&lt;=$B$9,"OK",IF($A60="Headcount","Review",IF(OR($A60="Monthly Net Burn",$A60="CAC Payback",$A60="Logo Churn Rate %"),IF(L61&lt;L60,"Favorable","Review"),IF(L61&gt;L60,"Favorable","Review")))))</f>
        <v>Review</v>
      </c>
      <c r="M64" s="395" t="str">
        <f t="shared" ref="M64" si="318">IF(M61="","",IF(ABS(M63)&lt;=$B$9,"OK",IF($A60="Headcount","Review",IF(OR($A60="Monthly Net Burn",$A60="CAC Payback",$A60="Logo Churn Rate %"),IF(M61&lt;M60,"Favorable","Review"),IF(M61&gt;M60,"Favorable","Review")))))</f>
        <v>Review</v>
      </c>
      <c r="N64" s="395" t="str">
        <f t="shared" ref="N64" si="319">IF(N61="","",IF(ABS(N63)&lt;=$B$9,"OK",IF($A60="Headcount","Review",IF(OR($A60="Monthly Net Burn",$A60="CAC Payback",$A60="Logo Churn Rate %"),IF(N61&lt;N60,"Favorable","Review"),IF(N61&gt;N60,"Favorable","Review")))))</f>
        <v>Review</v>
      </c>
      <c r="O64" s="395" t="str">
        <f t="shared" ref="O64" si="320">IF(O61="","",IF(ABS(O63)&lt;=$B$9,"OK",IF($A60="Headcount","Review",IF(OR($A60="Monthly Net Burn",$A60="CAC Payback",$A60="Logo Churn Rate %"),IF(O61&lt;O60,"Favorable","Review"),IF(O61&gt;O60,"Favorable","Review")))))</f>
        <v>Review</v>
      </c>
      <c r="P64" s="395" t="str">
        <f t="shared" ref="P64" si="321">IF(P61="","",IF(ABS(P63)&lt;=$B$9,"OK",IF($A60="Headcount","Review",IF(OR($A60="Monthly Net Burn",$A60="CAC Payback",$A60="Logo Churn Rate %"),IF(P61&lt;P60,"Favorable","Review"),IF(P61&gt;P60,"Favorable","Review")))))</f>
        <v>Review</v>
      </c>
      <c r="Q64" s="395" t="str">
        <f t="shared" ref="Q64" si="322">IF(Q61="","",IF(ABS(Q63)&lt;=$B$9,"OK",IF($A60="Headcount","Review",IF(OR($A60="Monthly Net Burn",$A60="CAC Payback",$A60="Logo Churn Rate %"),IF(Q61&lt;Q60,"Favorable","Review"),IF(Q61&gt;Q60,"Favorable","Review")))))</f>
        <v>Review</v>
      </c>
      <c r="R64" s="395" t="str">
        <f t="shared" ref="R64" si="323">IF(R61="","",IF(ABS(R63)&lt;=$B$9,"OK",IF($A60="Headcount","Review",IF(OR($A60="Monthly Net Burn",$A60="CAC Payback",$A60="Logo Churn Rate %"),IF(R61&lt;R60,"Favorable","Review"),IF(R61&gt;R60,"Favorable","Review")))))</f>
        <v>Review</v>
      </c>
      <c r="S64" s="395" t="str">
        <f t="shared" ref="S64" si="324">IF(S61="","",IF(ABS(S63)&lt;=$B$9,"OK",IF($A60="Headcount","Review",IF(OR($A60="Monthly Net Burn",$A60="CAC Payback",$A60="Logo Churn Rate %"),IF(S61&lt;S60,"Favorable","Review"),IF(S61&gt;S60,"Favorable","Review")))))</f>
        <v>Review</v>
      </c>
      <c r="T64" s="395" t="str">
        <f t="shared" ref="T64" si="325">IF(T61="","",IF(ABS(T63)&lt;=$B$9,"OK",IF($A60="Headcount","Review",IF(OR($A60="Monthly Net Burn",$A60="CAC Payback",$A60="Logo Churn Rate %"),IF(T61&lt;T60,"Favorable","Review"),IF(T61&gt;T60,"Favorable","Review")))))</f>
        <v>Review</v>
      </c>
      <c r="U64" s="395" t="str">
        <f t="shared" ref="U64" si="326">IF(U61="","",IF(ABS(U63)&lt;=$B$9,"OK",IF($A60="Headcount","Review",IF(OR($A60="Monthly Net Burn",$A60="CAC Payback",$A60="Logo Churn Rate %"),IF(U61&lt;U60,"Favorable","Review"),IF(U61&gt;U60,"Favorable","Review")))))</f>
        <v>Review</v>
      </c>
      <c r="V64" s="395" t="str">
        <f t="shared" ref="V64" si="327">IF(V61="","",IF(ABS(V63)&lt;=$B$9,"OK",IF($A60="Headcount","Review",IF(OR($A60="Monthly Net Burn",$A60="CAC Payback",$A60="Logo Churn Rate %"),IF(V61&lt;V60,"Favorable","Review"),IF(V61&gt;V60,"Favorable","Review")))))</f>
        <v>Review</v>
      </c>
      <c r="W64" s="395" t="str">
        <f t="shared" ref="W64" si="328">IF(W61="","",IF(ABS(W63)&lt;=$B$9,"OK",IF($A60="Headcount","Review",IF(OR($A60="Monthly Net Burn",$A60="CAC Payback",$A60="Logo Churn Rate %"),IF(W61&lt;W60,"Favorable","Review"),IF(W61&gt;W60,"Favorable","Review")))))</f>
        <v>Review</v>
      </c>
      <c r="X64" s="395" t="str">
        <f t="shared" ref="X64" si="329">IF(X61="","",IF(ABS(X63)&lt;=$B$9,"OK",IF($A60="Headcount","Review",IF(OR($A60="Monthly Net Burn",$A60="CAC Payback",$A60="Logo Churn Rate %"),IF(X61&lt;X60,"Favorable","Review"),IF(X61&gt;X60,"Favorable","Review")))))</f>
        <v>Review</v>
      </c>
      <c r="Y64" s="395" t="str">
        <f t="shared" ref="Y64" si="330">IF(Y61="","",IF(ABS(Y63)&lt;=$B$9,"OK",IF($A60="Headcount","Review",IF(OR($A60="Monthly Net Burn",$A60="CAC Payback",$A60="Logo Churn Rate %"),IF(Y61&lt;Y60,"Favorable","Review"),IF(Y61&gt;Y60,"Favorable","Review")))))</f>
        <v>Review</v>
      </c>
      <c r="Z64" s="395" t="str">
        <f t="shared" ref="Z64" si="331">IF(Z61="","",IF(ABS(Z63)&lt;=$B$9,"OK",IF($A60="Headcount","Review",IF(OR($A60="Monthly Net Burn",$A60="CAC Payback",$A60="Logo Churn Rate %"),IF(Z61&lt;Z60,"Favorable","Review"),IF(Z61&gt;Z60,"Favorable","Review")))))</f>
        <v>Review</v>
      </c>
    </row>
    <row r="65" spans="1:26" s="3" customFormat="1" ht="13.2">
      <c r="A65" s="389" t="s">
        <v>1087</v>
      </c>
      <c r="B65" s="390" t="s">
        <v>1239</v>
      </c>
      <c r="C65" s="391" cm="1">
        <f t="array" ref="C65">INDEX('8. Scenarios'!$B$22:$Y$31,MATCH(_xlfn.SWITCH($A65,"Total Monthly Revenue","Revenue",$A65),'8. Scenarios'!$A$22:$A$31,0),MATCH(C$39,'8. Scenarios'!$B$21:$Y$21,0))</f>
        <v>0</v>
      </c>
      <c r="D65" s="391" cm="1">
        <f t="array" ref="D65">INDEX('8. Scenarios'!$B$22:$Y$31,MATCH(_xlfn.SWITCH($A65,"Total Monthly Revenue","Revenue",$A65),'8. Scenarios'!$A$22:$A$31,0),MATCH(D$39,'8. Scenarios'!$B$21:$Y$21,0))</f>
        <v>4138.7377832083366</v>
      </c>
      <c r="E65" s="391" cm="1">
        <f t="array" ref="E65">INDEX('8. Scenarios'!$B$22:$Y$31,MATCH(_xlfn.SWITCH($A65,"Total Monthly Revenue","Revenue",$A65),'8. Scenarios'!$A$22:$A$31,0),MATCH(E$39,'8. Scenarios'!$B$21:$Y$21,0))</f>
        <v>18172.971500578569</v>
      </c>
      <c r="F65" s="391" cm="1">
        <f t="array" ref="F65">INDEX('8. Scenarios'!$B$22:$Y$31,MATCH(_xlfn.SWITCH($A65,"Total Monthly Revenue","Revenue",$A65),'8. Scenarios'!$A$22:$A$31,0),MATCH(F$39,'8. Scenarios'!$B$21:$Y$21,0))</f>
        <v>32121.678602091284</v>
      </c>
      <c r="G65" s="391" cm="1">
        <f t="array" ref="G65">INDEX('8. Scenarios'!$B$22:$Y$31,MATCH(_xlfn.SWITCH($A65,"Total Monthly Revenue","Revenue",$A65),'8. Scenarios'!$A$22:$A$31,0),MATCH(G$39,'8. Scenarios'!$B$21:$Y$21,0))</f>
        <v>40959.289702403141</v>
      </c>
      <c r="H65" s="391" cm="1">
        <f t="array" ref="H65">INDEX('8. Scenarios'!$B$22:$Y$31,MATCH(_xlfn.SWITCH($A65,"Total Monthly Revenue","Revenue",$A65),'8. Scenarios'!$A$22:$A$31,0),MATCH(H$39,'8. Scenarios'!$B$21:$Y$21,0))</f>
        <v>55380.467801212377</v>
      </c>
      <c r="I65" s="391" cm="1">
        <f t="array" ref="I65">INDEX('8. Scenarios'!$B$22:$Y$31,MATCH(_xlfn.SWITCH($A65,"Total Monthly Revenue","Revenue",$A65),'8. Scenarios'!$A$22:$A$31,0),MATCH(I$39,'8. Scenarios'!$B$21:$Y$21,0))</f>
        <v>55617.875547749652</v>
      </c>
      <c r="J65" s="391" cm="1">
        <f t="array" ref="J65">INDEX('8. Scenarios'!$B$22:$Y$31,MATCH(_xlfn.SWITCH($A65,"Total Monthly Revenue","Revenue",$A65),'8. Scenarios'!$A$22:$A$31,0),MATCH(J$39,'8. Scenarios'!$B$21:$Y$21,0))</f>
        <v>61268.284865899986</v>
      </c>
      <c r="K65" s="391" cm="1">
        <f t="array" ref="K65">INDEX('8. Scenarios'!$B$22:$Y$31,MATCH(_xlfn.SWITCH($A65,"Total Monthly Revenue","Revenue",$A65),'8. Scenarios'!$A$22:$A$31,0),MATCH(K$39,'8. Scenarios'!$B$21:$Y$21,0))</f>
        <v>72136.389741511666</v>
      </c>
      <c r="L65" s="391" cm="1">
        <f t="array" ref="L65">INDEX('8. Scenarios'!$B$22:$Y$31,MATCH(_xlfn.SWITCH($A65,"Total Monthly Revenue","Revenue",$A65),'8. Scenarios'!$A$22:$A$31,0),MATCH(L$39,'8. Scenarios'!$B$21:$Y$21,0))</f>
        <v>82046.388192186365</v>
      </c>
      <c r="M65" s="391" cm="1">
        <f t="array" ref="M65">INDEX('8. Scenarios'!$B$22:$Y$31,MATCH(_xlfn.SWITCH($A65,"Total Monthly Revenue","Revenue",$A65),'8. Scenarios'!$A$22:$A$31,0),MATCH(M$39,'8. Scenarios'!$B$21:$Y$21,0))</f>
        <v>78516.594069449769</v>
      </c>
      <c r="N65" s="391" cm="1">
        <f t="array" ref="N65">INDEX('8. Scenarios'!$B$22:$Y$31,MATCH(_xlfn.SWITCH($A65,"Total Monthly Revenue","Revenue",$A65),'8. Scenarios'!$A$22:$A$31,0),MATCH(N$39,'8. Scenarios'!$B$21:$Y$21,0))</f>
        <v>88792.522086999728</v>
      </c>
      <c r="O65" s="391" cm="1">
        <f t="array" ref="O65">INDEX('8. Scenarios'!$B$22:$Y$31,MATCH(_xlfn.SWITCH($A65,"Total Monthly Revenue","Revenue",$A65),'8. Scenarios'!$A$22:$A$31,0),MATCH(O$39,'8. Scenarios'!$B$21:$Y$21,0))</f>
        <v>85504.246446573408</v>
      </c>
      <c r="P65" s="391" cm="1">
        <f t="array" ref="P65">INDEX('8. Scenarios'!$B$22:$Y$31,MATCH(_xlfn.SWITCH($A65,"Total Monthly Revenue","Revenue",$A65),'8. Scenarios'!$A$22:$A$31,0),MATCH(P$39,'8. Scenarios'!$B$21:$Y$21,0))</f>
        <v>94945.579194771009</v>
      </c>
      <c r="Q65" s="391" cm="1">
        <f t="array" ref="Q65">INDEX('8. Scenarios'!$B$22:$Y$31,MATCH(_xlfn.SWITCH($A65,"Total Monthly Revenue","Revenue",$A65),'8. Scenarios'!$A$22:$A$31,0),MATCH(Q$39,'8. Scenarios'!$B$21:$Y$21,0))</f>
        <v>89740.343616621802</v>
      </c>
      <c r="R65" s="391" cm="1">
        <f t="array" ref="R65">INDEX('8. Scenarios'!$B$22:$Y$31,MATCH(_xlfn.SWITCH($A65,"Total Monthly Revenue","Revenue",$A65),'8. Scenarios'!$A$22:$A$31,0),MATCH(R$39,'8. Scenarios'!$B$21:$Y$21,0))</f>
        <v>92675.297131894404</v>
      </c>
      <c r="S65" s="391" cm="1">
        <f t="array" ref="S65">INDEX('8. Scenarios'!$B$22:$Y$31,MATCH(_xlfn.SWITCH($A65,"Total Monthly Revenue","Revenue",$A65),'8. Scenarios'!$A$22:$A$31,0),MATCH(S$39,'8. Scenarios'!$B$21:$Y$21,0))</f>
        <v>86366.363868942179</v>
      </c>
      <c r="T65" s="391" cm="1">
        <f t="array" ref="T65">INDEX('8. Scenarios'!$B$22:$Y$31,MATCH(_xlfn.SWITCH($A65,"Total Monthly Revenue","Revenue",$A65),'8. Scenarios'!$A$22:$A$31,0),MATCH(T$39,'8. Scenarios'!$B$21:$Y$21,0))</f>
        <v>79424.837447344151</v>
      </c>
      <c r="U65" s="391" cm="1">
        <f t="array" ref="U65">INDEX('8. Scenarios'!$B$22:$Y$31,MATCH(_xlfn.SWITCH($A65,"Total Monthly Revenue","Revenue",$A65),'8. Scenarios'!$A$22:$A$31,0),MATCH(U$39,'8. Scenarios'!$B$21:$Y$21,0))</f>
        <v>71790.214672000497</v>
      </c>
      <c r="V65" s="391" cm="1">
        <f t="array" ref="V65">INDEX('8. Scenarios'!$B$22:$Y$31,MATCH(_xlfn.SWITCH($A65,"Total Monthly Revenue","Revenue",$A65),'8. Scenarios'!$A$22:$A$31,0),MATCH(V$39,'8. Scenarios'!$B$21:$Y$21,0))</f>
        <v>79562.98752319772</v>
      </c>
      <c r="W65" s="391" cm="1">
        <f t="array" ref="W65">INDEX('8. Scenarios'!$B$22:$Y$31,MATCH(_xlfn.SWITCH($A65,"Total Monthly Revenue","Revenue",$A65),'8. Scenarios'!$A$22:$A$31,0),MATCH(W$39,'8. Scenarios'!$B$21:$Y$21,0))</f>
        <v>70337.387374201266</v>
      </c>
      <c r="X65" s="391" cm="1">
        <f t="array" ref="X65">INDEX('8. Scenarios'!$B$22:$Y$31,MATCH(_xlfn.SWITCH($A65,"Total Monthly Revenue","Revenue",$A65),'8. Scenarios'!$A$22:$A$31,0),MATCH(X$39,'8. Scenarios'!$B$21:$Y$21,0))</f>
        <v>60200.741795623791</v>
      </c>
      <c r="Y65" s="391" cm="1">
        <f t="array" ref="Y65">INDEX('8. Scenarios'!$B$22:$Y$31,MATCH(_xlfn.SWITCH($A65,"Total Monthly Revenue","Revenue",$A65),'8. Scenarios'!$A$22:$A$31,0),MATCH(Y$39,'8. Scenarios'!$B$21:$Y$21,0))</f>
        <v>49066.103958142776</v>
      </c>
      <c r="Z65" s="391" cm="1">
        <f t="array" ref="Z65">INDEX('8. Scenarios'!$B$22:$Y$31,MATCH(_xlfn.SWITCH($A65,"Total Monthly Revenue","Revenue",$A65),'8. Scenarios'!$A$22:$A$31,0),MATCH(Z$39,'8. Scenarios'!$B$21:$Y$21,0))</f>
        <v>36838.147528862493</v>
      </c>
    </row>
    <row r="66" spans="1:26" s="3" customFormat="1" ht="13.2">
      <c r="A66" s="389"/>
      <c r="B66" s="390" t="s">
        <v>1240</v>
      </c>
      <c r="C66" s="392">
        <f>INDEX($C$27:$Z$36,MATCH($A65,$A$27:$A$36,0),MATCH(C$39,$C$26:$Z$26,0))</f>
        <v>0</v>
      </c>
      <c r="D66" s="392">
        <f t="shared" ref="D66" si="332">INDEX($C$27:$Z$36,MATCH($A65,$A$27:$A$36,0),MATCH(D$39,$C$26:$Z$26,0))</f>
        <v>0</v>
      </c>
      <c r="E66" s="392">
        <f t="shared" ref="E66" si="333">INDEX($C$27:$Z$36,MATCH($A65,$A$27:$A$36,0),MATCH(E$39,$C$26:$Z$26,0))</f>
        <v>0</v>
      </c>
      <c r="F66" s="392">
        <f t="shared" ref="F66" si="334">INDEX($C$27:$Z$36,MATCH($A65,$A$27:$A$36,0),MATCH(F$39,$C$26:$Z$26,0))</f>
        <v>0</v>
      </c>
      <c r="G66" s="392">
        <f t="shared" ref="G66" si="335">INDEX($C$27:$Z$36,MATCH($A65,$A$27:$A$36,0),MATCH(G$39,$C$26:$Z$26,0))</f>
        <v>0</v>
      </c>
      <c r="H66" s="392">
        <f t="shared" ref="H66" si="336">INDEX($C$27:$Z$36,MATCH($A65,$A$27:$A$36,0),MATCH(H$39,$C$26:$Z$26,0))</f>
        <v>0</v>
      </c>
      <c r="I66" s="392">
        <f t="shared" ref="I66" si="337">INDEX($C$27:$Z$36,MATCH($A65,$A$27:$A$36,0),MATCH(I$39,$C$26:$Z$26,0))</f>
        <v>0</v>
      </c>
      <c r="J66" s="392">
        <f t="shared" ref="J66" si="338">INDEX($C$27:$Z$36,MATCH($A65,$A$27:$A$36,0),MATCH(J$39,$C$26:$Z$26,0))</f>
        <v>0</v>
      </c>
      <c r="K66" s="392">
        <f t="shared" ref="K66" si="339">INDEX($C$27:$Z$36,MATCH($A65,$A$27:$A$36,0),MATCH(K$39,$C$26:$Z$26,0))</f>
        <v>0</v>
      </c>
      <c r="L66" s="392">
        <f t="shared" ref="L66" si="340">INDEX($C$27:$Z$36,MATCH($A65,$A$27:$A$36,0),MATCH(L$39,$C$26:$Z$26,0))</f>
        <v>0</v>
      </c>
      <c r="M66" s="392">
        <f t="shared" ref="M66" si="341">INDEX($C$27:$Z$36,MATCH($A65,$A$27:$A$36,0),MATCH(M$39,$C$26:$Z$26,0))</f>
        <v>0</v>
      </c>
      <c r="N66" s="392">
        <f t="shared" ref="N66" si="342">INDEX($C$27:$Z$36,MATCH($A65,$A$27:$A$36,0),MATCH(N$39,$C$26:$Z$26,0))</f>
        <v>0</v>
      </c>
      <c r="O66" s="392">
        <f t="shared" ref="O66" si="343">INDEX($C$27:$Z$36,MATCH($A65,$A$27:$A$36,0),MATCH(O$39,$C$26:$Z$26,0))</f>
        <v>0</v>
      </c>
      <c r="P66" s="392">
        <f t="shared" ref="P66" si="344">INDEX($C$27:$Z$36,MATCH($A65,$A$27:$A$36,0),MATCH(P$39,$C$26:$Z$26,0))</f>
        <v>0</v>
      </c>
      <c r="Q66" s="392">
        <f t="shared" ref="Q66" si="345">INDEX($C$27:$Z$36,MATCH($A65,$A$27:$A$36,0),MATCH(Q$39,$C$26:$Z$26,0))</f>
        <v>0</v>
      </c>
      <c r="R66" s="392">
        <f t="shared" ref="R66" si="346">INDEX($C$27:$Z$36,MATCH($A65,$A$27:$A$36,0),MATCH(R$39,$C$26:$Z$26,0))</f>
        <v>0</v>
      </c>
      <c r="S66" s="392">
        <f t="shared" ref="S66" si="347">INDEX($C$27:$Z$36,MATCH($A65,$A$27:$A$36,0),MATCH(S$39,$C$26:$Z$26,0))</f>
        <v>0</v>
      </c>
      <c r="T66" s="392">
        <f t="shared" ref="T66" si="348">INDEX($C$27:$Z$36,MATCH($A65,$A$27:$A$36,0),MATCH(T$39,$C$26:$Z$26,0))</f>
        <v>0</v>
      </c>
      <c r="U66" s="392">
        <f t="shared" ref="U66" si="349">INDEX($C$27:$Z$36,MATCH($A65,$A$27:$A$36,0),MATCH(U$39,$C$26:$Z$26,0))</f>
        <v>0</v>
      </c>
      <c r="V66" s="392">
        <f t="shared" ref="V66" si="350">INDEX($C$27:$Z$36,MATCH($A65,$A$27:$A$36,0),MATCH(V$39,$C$26:$Z$26,0))</f>
        <v>0</v>
      </c>
      <c r="W66" s="392">
        <f t="shared" ref="W66" si="351">INDEX($C$27:$Z$36,MATCH($A65,$A$27:$A$36,0),MATCH(W$39,$C$26:$Z$26,0))</f>
        <v>0</v>
      </c>
      <c r="X66" s="392">
        <f t="shared" ref="X66" si="352">INDEX($C$27:$Z$36,MATCH($A65,$A$27:$A$36,0),MATCH(X$39,$C$26:$Z$26,0))</f>
        <v>0</v>
      </c>
      <c r="Y66" s="392">
        <f t="shared" ref="Y66" si="353">INDEX($C$27:$Z$36,MATCH($A65,$A$27:$A$36,0),MATCH(Y$39,$C$26:$Z$26,0))</f>
        <v>0</v>
      </c>
      <c r="Z66" s="392">
        <f t="shared" ref="Z66" si="354">INDEX($C$27:$Z$36,MATCH($A65,$A$27:$A$36,0),MATCH(Z$39,$C$26:$Z$26,0))</f>
        <v>0</v>
      </c>
    </row>
    <row r="67" spans="1:26" s="3" customFormat="1" ht="13.2">
      <c r="A67" s="389"/>
      <c r="B67" s="390" t="s">
        <v>1241</v>
      </c>
      <c r="C67" s="393">
        <f>IF(C66="","",C66-C65)</f>
        <v>0</v>
      </c>
      <c r="D67" s="393">
        <f t="shared" ref="D67" si="355">IF(D66="","",D66-D65)</f>
        <v>-4138.7377832083366</v>
      </c>
      <c r="E67" s="393">
        <f t="shared" ref="E67" si="356">IF(E66="","",E66-E65)</f>
        <v>-18172.971500578569</v>
      </c>
      <c r="F67" s="393">
        <f t="shared" ref="F67" si="357">IF(F66="","",F66-F65)</f>
        <v>-32121.678602091284</v>
      </c>
      <c r="G67" s="393">
        <f t="shared" ref="G67" si="358">IF(G66="","",G66-G65)</f>
        <v>-40959.289702403141</v>
      </c>
      <c r="H67" s="393">
        <f t="shared" ref="H67" si="359">IF(H66="","",H66-H65)</f>
        <v>-55380.467801212377</v>
      </c>
      <c r="I67" s="393">
        <f t="shared" ref="I67" si="360">IF(I66="","",I66-I65)</f>
        <v>-55617.875547749652</v>
      </c>
      <c r="J67" s="393">
        <f t="shared" ref="J67" si="361">IF(J66="","",J66-J65)</f>
        <v>-61268.284865899986</v>
      </c>
      <c r="K67" s="393">
        <f t="shared" ref="K67" si="362">IF(K66="","",K66-K65)</f>
        <v>-72136.389741511666</v>
      </c>
      <c r="L67" s="393">
        <f t="shared" ref="L67" si="363">IF(L66="","",L66-L65)</f>
        <v>-82046.388192186365</v>
      </c>
      <c r="M67" s="393">
        <f t="shared" ref="M67" si="364">IF(M66="","",M66-M65)</f>
        <v>-78516.594069449769</v>
      </c>
      <c r="N67" s="393">
        <f t="shared" ref="N67" si="365">IF(N66="","",N66-N65)</f>
        <v>-88792.522086999728</v>
      </c>
      <c r="O67" s="393">
        <f t="shared" ref="O67" si="366">IF(O66="","",O66-O65)</f>
        <v>-85504.246446573408</v>
      </c>
      <c r="P67" s="393">
        <f t="shared" ref="P67" si="367">IF(P66="","",P66-P65)</f>
        <v>-94945.579194771009</v>
      </c>
      <c r="Q67" s="393">
        <f t="shared" ref="Q67" si="368">IF(Q66="","",Q66-Q65)</f>
        <v>-89740.343616621802</v>
      </c>
      <c r="R67" s="393">
        <f t="shared" ref="R67" si="369">IF(R66="","",R66-R65)</f>
        <v>-92675.297131894404</v>
      </c>
      <c r="S67" s="393">
        <f t="shared" ref="S67" si="370">IF(S66="","",S66-S65)</f>
        <v>-86366.363868942179</v>
      </c>
      <c r="T67" s="393">
        <f t="shared" ref="T67" si="371">IF(T66="","",T66-T65)</f>
        <v>-79424.837447344151</v>
      </c>
      <c r="U67" s="393">
        <f t="shared" ref="U67" si="372">IF(U66="","",U66-U65)</f>
        <v>-71790.214672000497</v>
      </c>
      <c r="V67" s="393">
        <f t="shared" ref="V67" si="373">IF(V66="","",V66-V65)</f>
        <v>-79562.98752319772</v>
      </c>
      <c r="W67" s="393">
        <f t="shared" ref="W67" si="374">IF(W66="","",W66-W65)</f>
        <v>-70337.387374201266</v>
      </c>
      <c r="X67" s="393">
        <f t="shared" ref="X67" si="375">IF(X66="","",X66-X65)</f>
        <v>-60200.741795623791</v>
      </c>
      <c r="Y67" s="393">
        <f t="shared" ref="Y67" si="376">IF(Y66="","",Y66-Y65)</f>
        <v>-49066.103958142776</v>
      </c>
      <c r="Z67" s="393">
        <f t="shared" ref="Z67" si="377">IF(Z66="","",Z66-Z65)</f>
        <v>-36838.147528862493</v>
      </c>
    </row>
    <row r="68" spans="1:26" s="3" customFormat="1" ht="13.2">
      <c r="A68" s="389"/>
      <c r="B68" s="390" t="s">
        <v>1242</v>
      </c>
      <c r="C68" s="399" t="str">
        <f>IF(C66="","",IFERROR(C67/C65,""))</f>
        <v/>
      </c>
      <c r="D68" s="394">
        <f t="shared" ref="D68" si="378">IF(D66="","",IFERROR(D67/D65,""))</f>
        <v>-1</v>
      </c>
      <c r="E68" s="394">
        <f t="shared" ref="E68" si="379">IF(E66="","",IFERROR(E67/E65,""))</f>
        <v>-1</v>
      </c>
      <c r="F68" s="394">
        <f t="shared" ref="F68" si="380">IF(F66="","",IFERROR(F67/F65,""))</f>
        <v>-1</v>
      </c>
      <c r="G68" s="394">
        <f t="shared" ref="G68" si="381">IF(G66="","",IFERROR(G67/G65,""))</f>
        <v>-1</v>
      </c>
      <c r="H68" s="394">
        <f t="shared" ref="H68" si="382">IF(H66="","",IFERROR(H67/H65,""))</f>
        <v>-1</v>
      </c>
      <c r="I68" s="394">
        <f t="shared" ref="I68" si="383">IF(I66="","",IFERROR(I67/I65,""))</f>
        <v>-1</v>
      </c>
      <c r="J68" s="394">
        <f t="shared" ref="J68" si="384">IF(J66="","",IFERROR(J67/J65,""))</f>
        <v>-1</v>
      </c>
      <c r="K68" s="394">
        <f t="shared" ref="K68" si="385">IF(K66="","",IFERROR(K67/K65,""))</f>
        <v>-1</v>
      </c>
      <c r="L68" s="394">
        <f t="shared" ref="L68" si="386">IF(L66="","",IFERROR(L67/L65,""))</f>
        <v>-1</v>
      </c>
      <c r="M68" s="394">
        <f t="shared" ref="M68" si="387">IF(M66="","",IFERROR(M67/M65,""))</f>
        <v>-1</v>
      </c>
      <c r="N68" s="394">
        <f t="shared" ref="N68" si="388">IF(N66="","",IFERROR(N67/N65,""))</f>
        <v>-1</v>
      </c>
      <c r="O68" s="394">
        <f t="shared" ref="O68" si="389">IF(O66="","",IFERROR(O67/O65,""))</f>
        <v>-1</v>
      </c>
      <c r="P68" s="394">
        <f t="shared" ref="P68" si="390">IF(P66="","",IFERROR(P67/P65,""))</f>
        <v>-1</v>
      </c>
      <c r="Q68" s="394">
        <f t="shared" ref="Q68" si="391">IF(Q66="","",IFERROR(Q67/Q65,""))</f>
        <v>-1</v>
      </c>
      <c r="R68" s="394">
        <f t="shared" ref="R68" si="392">IF(R66="","",IFERROR(R67/R65,""))</f>
        <v>-1</v>
      </c>
      <c r="S68" s="394">
        <f t="shared" ref="S68" si="393">IF(S66="","",IFERROR(S67/S65,""))</f>
        <v>-1</v>
      </c>
      <c r="T68" s="394">
        <f t="shared" ref="T68" si="394">IF(T66="","",IFERROR(T67/T65,""))</f>
        <v>-1</v>
      </c>
      <c r="U68" s="394">
        <f t="shared" ref="U68" si="395">IF(U66="","",IFERROR(U67/U65,""))</f>
        <v>-1</v>
      </c>
      <c r="V68" s="394">
        <f t="shared" ref="V68" si="396">IF(V66="","",IFERROR(V67/V65,""))</f>
        <v>-1</v>
      </c>
      <c r="W68" s="394">
        <f t="shared" ref="W68" si="397">IF(W66="","",IFERROR(W67/W65,""))</f>
        <v>-1</v>
      </c>
      <c r="X68" s="394">
        <f t="shared" ref="X68" si="398">IF(X66="","",IFERROR(X67/X65,""))</f>
        <v>-1</v>
      </c>
      <c r="Y68" s="394">
        <f t="shared" ref="Y68" si="399">IF(Y66="","",IFERROR(Y67/Y65,""))</f>
        <v>-1</v>
      </c>
      <c r="Z68" s="394">
        <f t="shared" ref="Z68" si="400">IF(Z66="","",IFERROR(Z67/Z65,""))</f>
        <v>-1</v>
      </c>
    </row>
    <row r="69" spans="1:26" s="3" customFormat="1" ht="13.2">
      <c r="A69" s="389"/>
      <c r="B69" s="390" t="s">
        <v>1243</v>
      </c>
      <c r="C69" s="400"/>
      <c r="D69" s="395" t="str">
        <f t="shared" ref="D69" si="401">IF(D66="","",IF(ABS(D68)&lt;=$B$9,"OK",IF($A65="Headcount","Review",IF(OR($A65="Monthly Net Burn",$A65="CAC Payback",$A65="Logo Churn Rate %"),IF(D66&lt;D65,"Favorable","Review"),IF(D66&gt;D65,"Favorable","Review")))))</f>
        <v>Favorable</v>
      </c>
      <c r="E69" s="395" t="str">
        <f t="shared" ref="E69" si="402">IF(E66="","",IF(ABS(E68)&lt;=$B$9,"OK",IF($A65="Headcount","Review",IF(OR($A65="Monthly Net Burn",$A65="CAC Payback",$A65="Logo Churn Rate %"),IF(E66&lt;E65,"Favorable","Review"),IF(E66&gt;E65,"Favorable","Review")))))</f>
        <v>Favorable</v>
      </c>
      <c r="F69" s="395" t="str">
        <f t="shared" ref="F69" si="403">IF(F66="","",IF(ABS(F68)&lt;=$B$9,"OK",IF($A65="Headcount","Review",IF(OR($A65="Monthly Net Burn",$A65="CAC Payback",$A65="Logo Churn Rate %"),IF(F66&lt;F65,"Favorable","Review"),IF(F66&gt;F65,"Favorable","Review")))))</f>
        <v>Favorable</v>
      </c>
      <c r="G69" s="395" t="str">
        <f t="shared" ref="G69" si="404">IF(G66="","",IF(ABS(G68)&lt;=$B$9,"OK",IF($A65="Headcount","Review",IF(OR($A65="Monthly Net Burn",$A65="CAC Payback",$A65="Logo Churn Rate %"),IF(G66&lt;G65,"Favorable","Review"),IF(G66&gt;G65,"Favorable","Review")))))</f>
        <v>Favorable</v>
      </c>
      <c r="H69" s="395" t="str">
        <f t="shared" ref="H69" si="405">IF(H66="","",IF(ABS(H68)&lt;=$B$9,"OK",IF($A65="Headcount","Review",IF(OR($A65="Monthly Net Burn",$A65="CAC Payback",$A65="Logo Churn Rate %"),IF(H66&lt;H65,"Favorable","Review"),IF(H66&gt;H65,"Favorable","Review")))))</f>
        <v>Favorable</v>
      </c>
      <c r="I69" s="395" t="str">
        <f t="shared" ref="I69" si="406">IF(I66="","",IF(ABS(I68)&lt;=$B$9,"OK",IF($A65="Headcount","Review",IF(OR($A65="Monthly Net Burn",$A65="CAC Payback",$A65="Logo Churn Rate %"),IF(I66&lt;I65,"Favorable","Review"),IF(I66&gt;I65,"Favorable","Review")))))</f>
        <v>Favorable</v>
      </c>
      <c r="J69" s="395" t="str">
        <f t="shared" ref="J69" si="407">IF(J66="","",IF(ABS(J68)&lt;=$B$9,"OK",IF($A65="Headcount","Review",IF(OR($A65="Monthly Net Burn",$A65="CAC Payback",$A65="Logo Churn Rate %"),IF(J66&lt;J65,"Favorable","Review"),IF(J66&gt;J65,"Favorable","Review")))))</f>
        <v>Favorable</v>
      </c>
      <c r="K69" s="395" t="str">
        <f t="shared" ref="K69" si="408">IF(K66="","",IF(ABS(K68)&lt;=$B$9,"OK",IF($A65="Headcount","Review",IF(OR($A65="Monthly Net Burn",$A65="CAC Payback",$A65="Logo Churn Rate %"),IF(K66&lt;K65,"Favorable","Review"),IF(K66&gt;K65,"Favorable","Review")))))</f>
        <v>Favorable</v>
      </c>
      <c r="L69" s="395" t="str">
        <f t="shared" ref="L69" si="409">IF(L66="","",IF(ABS(L68)&lt;=$B$9,"OK",IF($A65="Headcount","Review",IF(OR($A65="Monthly Net Burn",$A65="CAC Payback",$A65="Logo Churn Rate %"),IF(L66&lt;L65,"Favorable","Review"),IF(L66&gt;L65,"Favorable","Review")))))</f>
        <v>Favorable</v>
      </c>
      <c r="M69" s="395" t="str">
        <f t="shared" ref="M69" si="410">IF(M66="","",IF(ABS(M68)&lt;=$B$9,"OK",IF($A65="Headcount","Review",IF(OR($A65="Monthly Net Burn",$A65="CAC Payback",$A65="Logo Churn Rate %"),IF(M66&lt;M65,"Favorable","Review"),IF(M66&gt;M65,"Favorable","Review")))))</f>
        <v>Favorable</v>
      </c>
      <c r="N69" s="395" t="str">
        <f t="shared" ref="N69" si="411">IF(N66="","",IF(ABS(N68)&lt;=$B$9,"OK",IF($A65="Headcount","Review",IF(OR($A65="Monthly Net Burn",$A65="CAC Payback",$A65="Logo Churn Rate %"),IF(N66&lt;N65,"Favorable","Review"),IF(N66&gt;N65,"Favorable","Review")))))</f>
        <v>Favorable</v>
      </c>
      <c r="O69" s="395" t="str">
        <f t="shared" ref="O69" si="412">IF(O66="","",IF(ABS(O68)&lt;=$B$9,"OK",IF($A65="Headcount","Review",IF(OR($A65="Monthly Net Burn",$A65="CAC Payback",$A65="Logo Churn Rate %"),IF(O66&lt;O65,"Favorable","Review"),IF(O66&gt;O65,"Favorable","Review")))))</f>
        <v>Favorable</v>
      </c>
      <c r="P69" s="395" t="str">
        <f t="shared" ref="P69" si="413">IF(P66="","",IF(ABS(P68)&lt;=$B$9,"OK",IF($A65="Headcount","Review",IF(OR($A65="Monthly Net Burn",$A65="CAC Payback",$A65="Logo Churn Rate %"),IF(P66&lt;P65,"Favorable","Review"),IF(P66&gt;P65,"Favorable","Review")))))</f>
        <v>Favorable</v>
      </c>
      <c r="Q69" s="395" t="str">
        <f t="shared" ref="Q69" si="414">IF(Q66="","",IF(ABS(Q68)&lt;=$B$9,"OK",IF($A65="Headcount","Review",IF(OR($A65="Monthly Net Burn",$A65="CAC Payback",$A65="Logo Churn Rate %"),IF(Q66&lt;Q65,"Favorable","Review"),IF(Q66&gt;Q65,"Favorable","Review")))))</f>
        <v>Favorable</v>
      </c>
      <c r="R69" s="395" t="str">
        <f t="shared" ref="R69" si="415">IF(R66="","",IF(ABS(R68)&lt;=$B$9,"OK",IF($A65="Headcount","Review",IF(OR($A65="Monthly Net Burn",$A65="CAC Payback",$A65="Logo Churn Rate %"),IF(R66&lt;R65,"Favorable","Review"),IF(R66&gt;R65,"Favorable","Review")))))</f>
        <v>Favorable</v>
      </c>
      <c r="S69" s="395" t="str">
        <f t="shared" ref="S69" si="416">IF(S66="","",IF(ABS(S68)&lt;=$B$9,"OK",IF($A65="Headcount","Review",IF(OR($A65="Monthly Net Burn",$A65="CAC Payback",$A65="Logo Churn Rate %"),IF(S66&lt;S65,"Favorable","Review"),IF(S66&gt;S65,"Favorable","Review")))))</f>
        <v>Favorable</v>
      </c>
      <c r="T69" s="395" t="str">
        <f t="shared" ref="T69" si="417">IF(T66="","",IF(ABS(T68)&lt;=$B$9,"OK",IF($A65="Headcount","Review",IF(OR($A65="Monthly Net Burn",$A65="CAC Payback",$A65="Logo Churn Rate %"),IF(T66&lt;T65,"Favorable","Review"),IF(T66&gt;T65,"Favorable","Review")))))</f>
        <v>Favorable</v>
      </c>
      <c r="U69" s="395" t="str">
        <f t="shared" ref="U69" si="418">IF(U66="","",IF(ABS(U68)&lt;=$B$9,"OK",IF($A65="Headcount","Review",IF(OR($A65="Monthly Net Burn",$A65="CAC Payback",$A65="Logo Churn Rate %"),IF(U66&lt;U65,"Favorable","Review"),IF(U66&gt;U65,"Favorable","Review")))))</f>
        <v>Favorable</v>
      </c>
      <c r="V69" s="395" t="str">
        <f t="shared" ref="V69" si="419">IF(V66="","",IF(ABS(V68)&lt;=$B$9,"OK",IF($A65="Headcount","Review",IF(OR($A65="Monthly Net Burn",$A65="CAC Payback",$A65="Logo Churn Rate %"),IF(V66&lt;V65,"Favorable","Review"),IF(V66&gt;V65,"Favorable","Review")))))</f>
        <v>Favorable</v>
      </c>
      <c r="W69" s="395" t="str">
        <f t="shared" ref="W69" si="420">IF(W66="","",IF(ABS(W68)&lt;=$B$9,"OK",IF($A65="Headcount","Review",IF(OR($A65="Monthly Net Burn",$A65="CAC Payback",$A65="Logo Churn Rate %"),IF(W66&lt;W65,"Favorable","Review"),IF(W66&gt;W65,"Favorable","Review")))))</f>
        <v>Favorable</v>
      </c>
      <c r="X69" s="395" t="str">
        <f t="shared" ref="X69" si="421">IF(X66="","",IF(ABS(X68)&lt;=$B$9,"OK",IF($A65="Headcount","Review",IF(OR($A65="Monthly Net Burn",$A65="CAC Payback",$A65="Logo Churn Rate %"),IF(X66&lt;X65,"Favorable","Review"),IF(X66&gt;X65,"Favorable","Review")))))</f>
        <v>Favorable</v>
      </c>
      <c r="Y69" s="395" t="str">
        <f t="shared" ref="Y69" si="422">IF(Y66="","",IF(ABS(Y68)&lt;=$B$9,"OK",IF($A65="Headcount","Review",IF(OR($A65="Monthly Net Burn",$A65="CAC Payback",$A65="Logo Churn Rate %"),IF(Y66&lt;Y65,"Favorable","Review"),IF(Y66&gt;Y65,"Favorable","Review")))))</f>
        <v>Favorable</v>
      </c>
      <c r="Z69" s="395" t="str">
        <f t="shared" ref="Z69" si="423">IF(Z66="","",IF(ABS(Z68)&lt;=$B$9,"OK",IF($A65="Headcount","Review",IF(OR($A65="Monthly Net Burn",$A65="CAC Payback",$A65="Logo Churn Rate %"),IF(Z66&lt;Z65,"Favorable","Review"),IF(Z66&gt;Z65,"Favorable","Review")))))</f>
        <v>Favorable</v>
      </c>
    </row>
    <row r="70" spans="1:26" s="3" customFormat="1" ht="13.2">
      <c r="A70" s="389" t="s">
        <v>1059</v>
      </c>
      <c r="B70" s="390" t="s">
        <v>1239</v>
      </c>
      <c r="C70" s="391" t="str" cm="1">
        <f t="array" ref="C70">INDEX('8. Scenarios'!$B$22:$Y$31,MATCH(_xlfn.SWITCH($A70,"Total Monthly Revenue","Revenue",$A70),'8. Scenarios'!$A$22:$A$31,0),MATCH(C$39,'8. Scenarios'!$B$21:$Y$21,0))</f>
        <v>No Burn</v>
      </c>
      <c r="D70" s="391" cm="1">
        <f t="array" ref="D70">INDEX('8. Scenarios'!$B$22:$Y$31,MATCH(_xlfn.SWITCH($A70,"Total Monthly Revenue","Revenue",$A70),'8. Scenarios'!$A$22:$A$31,0),MATCH(D$39,'8. Scenarios'!$B$21:$Y$21,0))</f>
        <v>364.40982814917766</v>
      </c>
      <c r="E70" s="391" cm="1">
        <f t="array" ref="E70">INDEX('8. Scenarios'!$B$22:$Y$31,MATCH(_xlfn.SWITCH($A70,"Total Monthly Revenue","Revenue",$A70),'8. Scenarios'!$A$22:$A$31,0),MATCH(E$39,'8. Scenarios'!$B$21:$Y$21,0))</f>
        <v>81.991200656724857</v>
      </c>
      <c r="F70" s="391" cm="1">
        <f t="array" ref="F70">INDEX('8. Scenarios'!$B$22:$Y$31,MATCH(_xlfn.SWITCH($A70,"Total Monthly Revenue","Revenue",$A70),'8. Scenarios'!$A$22:$A$31,0),MATCH(F$39,'8. Scenarios'!$B$21:$Y$21,0))</f>
        <v>45.386858273834783</v>
      </c>
      <c r="G70" s="391" cm="1">
        <f t="array" ref="G70">INDEX('8. Scenarios'!$B$22:$Y$31,MATCH(_xlfn.SWITCH($A70,"Total Monthly Revenue","Revenue",$A70),'8. Scenarios'!$A$22:$A$31,0),MATCH(G$39,'8. Scenarios'!$B$21:$Y$21,0))</f>
        <v>34.593929602379099</v>
      </c>
      <c r="H70" s="391" cm="1">
        <f t="array" ref="H70">INDEX('8. Scenarios'!$B$22:$Y$31,MATCH(_xlfn.SWITCH($A70,"Total Monthly Revenue","Revenue",$A70),'8. Scenarios'!$A$22:$A$31,0),MATCH(H$39,'8. Scenarios'!$B$21:$Y$21,0))</f>
        <v>24.585605192330391</v>
      </c>
      <c r="I70" s="391" cm="1">
        <f t="array" ref="I70">INDEX('8. Scenarios'!$B$22:$Y$31,MATCH(_xlfn.SWITCH($A70,"Total Monthly Revenue","Revenue",$A70),'8. Scenarios'!$A$22:$A$31,0),MATCH(I$39,'8. Scenarios'!$B$21:$Y$21,0))</f>
        <v>23.480660279054167</v>
      </c>
      <c r="J70" s="391" cm="1">
        <f t="array" ref="J70">INDEX('8. Scenarios'!$B$22:$Y$31,MATCH(_xlfn.SWITCH($A70,"Total Monthly Revenue","Revenue",$A70),'8. Scenarios'!$A$22:$A$31,0),MATCH(J$39,'8. Scenarios'!$B$21:$Y$21,0))</f>
        <v>20.315178710123668</v>
      </c>
      <c r="K70" s="391" cm="1">
        <f t="array" ref="K70">INDEX('8. Scenarios'!$B$22:$Y$31,MATCH(_xlfn.SWITCH($A70,"Total Monthly Revenue","Revenue",$A70),'8. Scenarios'!$A$22:$A$31,0),MATCH(K$39,'8. Scenarios'!$B$21:$Y$21,0))</f>
        <v>16.254483635424588</v>
      </c>
      <c r="L70" s="391" cm="1">
        <f t="array" ref="L70">INDEX('8. Scenarios'!$B$22:$Y$31,MATCH(_xlfn.SWITCH($A70,"Total Monthly Revenue","Revenue",$A70),'8. Scenarios'!$A$22:$A$31,0),MATCH(L$39,'8. Scenarios'!$B$21:$Y$21,0))</f>
        <v>13.291180786964583</v>
      </c>
      <c r="M70" s="391" cm="1">
        <f t="array" ref="M70">INDEX('8. Scenarios'!$B$22:$Y$31,MATCH(_xlfn.SWITCH($A70,"Total Monthly Revenue","Revenue",$A70),'8. Scenarios'!$A$22:$A$31,0),MATCH(M$39,'8. Scenarios'!$B$21:$Y$21,0))</f>
        <v>12.88869946925179</v>
      </c>
      <c r="N70" s="391" cm="1">
        <f t="array" ref="N70">INDEX('8. Scenarios'!$B$22:$Y$31,MATCH(_xlfn.SWITCH($A70,"Total Monthly Revenue","Revenue",$A70),'8. Scenarios'!$A$22:$A$31,0),MATCH(N$39,'8. Scenarios'!$B$21:$Y$21,0))</f>
        <v>10.397094716138723</v>
      </c>
      <c r="O70" s="391" cm="1">
        <f t="array" ref="O70">INDEX('8. Scenarios'!$B$22:$Y$31,MATCH(_xlfn.SWITCH($A70,"Total Monthly Revenue","Revenue",$A70),'8. Scenarios'!$A$22:$A$31,0),MATCH(O$39,'8. Scenarios'!$B$21:$Y$21,0))</f>
        <v>9.7969405098519804</v>
      </c>
      <c r="P70" s="391" cm="1">
        <f t="array" ref="P70">INDEX('8. Scenarios'!$B$22:$Y$31,MATCH(_xlfn.SWITCH($A70,"Total Monthly Revenue","Revenue",$A70),'8. Scenarios'!$A$22:$A$31,0),MATCH(P$39,'8. Scenarios'!$B$21:$Y$21,0))</f>
        <v>7.8227384874696337</v>
      </c>
      <c r="Q70" s="391" cm="1">
        <f t="array" ref="Q70">INDEX('8. Scenarios'!$B$22:$Y$31,MATCH(_xlfn.SWITCH($A70,"Total Monthly Revenue","Revenue",$A70),'8. Scenarios'!$A$22:$A$31,0),MATCH(Q$39,'8. Scenarios'!$B$21:$Y$21,0))</f>
        <v>7.2764830916522278</v>
      </c>
      <c r="R70" s="391" cm="1">
        <f t="array" ref="R70">INDEX('8. Scenarios'!$B$22:$Y$31,MATCH(_xlfn.SWITCH($A70,"Total Monthly Revenue","Revenue",$A70),'8. Scenarios'!$A$22:$A$31,0),MATCH(R$39,'8. Scenarios'!$B$21:$Y$21,0))</f>
        <v>6.0460426151758213</v>
      </c>
      <c r="S70" s="391" cm="1">
        <f t="array" ref="S70">INDEX('8. Scenarios'!$B$22:$Y$31,MATCH(_xlfn.SWITCH($A70,"Total Monthly Revenue","Revenue",$A70),'8. Scenarios'!$A$22:$A$31,0),MATCH(S$39,'8. Scenarios'!$B$21:$Y$21,0))</f>
        <v>5.4876969543812049</v>
      </c>
      <c r="T70" s="391" cm="1">
        <f t="array" ref="T70">INDEX('8. Scenarios'!$B$22:$Y$31,MATCH(_xlfn.SWITCH($A70,"Total Monthly Revenue","Revenue",$A70),'8. Scenarios'!$A$22:$A$31,0),MATCH(T$39,'8. Scenarios'!$B$21:$Y$21,0))</f>
        <v>4.9673075475764943</v>
      </c>
      <c r="U70" s="391" cm="1">
        <f t="array" ref="U70">INDEX('8. Scenarios'!$B$22:$Y$31,MATCH(_xlfn.SWITCH($A70,"Total Monthly Revenue","Revenue",$A70),'8. Scenarios'!$A$22:$A$31,0),MATCH(U$39,'8. Scenarios'!$B$21:$Y$21,0))</f>
        <v>4.4955622617897228</v>
      </c>
      <c r="V70" s="391" cm="1">
        <f t="array" ref="V70">INDEX('8. Scenarios'!$B$22:$Y$31,MATCH(_xlfn.SWITCH($A70,"Total Monthly Revenue","Revenue",$A70),'8. Scenarios'!$A$22:$A$31,0),MATCH(V$39,'8. Scenarios'!$B$21:$Y$21,0))</f>
        <v>3.0563758336893723</v>
      </c>
      <c r="W70" s="391" cm="1">
        <f t="array" ref="W70">INDEX('8. Scenarios'!$B$22:$Y$31,MATCH(_xlfn.SWITCH($A70,"Total Monthly Revenue","Revenue",$A70),'8. Scenarios'!$A$22:$A$31,0),MATCH(W$39,'8. Scenarios'!$B$21:$Y$21,0))</f>
        <v>2.4572565373848874</v>
      </c>
      <c r="X70" s="391" cm="1">
        <f t="array" ref="X70">INDEX('8. Scenarios'!$B$22:$Y$31,MATCH(_xlfn.SWITCH($A70,"Total Monthly Revenue","Revenue",$A70),'8. Scenarios'!$A$22:$A$31,0),MATCH(X$39,'8. Scenarios'!$B$21:$Y$21,0))</f>
        <v>1.8710112166822741</v>
      </c>
      <c r="Y70" s="391" cm="1">
        <f t="array" ref="Y70">INDEX('8. Scenarios'!$B$22:$Y$31,MATCH(_xlfn.SWITCH($A70,"Total Monthly Revenue","Revenue",$A70),'8. Scenarios'!$A$22:$A$31,0),MATCH(Y$39,'8. Scenarios'!$B$21:$Y$21,0))</f>
        <v>103.19894490733734</v>
      </c>
      <c r="Z70" s="391" cm="1">
        <f t="array" ref="Z70">INDEX('8. Scenarios'!$B$22:$Y$31,MATCH(_xlfn.SWITCH($A70,"Total Monthly Revenue","Revenue",$A70),'8. Scenarios'!$A$22:$A$31,0),MATCH(Z$39,'8. Scenarios'!$B$21:$Y$21,0))</f>
        <v>136.4545274087624</v>
      </c>
    </row>
    <row r="71" spans="1:26" s="3" customFormat="1" ht="13.2">
      <c r="A71" s="389"/>
      <c r="B71" s="390" t="s">
        <v>1240</v>
      </c>
      <c r="C71" s="392">
        <f>INDEX($C$27:$Z$36,MATCH($A70,$A$27:$A$36,0),MATCH(C$39,$C$26:$Z$26,0))</f>
        <v>0</v>
      </c>
      <c r="D71" s="392">
        <f t="shared" ref="D71" si="424">INDEX($C$27:$Z$36,MATCH($A70,$A$27:$A$36,0),MATCH(D$39,$C$26:$Z$26,0))</f>
        <v>0</v>
      </c>
      <c r="E71" s="392">
        <f t="shared" ref="E71" si="425">INDEX($C$27:$Z$36,MATCH($A70,$A$27:$A$36,0),MATCH(E$39,$C$26:$Z$26,0))</f>
        <v>0</v>
      </c>
      <c r="F71" s="392">
        <f t="shared" ref="F71" si="426">INDEX($C$27:$Z$36,MATCH($A70,$A$27:$A$36,0),MATCH(F$39,$C$26:$Z$26,0))</f>
        <v>0</v>
      </c>
      <c r="G71" s="392">
        <f t="shared" ref="G71" si="427">INDEX($C$27:$Z$36,MATCH($A70,$A$27:$A$36,0),MATCH(G$39,$C$26:$Z$26,0))</f>
        <v>0</v>
      </c>
      <c r="H71" s="392">
        <f t="shared" ref="H71" si="428">INDEX($C$27:$Z$36,MATCH($A70,$A$27:$A$36,0),MATCH(H$39,$C$26:$Z$26,0))</f>
        <v>0</v>
      </c>
      <c r="I71" s="392">
        <f t="shared" ref="I71" si="429">INDEX($C$27:$Z$36,MATCH($A70,$A$27:$A$36,0),MATCH(I$39,$C$26:$Z$26,0))</f>
        <v>0</v>
      </c>
      <c r="J71" s="392">
        <f t="shared" ref="J71" si="430">INDEX($C$27:$Z$36,MATCH($A70,$A$27:$A$36,0),MATCH(J$39,$C$26:$Z$26,0))</f>
        <v>0</v>
      </c>
      <c r="K71" s="392">
        <f t="shared" ref="K71" si="431">INDEX($C$27:$Z$36,MATCH($A70,$A$27:$A$36,0),MATCH(K$39,$C$26:$Z$26,0))</f>
        <v>0</v>
      </c>
      <c r="L71" s="392">
        <f t="shared" ref="L71" si="432">INDEX($C$27:$Z$36,MATCH($A70,$A$27:$A$36,0),MATCH(L$39,$C$26:$Z$26,0))</f>
        <v>0</v>
      </c>
      <c r="M71" s="392">
        <f t="shared" ref="M71" si="433">INDEX($C$27:$Z$36,MATCH($A70,$A$27:$A$36,0),MATCH(M$39,$C$26:$Z$26,0))</f>
        <v>0</v>
      </c>
      <c r="N71" s="392">
        <f t="shared" ref="N71" si="434">INDEX($C$27:$Z$36,MATCH($A70,$A$27:$A$36,0),MATCH(N$39,$C$26:$Z$26,0))</f>
        <v>0</v>
      </c>
      <c r="O71" s="392">
        <f t="shared" ref="O71" si="435">INDEX($C$27:$Z$36,MATCH($A70,$A$27:$A$36,0),MATCH(O$39,$C$26:$Z$26,0))</f>
        <v>0</v>
      </c>
      <c r="P71" s="392">
        <f t="shared" ref="P71" si="436">INDEX($C$27:$Z$36,MATCH($A70,$A$27:$A$36,0),MATCH(P$39,$C$26:$Z$26,0))</f>
        <v>0</v>
      </c>
      <c r="Q71" s="392">
        <f t="shared" ref="Q71" si="437">INDEX($C$27:$Z$36,MATCH($A70,$A$27:$A$36,0),MATCH(Q$39,$C$26:$Z$26,0))</f>
        <v>0</v>
      </c>
      <c r="R71" s="392">
        <f t="shared" ref="R71" si="438">INDEX($C$27:$Z$36,MATCH($A70,$A$27:$A$36,0),MATCH(R$39,$C$26:$Z$26,0))</f>
        <v>0</v>
      </c>
      <c r="S71" s="392">
        <f t="shared" ref="S71" si="439">INDEX($C$27:$Z$36,MATCH($A70,$A$27:$A$36,0),MATCH(S$39,$C$26:$Z$26,0))</f>
        <v>0</v>
      </c>
      <c r="T71" s="392">
        <f t="shared" ref="T71" si="440">INDEX($C$27:$Z$36,MATCH($A70,$A$27:$A$36,0),MATCH(T$39,$C$26:$Z$26,0))</f>
        <v>0</v>
      </c>
      <c r="U71" s="392">
        <f t="shared" ref="U71" si="441">INDEX($C$27:$Z$36,MATCH($A70,$A$27:$A$36,0),MATCH(U$39,$C$26:$Z$26,0))</f>
        <v>0</v>
      </c>
      <c r="V71" s="392">
        <f t="shared" ref="V71" si="442">INDEX($C$27:$Z$36,MATCH($A70,$A$27:$A$36,0),MATCH(V$39,$C$26:$Z$26,0))</f>
        <v>0</v>
      </c>
      <c r="W71" s="392">
        <f t="shared" ref="W71" si="443">INDEX($C$27:$Z$36,MATCH($A70,$A$27:$A$36,0),MATCH(W$39,$C$26:$Z$26,0))</f>
        <v>0</v>
      </c>
      <c r="X71" s="392">
        <f t="shared" ref="X71" si="444">INDEX($C$27:$Z$36,MATCH($A70,$A$27:$A$36,0),MATCH(X$39,$C$26:$Z$26,0))</f>
        <v>0</v>
      </c>
      <c r="Y71" s="392">
        <f t="shared" ref="Y71" si="445">INDEX($C$27:$Z$36,MATCH($A70,$A$27:$A$36,0),MATCH(Y$39,$C$26:$Z$26,0))</f>
        <v>0</v>
      </c>
      <c r="Z71" s="392">
        <f t="shared" ref="Z71" si="446">INDEX($C$27:$Z$36,MATCH($A70,$A$27:$A$36,0),MATCH(Z$39,$C$26:$Z$26,0))</f>
        <v>0</v>
      </c>
    </row>
    <row r="72" spans="1:26" s="3" customFormat="1" ht="13.2">
      <c r="A72" s="389"/>
      <c r="B72" s="390" t="s">
        <v>1241</v>
      </c>
      <c r="C72" s="401" t="e">
        <f>IF(C71="","",C71-C70)</f>
        <v>#VALUE!</v>
      </c>
      <c r="D72" s="393">
        <f t="shared" ref="D72" si="447">IF(D71="","",D71-D70)</f>
        <v>-364.40982814917766</v>
      </c>
      <c r="E72" s="393">
        <f t="shared" ref="E72" si="448">IF(E71="","",E71-E70)</f>
        <v>-81.991200656724857</v>
      </c>
      <c r="F72" s="393">
        <f t="shared" ref="F72" si="449">IF(F71="","",F71-F70)</f>
        <v>-45.386858273834783</v>
      </c>
      <c r="G72" s="393">
        <f t="shared" ref="G72" si="450">IF(G71="","",G71-G70)</f>
        <v>-34.593929602379099</v>
      </c>
      <c r="H72" s="393">
        <f t="shared" ref="H72" si="451">IF(H71="","",H71-H70)</f>
        <v>-24.585605192330391</v>
      </c>
      <c r="I72" s="393">
        <f t="shared" ref="I72" si="452">IF(I71="","",I71-I70)</f>
        <v>-23.480660279054167</v>
      </c>
      <c r="J72" s="393">
        <f t="shared" ref="J72" si="453">IF(J71="","",J71-J70)</f>
        <v>-20.315178710123668</v>
      </c>
      <c r="K72" s="393">
        <f t="shared" ref="K72" si="454">IF(K71="","",K71-K70)</f>
        <v>-16.254483635424588</v>
      </c>
      <c r="L72" s="393">
        <f t="shared" ref="L72" si="455">IF(L71="","",L71-L70)</f>
        <v>-13.291180786964583</v>
      </c>
      <c r="M72" s="393">
        <f t="shared" ref="M72" si="456">IF(M71="","",M71-M70)</f>
        <v>-12.88869946925179</v>
      </c>
      <c r="N72" s="393">
        <f t="shared" ref="N72" si="457">IF(N71="","",N71-N70)</f>
        <v>-10.397094716138723</v>
      </c>
      <c r="O72" s="393">
        <f t="shared" ref="O72" si="458">IF(O71="","",O71-O70)</f>
        <v>-9.7969405098519804</v>
      </c>
      <c r="P72" s="393">
        <f t="shared" ref="P72" si="459">IF(P71="","",P71-P70)</f>
        <v>-7.8227384874696337</v>
      </c>
      <c r="Q72" s="393">
        <f t="shared" ref="Q72" si="460">IF(Q71="","",Q71-Q70)</f>
        <v>-7.2764830916522278</v>
      </c>
      <c r="R72" s="393">
        <f t="shared" ref="R72" si="461">IF(R71="","",R71-R70)</f>
        <v>-6.0460426151758213</v>
      </c>
      <c r="S72" s="393">
        <f t="shared" ref="S72" si="462">IF(S71="","",S71-S70)</f>
        <v>-5.4876969543812049</v>
      </c>
      <c r="T72" s="393">
        <f t="shared" ref="T72" si="463">IF(T71="","",T71-T70)</f>
        <v>-4.9673075475764943</v>
      </c>
      <c r="U72" s="393">
        <f t="shared" ref="U72" si="464">IF(U71="","",U71-U70)</f>
        <v>-4.4955622617897228</v>
      </c>
      <c r="V72" s="393">
        <f t="shared" ref="V72" si="465">IF(V71="","",V71-V70)</f>
        <v>-3.0563758336893723</v>
      </c>
      <c r="W72" s="393">
        <f t="shared" ref="W72" si="466">IF(W71="","",W71-W70)</f>
        <v>-2.4572565373848874</v>
      </c>
      <c r="X72" s="393">
        <f t="shared" ref="X72" si="467">IF(X71="","",X71-X70)</f>
        <v>-1.8710112166822741</v>
      </c>
      <c r="Y72" s="393">
        <f t="shared" ref="Y72" si="468">IF(Y71="","",Y71-Y70)</f>
        <v>-103.19894490733734</v>
      </c>
      <c r="Z72" s="393">
        <f t="shared" ref="Z72" si="469">IF(Z71="","",Z71-Z70)</f>
        <v>-136.4545274087624</v>
      </c>
    </row>
    <row r="73" spans="1:26" s="3" customFormat="1" ht="13.2">
      <c r="A73" s="389"/>
      <c r="B73" s="390" t="s">
        <v>1242</v>
      </c>
      <c r="C73" s="399" t="str">
        <f>IF(C71="","",IFERROR(C72/C70,""))</f>
        <v/>
      </c>
      <c r="D73" s="394">
        <f t="shared" ref="D73" si="470">IF(D71="","",IFERROR(D72/D70,""))</f>
        <v>-1</v>
      </c>
      <c r="E73" s="394">
        <f t="shared" ref="E73" si="471">IF(E71="","",IFERROR(E72/E70,""))</f>
        <v>-1</v>
      </c>
      <c r="F73" s="394">
        <f t="shared" ref="F73" si="472">IF(F71="","",IFERROR(F72/F70,""))</f>
        <v>-1</v>
      </c>
      <c r="G73" s="394">
        <f t="shared" ref="G73" si="473">IF(G71="","",IFERROR(G72/G70,""))</f>
        <v>-1</v>
      </c>
      <c r="H73" s="394">
        <f t="shared" ref="H73" si="474">IF(H71="","",IFERROR(H72/H70,""))</f>
        <v>-1</v>
      </c>
      <c r="I73" s="394">
        <f t="shared" ref="I73" si="475">IF(I71="","",IFERROR(I72/I70,""))</f>
        <v>-1</v>
      </c>
      <c r="J73" s="394">
        <f t="shared" ref="J73" si="476">IF(J71="","",IFERROR(J72/J70,""))</f>
        <v>-1</v>
      </c>
      <c r="K73" s="394">
        <f t="shared" ref="K73" si="477">IF(K71="","",IFERROR(K72/K70,""))</f>
        <v>-1</v>
      </c>
      <c r="L73" s="394">
        <f t="shared" ref="L73" si="478">IF(L71="","",IFERROR(L72/L70,""))</f>
        <v>-1</v>
      </c>
      <c r="M73" s="394">
        <f t="shared" ref="M73" si="479">IF(M71="","",IFERROR(M72/M70,""))</f>
        <v>-1</v>
      </c>
      <c r="N73" s="394">
        <f t="shared" ref="N73" si="480">IF(N71="","",IFERROR(N72/N70,""))</f>
        <v>-1</v>
      </c>
      <c r="O73" s="394">
        <f t="shared" ref="O73" si="481">IF(O71="","",IFERROR(O72/O70,""))</f>
        <v>-1</v>
      </c>
      <c r="P73" s="394">
        <f t="shared" ref="P73" si="482">IF(P71="","",IFERROR(P72/P70,""))</f>
        <v>-1</v>
      </c>
      <c r="Q73" s="394">
        <f t="shared" ref="Q73" si="483">IF(Q71="","",IFERROR(Q72/Q70,""))</f>
        <v>-1</v>
      </c>
      <c r="R73" s="394">
        <f t="shared" ref="R73" si="484">IF(R71="","",IFERROR(R72/R70,""))</f>
        <v>-1</v>
      </c>
      <c r="S73" s="394">
        <f t="shared" ref="S73" si="485">IF(S71="","",IFERROR(S72/S70,""))</f>
        <v>-1</v>
      </c>
      <c r="T73" s="394">
        <f t="shared" ref="T73" si="486">IF(T71="","",IFERROR(T72/T70,""))</f>
        <v>-1</v>
      </c>
      <c r="U73" s="394">
        <f t="shared" ref="U73" si="487">IF(U71="","",IFERROR(U72/U70,""))</f>
        <v>-1</v>
      </c>
      <c r="V73" s="394">
        <f t="shared" ref="V73" si="488">IF(V71="","",IFERROR(V72/V70,""))</f>
        <v>-1</v>
      </c>
      <c r="W73" s="394">
        <f t="shared" ref="W73" si="489">IF(W71="","",IFERROR(W72/W70,""))</f>
        <v>-1</v>
      </c>
      <c r="X73" s="394">
        <f t="shared" ref="X73" si="490">IF(X71="","",IFERROR(X72/X70,""))</f>
        <v>-1</v>
      </c>
      <c r="Y73" s="394">
        <f t="shared" ref="Y73" si="491">IF(Y71="","",IFERROR(Y72/Y70,""))</f>
        <v>-1</v>
      </c>
      <c r="Z73" s="394">
        <f t="shared" ref="Z73" si="492">IF(Z71="","",IFERROR(Z72/Z70,""))</f>
        <v>-1</v>
      </c>
    </row>
    <row r="74" spans="1:26" s="3" customFormat="1" ht="13.2">
      <c r="A74" s="389"/>
      <c r="B74" s="390" t="s">
        <v>1243</v>
      </c>
      <c r="C74" s="400"/>
      <c r="D74" s="395" t="str">
        <f t="shared" ref="D74" si="493">IF(D71="","",IF(ABS(D73)&lt;=$B$9,"OK",IF($A70="Headcount","Review",IF(OR($A70="Monthly Net Burn",$A70="CAC Payback",$A70="Logo Churn Rate %"),IF(D71&lt;D70,"Favorable","Review"),IF(D71&gt;D70,"Favorable","Review")))))</f>
        <v>Review</v>
      </c>
      <c r="E74" s="395" t="str">
        <f t="shared" ref="E74" si="494">IF(E71="","",IF(ABS(E73)&lt;=$B$9,"OK",IF($A70="Headcount","Review",IF(OR($A70="Monthly Net Burn",$A70="CAC Payback",$A70="Logo Churn Rate %"),IF(E71&lt;E70,"Favorable","Review"),IF(E71&gt;E70,"Favorable","Review")))))</f>
        <v>Review</v>
      </c>
      <c r="F74" s="395" t="str">
        <f t="shared" ref="F74" si="495">IF(F71="","",IF(ABS(F73)&lt;=$B$9,"OK",IF($A70="Headcount","Review",IF(OR($A70="Monthly Net Burn",$A70="CAC Payback",$A70="Logo Churn Rate %"),IF(F71&lt;F70,"Favorable","Review"),IF(F71&gt;F70,"Favorable","Review")))))</f>
        <v>Review</v>
      </c>
      <c r="G74" s="395" t="str">
        <f t="shared" ref="G74" si="496">IF(G71="","",IF(ABS(G73)&lt;=$B$9,"OK",IF($A70="Headcount","Review",IF(OR($A70="Monthly Net Burn",$A70="CAC Payback",$A70="Logo Churn Rate %"),IF(G71&lt;G70,"Favorable","Review"),IF(G71&gt;G70,"Favorable","Review")))))</f>
        <v>Review</v>
      </c>
      <c r="H74" s="395" t="str">
        <f t="shared" ref="H74" si="497">IF(H71="","",IF(ABS(H73)&lt;=$B$9,"OK",IF($A70="Headcount","Review",IF(OR($A70="Monthly Net Burn",$A70="CAC Payback",$A70="Logo Churn Rate %"),IF(H71&lt;H70,"Favorable","Review"),IF(H71&gt;H70,"Favorable","Review")))))</f>
        <v>Review</v>
      </c>
      <c r="I74" s="395" t="str">
        <f t="shared" ref="I74" si="498">IF(I71="","",IF(ABS(I73)&lt;=$B$9,"OK",IF($A70="Headcount","Review",IF(OR($A70="Monthly Net Burn",$A70="CAC Payback",$A70="Logo Churn Rate %"),IF(I71&lt;I70,"Favorable","Review"),IF(I71&gt;I70,"Favorable","Review")))))</f>
        <v>Review</v>
      </c>
      <c r="J74" s="395" t="str">
        <f t="shared" ref="J74" si="499">IF(J71="","",IF(ABS(J73)&lt;=$B$9,"OK",IF($A70="Headcount","Review",IF(OR($A70="Monthly Net Burn",$A70="CAC Payback",$A70="Logo Churn Rate %"),IF(J71&lt;J70,"Favorable","Review"),IF(J71&gt;J70,"Favorable","Review")))))</f>
        <v>Review</v>
      </c>
      <c r="K74" s="395" t="str">
        <f t="shared" ref="K74" si="500">IF(K71="","",IF(ABS(K73)&lt;=$B$9,"OK",IF($A70="Headcount","Review",IF(OR($A70="Monthly Net Burn",$A70="CAC Payback",$A70="Logo Churn Rate %"),IF(K71&lt;K70,"Favorable","Review"),IF(K71&gt;K70,"Favorable","Review")))))</f>
        <v>Review</v>
      </c>
      <c r="L74" s="395" t="str">
        <f t="shared" ref="L74" si="501">IF(L71="","",IF(ABS(L73)&lt;=$B$9,"OK",IF($A70="Headcount","Review",IF(OR($A70="Monthly Net Burn",$A70="CAC Payback",$A70="Logo Churn Rate %"),IF(L71&lt;L70,"Favorable","Review"),IF(L71&gt;L70,"Favorable","Review")))))</f>
        <v>Review</v>
      </c>
      <c r="M74" s="395" t="str">
        <f t="shared" ref="M74" si="502">IF(M71="","",IF(ABS(M73)&lt;=$B$9,"OK",IF($A70="Headcount","Review",IF(OR($A70="Monthly Net Burn",$A70="CAC Payback",$A70="Logo Churn Rate %"),IF(M71&lt;M70,"Favorable","Review"),IF(M71&gt;M70,"Favorable","Review")))))</f>
        <v>Review</v>
      </c>
      <c r="N74" s="395" t="str">
        <f t="shared" ref="N74" si="503">IF(N71="","",IF(ABS(N73)&lt;=$B$9,"OK",IF($A70="Headcount","Review",IF(OR($A70="Monthly Net Burn",$A70="CAC Payback",$A70="Logo Churn Rate %"),IF(N71&lt;N70,"Favorable","Review"),IF(N71&gt;N70,"Favorable","Review")))))</f>
        <v>Review</v>
      </c>
      <c r="O74" s="395" t="str">
        <f t="shared" ref="O74" si="504">IF(O71="","",IF(ABS(O73)&lt;=$B$9,"OK",IF($A70="Headcount","Review",IF(OR($A70="Monthly Net Burn",$A70="CAC Payback",$A70="Logo Churn Rate %"),IF(O71&lt;O70,"Favorable","Review"),IF(O71&gt;O70,"Favorable","Review")))))</f>
        <v>Review</v>
      </c>
      <c r="P74" s="395" t="str">
        <f t="shared" ref="P74" si="505">IF(P71="","",IF(ABS(P73)&lt;=$B$9,"OK",IF($A70="Headcount","Review",IF(OR($A70="Monthly Net Burn",$A70="CAC Payback",$A70="Logo Churn Rate %"),IF(P71&lt;P70,"Favorable","Review"),IF(P71&gt;P70,"Favorable","Review")))))</f>
        <v>Review</v>
      </c>
      <c r="Q74" s="395" t="str">
        <f t="shared" ref="Q74" si="506">IF(Q71="","",IF(ABS(Q73)&lt;=$B$9,"OK",IF($A70="Headcount","Review",IF(OR($A70="Monthly Net Burn",$A70="CAC Payback",$A70="Logo Churn Rate %"),IF(Q71&lt;Q70,"Favorable","Review"),IF(Q71&gt;Q70,"Favorable","Review")))))</f>
        <v>Review</v>
      </c>
      <c r="R74" s="395" t="str">
        <f t="shared" ref="R74" si="507">IF(R71="","",IF(ABS(R73)&lt;=$B$9,"OK",IF($A70="Headcount","Review",IF(OR($A70="Monthly Net Burn",$A70="CAC Payback",$A70="Logo Churn Rate %"),IF(R71&lt;R70,"Favorable","Review"),IF(R71&gt;R70,"Favorable","Review")))))</f>
        <v>Review</v>
      </c>
      <c r="S74" s="395" t="str">
        <f t="shared" ref="S74" si="508">IF(S71="","",IF(ABS(S73)&lt;=$B$9,"OK",IF($A70="Headcount","Review",IF(OR($A70="Monthly Net Burn",$A70="CAC Payback",$A70="Logo Churn Rate %"),IF(S71&lt;S70,"Favorable","Review"),IF(S71&gt;S70,"Favorable","Review")))))</f>
        <v>Review</v>
      </c>
      <c r="T74" s="395" t="str">
        <f t="shared" ref="T74" si="509">IF(T71="","",IF(ABS(T73)&lt;=$B$9,"OK",IF($A70="Headcount","Review",IF(OR($A70="Monthly Net Burn",$A70="CAC Payback",$A70="Logo Churn Rate %"),IF(T71&lt;T70,"Favorable","Review"),IF(T71&gt;T70,"Favorable","Review")))))</f>
        <v>Review</v>
      </c>
      <c r="U74" s="395" t="str">
        <f t="shared" ref="U74" si="510">IF(U71="","",IF(ABS(U73)&lt;=$B$9,"OK",IF($A70="Headcount","Review",IF(OR($A70="Monthly Net Burn",$A70="CAC Payback",$A70="Logo Churn Rate %"),IF(U71&lt;U70,"Favorable","Review"),IF(U71&gt;U70,"Favorable","Review")))))</f>
        <v>Review</v>
      </c>
      <c r="V74" s="395" t="str">
        <f t="shared" ref="V74" si="511">IF(V71="","",IF(ABS(V73)&lt;=$B$9,"OK",IF($A70="Headcount","Review",IF(OR($A70="Monthly Net Burn",$A70="CAC Payback",$A70="Logo Churn Rate %"),IF(V71&lt;V70,"Favorable","Review"),IF(V71&gt;V70,"Favorable","Review")))))</f>
        <v>Review</v>
      </c>
      <c r="W74" s="395" t="str">
        <f t="shared" ref="W74" si="512">IF(W71="","",IF(ABS(W73)&lt;=$B$9,"OK",IF($A70="Headcount","Review",IF(OR($A70="Monthly Net Burn",$A70="CAC Payback",$A70="Logo Churn Rate %"),IF(W71&lt;W70,"Favorable","Review"),IF(W71&gt;W70,"Favorable","Review")))))</f>
        <v>Review</v>
      </c>
      <c r="X74" s="395" t="str">
        <f t="shared" ref="X74" si="513">IF(X71="","",IF(ABS(X73)&lt;=$B$9,"OK",IF($A70="Headcount","Review",IF(OR($A70="Monthly Net Burn",$A70="CAC Payback",$A70="Logo Churn Rate %"),IF(X71&lt;X70,"Favorable","Review"),IF(X71&gt;X70,"Favorable","Review")))))</f>
        <v>Review</v>
      </c>
      <c r="Y74" s="395" t="str">
        <f t="shared" ref="Y74" si="514">IF(Y71="","",IF(ABS(Y73)&lt;=$B$9,"OK",IF($A70="Headcount","Review",IF(OR($A70="Monthly Net Burn",$A70="CAC Payback",$A70="Logo Churn Rate %"),IF(Y71&lt;Y70,"Favorable","Review"),IF(Y71&gt;Y70,"Favorable","Review")))))</f>
        <v>Review</v>
      </c>
      <c r="Z74" s="395" t="str">
        <f t="shared" ref="Z74" si="515">IF(Z71="","",IF(ABS(Z73)&lt;=$B$9,"OK",IF($A70="Headcount","Review",IF(OR($A70="Monthly Net Burn",$A70="CAC Payback",$A70="Logo Churn Rate %"),IF(Z71&lt;Z70,"Favorable","Review"),IF(Z71&gt;Z70,"Favorable","Review")))))</f>
        <v>Review</v>
      </c>
    </row>
    <row r="75" spans="1:26" s="3" customFormat="1" ht="13.2">
      <c r="A75" s="389" t="s">
        <v>973</v>
      </c>
      <c r="B75" s="390" t="s">
        <v>1239</v>
      </c>
      <c r="C75" s="402" cm="1">
        <f t="array" ref="C75">INDEX('8. Scenarios'!$B$22:$Y$31,MATCH(_xlfn.SWITCH($A75,"Total Monthly Revenue","Revenue",$A75),'8. Scenarios'!$A$22:$A$31,0),MATCH(C$39,'8. Scenarios'!$B$21:$Y$21,0))</f>
        <v>8.6246530145934965</v>
      </c>
      <c r="D75" s="402" cm="1">
        <f t="array" ref="D75">INDEX('8. Scenarios'!$B$22:$Y$31,MATCH(_xlfn.SWITCH($A75,"Total Monthly Revenue","Revenue",$A75),'8. Scenarios'!$A$22:$A$31,0),MATCH(D$39,'8. Scenarios'!$B$21:$Y$21,0))</f>
        <v>8.8190809319648391</v>
      </c>
      <c r="E75" s="402" cm="1">
        <f t="array" ref="E75">INDEX('8. Scenarios'!$B$22:$Y$31,MATCH(_xlfn.SWITCH($A75,"Total Monthly Revenue","Revenue",$A75),'8. Scenarios'!$A$22:$A$31,0),MATCH(E$39,'8. Scenarios'!$B$21:$Y$21,0))</f>
        <v>8.975294022107386</v>
      </c>
      <c r="F75" s="402" cm="1">
        <f t="array" ref="F75">INDEX('8. Scenarios'!$B$22:$Y$31,MATCH(_xlfn.SWITCH($A75,"Total Monthly Revenue","Revenue",$A75),'8. Scenarios'!$A$22:$A$31,0),MATCH(F$39,'8. Scenarios'!$B$21:$Y$21,0))</f>
        <v>9.1004172415383415</v>
      </c>
      <c r="G75" s="402" cm="1">
        <f t="array" ref="G75">INDEX('8. Scenarios'!$B$22:$Y$31,MATCH(_xlfn.SWITCH($A75,"Total Monthly Revenue","Revenue",$A75),'8. Scenarios'!$A$22:$A$31,0),MATCH(G$39,'8. Scenarios'!$B$21:$Y$21,0))</f>
        <v>9.2013772574578478</v>
      </c>
      <c r="H75" s="402" cm="1">
        <f t="array" ref="H75">INDEX('8. Scenarios'!$B$22:$Y$31,MATCH(_xlfn.SWITCH($A75,"Total Monthly Revenue","Revenue",$A75),'8. Scenarios'!$A$22:$A$31,0),MATCH(H$39,'8. Scenarios'!$B$21:$Y$21,0))</f>
        <v>10.304369742330916</v>
      </c>
      <c r="I75" s="402" cm="1">
        <f t="array" ref="I75">INDEX('8. Scenarios'!$B$22:$Y$31,MATCH(_xlfn.SWITCH($A75,"Total Monthly Revenue","Revenue",$A75),'8. Scenarios'!$A$22:$A$31,0),MATCH(I$39,'8. Scenarios'!$B$21:$Y$21,0))</f>
        <v>10.315444827257348</v>
      </c>
      <c r="J75" s="402" cm="1">
        <f t="array" ref="J75">INDEX('8. Scenarios'!$B$22:$Y$31,MATCH(_xlfn.SWITCH($A75,"Total Monthly Revenue","Revenue",$A75),'8. Scenarios'!$A$22:$A$31,0),MATCH(J$39,'8. Scenarios'!$B$21:$Y$21,0))</f>
        <v>12.392083125213771</v>
      </c>
      <c r="K75" s="402" cm="1">
        <f t="array" ref="K75">INDEX('8. Scenarios'!$B$22:$Y$31,MATCH(_xlfn.SWITCH($A75,"Total Monthly Revenue","Revenue",$A75),'8. Scenarios'!$A$22:$A$31,0),MATCH(K$39,'8. Scenarios'!$B$21:$Y$21,0))</f>
        <v>12.20043727380884</v>
      </c>
      <c r="L75" s="402" cm="1">
        <f t="array" ref="L75">INDEX('8. Scenarios'!$B$22:$Y$31,MATCH(_xlfn.SWITCH($A75,"Total Monthly Revenue","Revenue",$A75),'8. Scenarios'!$A$22:$A$31,0),MATCH(L$39,'8. Scenarios'!$B$21:$Y$21,0))</f>
        <v>11.968757791549757</v>
      </c>
      <c r="M75" s="402" cm="1">
        <f t="array" ref="M75">INDEX('8. Scenarios'!$B$22:$Y$31,MATCH(_xlfn.SWITCH($A75,"Total Monthly Revenue","Revenue",$A75),'8. Scenarios'!$A$22:$A$31,0),MATCH(M$39,'8. Scenarios'!$B$21:$Y$21,0))</f>
        <v>11.749603380203634</v>
      </c>
      <c r="N75" s="402" cm="1">
        <f t="array" ref="N75">INDEX('8. Scenarios'!$B$22:$Y$31,MATCH(_xlfn.SWITCH($A75,"Total Monthly Revenue","Revenue",$A75),'8. Scenarios'!$A$22:$A$31,0),MATCH(N$39,'8. Scenarios'!$B$21:$Y$21,0))</f>
        <v>11.543814308175838</v>
      </c>
      <c r="O75" s="402" cm="1">
        <f t="array" ref="O75">INDEX('8. Scenarios'!$B$22:$Y$31,MATCH(_xlfn.SWITCH($A75,"Total Monthly Revenue","Revenue",$A75),'8. Scenarios'!$A$22:$A$31,0),MATCH(O$39,'8. Scenarios'!$B$21:$Y$21,0))</f>
        <v>11.351538060653702</v>
      </c>
      <c r="P75" s="402" cm="1">
        <f t="array" ref="P75">INDEX('8. Scenarios'!$B$22:$Y$31,MATCH(_xlfn.SWITCH($A75,"Total Monthly Revenue","Revenue",$A75),'8. Scenarios'!$A$22:$A$31,0),MATCH(P$39,'8. Scenarios'!$B$21:$Y$21,0))</f>
        <v>11.17245832315645</v>
      </c>
      <c r="Q75" s="402" cm="1">
        <f t="array" ref="Q75">INDEX('8. Scenarios'!$B$22:$Y$31,MATCH(_xlfn.SWITCH($A75,"Total Monthly Revenue","Revenue",$A75),'8. Scenarios'!$A$22:$A$31,0),MATCH(Q$39,'8. Scenarios'!$B$21:$Y$21,0))</f>
        <v>11.005964690100361</v>
      </c>
      <c r="R75" s="402" cm="1">
        <f t="array" ref="R75">INDEX('8. Scenarios'!$B$22:$Y$31,MATCH(_xlfn.SWITCH($A75,"Total Monthly Revenue","Revenue",$A75),'8. Scenarios'!$A$22:$A$31,0),MATCH(R$39,'8. Scenarios'!$B$21:$Y$21,0))</f>
        <v>12.206202269708289</v>
      </c>
      <c r="S75" s="402" cm="1">
        <f t="array" ref="S75">INDEX('8. Scenarios'!$B$22:$Y$31,MATCH(_xlfn.SWITCH($A75,"Total Monthly Revenue","Revenue",$A75),'8. Scenarios'!$A$22:$A$31,0),MATCH(S$39,'8. Scenarios'!$B$21:$Y$21,0))</f>
        <v>11.93168024508666</v>
      </c>
      <c r="T75" s="402" cm="1">
        <f t="array" ref="T75">INDEX('8. Scenarios'!$B$22:$Y$31,MATCH(_xlfn.SWITCH($A75,"Total Monthly Revenue","Revenue",$A75),'8. Scenarios'!$A$22:$A$31,0),MATCH(T$39,'8. Scenarios'!$B$21:$Y$21,0))</f>
        <v>11.680602587282626</v>
      </c>
      <c r="U75" s="402" cm="1">
        <f t="array" ref="U75">INDEX('8. Scenarios'!$B$22:$Y$31,MATCH(_xlfn.SWITCH($A75,"Total Monthly Revenue","Revenue",$A75),'8. Scenarios'!$A$22:$A$31,0),MATCH(U$39,'8. Scenarios'!$B$21:$Y$21,0))</f>
        <v>11.450576129268931</v>
      </c>
      <c r="V75" s="402" cm="1">
        <f t="array" ref="V75">INDEX('8. Scenarios'!$B$22:$Y$31,MATCH(_xlfn.SWITCH($A75,"Total Monthly Revenue","Revenue",$A75),'8. Scenarios'!$A$22:$A$31,0),MATCH(V$39,'8. Scenarios'!$B$21:$Y$21,0))</f>
        <v>11.239429626808922</v>
      </c>
      <c r="W75" s="402" cm="1">
        <f t="array" ref="W75">INDEX('8. Scenarios'!$B$22:$Y$31,MATCH(_xlfn.SWITCH($A75,"Total Monthly Revenue","Revenue",$A75),'8. Scenarios'!$A$22:$A$31,0),MATCH(W$39,'8. Scenarios'!$B$21:$Y$21,0))</f>
        <v>11.045203687533292</v>
      </c>
      <c r="X75" s="402" cm="1">
        <f t="array" ref="X75">INDEX('8. Scenarios'!$B$22:$Y$31,MATCH(_xlfn.SWITCH($A75,"Total Monthly Revenue","Revenue",$A75),'8. Scenarios'!$A$22:$A$31,0),MATCH(X$39,'8. Scenarios'!$B$21:$Y$21,0))</f>
        <v>10.866136949382417</v>
      </c>
      <c r="Y75" s="402" cm="1">
        <f t="array" ref="Y75">INDEX('8. Scenarios'!$B$22:$Y$31,MATCH(_xlfn.SWITCH($A75,"Total Monthly Revenue","Revenue",$A75),'8. Scenarios'!$A$22:$A$31,0),MATCH(Y$39,'8. Scenarios'!$B$21:$Y$21,0))</f>
        <v>10.700650444711787</v>
      </c>
      <c r="Z75" s="402" cm="1">
        <f t="array" ref="Z75">INDEX('8. Scenarios'!$B$22:$Y$31,MATCH(_xlfn.SWITCH($A75,"Total Monthly Revenue","Revenue",$A75),'8. Scenarios'!$A$22:$A$31,0),MATCH(Z$39,'8. Scenarios'!$B$21:$Y$21,0))</f>
        <v>10.547331421849993</v>
      </c>
    </row>
    <row r="76" spans="1:26" s="3" customFormat="1" ht="13.2">
      <c r="A76" s="389"/>
      <c r="B76" s="390" t="s">
        <v>1240</v>
      </c>
      <c r="C76" s="403">
        <f>INDEX($C$27:$Z$36,MATCH($A75,$A$27:$A$36,0),MATCH(C$39,$C$26:$Z$26,0))</f>
        <v>0</v>
      </c>
      <c r="D76" s="403">
        <f t="shared" ref="D76" si="516">INDEX($C$27:$Z$36,MATCH($A75,$A$27:$A$36,0),MATCH(D$39,$C$26:$Z$26,0))</f>
        <v>0</v>
      </c>
      <c r="E76" s="403">
        <f t="shared" ref="E76" si="517">INDEX($C$27:$Z$36,MATCH($A75,$A$27:$A$36,0),MATCH(E$39,$C$26:$Z$26,0))</f>
        <v>0</v>
      </c>
      <c r="F76" s="403">
        <f t="shared" ref="F76" si="518">INDEX($C$27:$Z$36,MATCH($A75,$A$27:$A$36,0),MATCH(F$39,$C$26:$Z$26,0))</f>
        <v>0</v>
      </c>
      <c r="G76" s="403">
        <f t="shared" ref="G76" si="519">INDEX($C$27:$Z$36,MATCH($A75,$A$27:$A$36,0),MATCH(G$39,$C$26:$Z$26,0))</f>
        <v>0</v>
      </c>
      <c r="H76" s="403">
        <f t="shared" ref="H76" si="520">INDEX($C$27:$Z$36,MATCH($A75,$A$27:$A$36,0),MATCH(H$39,$C$26:$Z$26,0))</f>
        <v>0</v>
      </c>
      <c r="I76" s="403">
        <f t="shared" ref="I76" si="521">INDEX($C$27:$Z$36,MATCH($A75,$A$27:$A$36,0),MATCH(I$39,$C$26:$Z$26,0))</f>
        <v>0</v>
      </c>
      <c r="J76" s="403">
        <f t="shared" ref="J76" si="522">INDEX($C$27:$Z$36,MATCH($A75,$A$27:$A$36,0),MATCH(J$39,$C$26:$Z$26,0))</f>
        <v>0</v>
      </c>
      <c r="K76" s="403">
        <f t="shared" ref="K76" si="523">INDEX($C$27:$Z$36,MATCH($A75,$A$27:$A$36,0),MATCH(K$39,$C$26:$Z$26,0))</f>
        <v>0</v>
      </c>
      <c r="L76" s="403">
        <f t="shared" ref="L76" si="524">INDEX($C$27:$Z$36,MATCH($A75,$A$27:$A$36,0),MATCH(L$39,$C$26:$Z$26,0))</f>
        <v>0</v>
      </c>
      <c r="M76" s="403">
        <f t="shared" ref="M76" si="525">INDEX($C$27:$Z$36,MATCH($A75,$A$27:$A$36,0),MATCH(M$39,$C$26:$Z$26,0))</f>
        <v>0</v>
      </c>
      <c r="N76" s="403">
        <f t="shared" ref="N76" si="526">INDEX($C$27:$Z$36,MATCH($A75,$A$27:$A$36,0),MATCH(N$39,$C$26:$Z$26,0))</f>
        <v>0</v>
      </c>
      <c r="O76" s="403">
        <f t="shared" ref="O76" si="527">INDEX($C$27:$Z$36,MATCH($A75,$A$27:$A$36,0),MATCH(O$39,$C$26:$Z$26,0))</f>
        <v>0</v>
      </c>
      <c r="P76" s="403">
        <f t="shared" ref="P76" si="528">INDEX($C$27:$Z$36,MATCH($A75,$A$27:$A$36,0),MATCH(P$39,$C$26:$Z$26,0))</f>
        <v>0</v>
      </c>
      <c r="Q76" s="403">
        <f t="shared" ref="Q76" si="529">INDEX($C$27:$Z$36,MATCH($A75,$A$27:$A$36,0),MATCH(Q$39,$C$26:$Z$26,0))</f>
        <v>0</v>
      </c>
      <c r="R76" s="403">
        <f t="shared" ref="R76" si="530">INDEX($C$27:$Z$36,MATCH($A75,$A$27:$A$36,0),MATCH(R$39,$C$26:$Z$26,0))</f>
        <v>0</v>
      </c>
      <c r="S76" s="403">
        <f t="shared" ref="S76" si="531">INDEX($C$27:$Z$36,MATCH($A75,$A$27:$A$36,0),MATCH(S$39,$C$26:$Z$26,0))</f>
        <v>0</v>
      </c>
      <c r="T76" s="403">
        <f t="shared" ref="T76" si="532">INDEX($C$27:$Z$36,MATCH($A75,$A$27:$A$36,0),MATCH(T$39,$C$26:$Z$26,0))</f>
        <v>0</v>
      </c>
      <c r="U76" s="403">
        <f t="shared" ref="U76" si="533">INDEX($C$27:$Z$36,MATCH($A75,$A$27:$A$36,0),MATCH(U$39,$C$26:$Z$26,0))</f>
        <v>0</v>
      </c>
      <c r="V76" s="403">
        <f t="shared" ref="V76" si="534">INDEX($C$27:$Z$36,MATCH($A75,$A$27:$A$36,0),MATCH(V$39,$C$26:$Z$26,0))</f>
        <v>0</v>
      </c>
      <c r="W76" s="403">
        <f t="shared" ref="W76" si="535">INDEX($C$27:$Z$36,MATCH($A75,$A$27:$A$36,0),MATCH(W$39,$C$26:$Z$26,0))</f>
        <v>0</v>
      </c>
      <c r="X76" s="403">
        <f t="shared" ref="X76" si="536">INDEX($C$27:$Z$36,MATCH($A75,$A$27:$A$36,0),MATCH(X$39,$C$26:$Z$26,0))</f>
        <v>0</v>
      </c>
      <c r="Y76" s="403">
        <f t="shared" ref="Y76" si="537">INDEX($C$27:$Z$36,MATCH($A75,$A$27:$A$36,0),MATCH(Y$39,$C$26:$Z$26,0))</f>
        <v>0</v>
      </c>
      <c r="Z76" s="403">
        <f t="shared" ref="Z76" si="538">INDEX($C$27:$Z$36,MATCH($A75,$A$27:$A$36,0),MATCH(Z$39,$C$26:$Z$26,0))</f>
        <v>0</v>
      </c>
    </row>
    <row r="77" spans="1:26" s="3" customFormat="1" ht="13.2">
      <c r="A77" s="389"/>
      <c r="B77" s="390" t="s">
        <v>1241</v>
      </c>
      <c r="C77" s="404">
        <f>IF(C76="","",C76-C75)</f>
        <v>-8.6246530145934965</v>
      </c>
      <c r="D77" s="404">
        <f t="shared" ref="D77" si="539">IF(D76="","",D76-D75)</f>
        <v>-8.8190809319648391</v>
      </c>
      <c r="E77" s="404">
        <f t="shared" ref="E77" si="540">IF(E76="","",E76-E75)</f>
        <v>-8.975294022107386</v>
      </c>
      <c r="F77" s="404">
        <f t="shared" ref="F77" si="541">IF(F76="","",F76-F75)</f>
        <v>-9.1004172415383415</v>
      </c>
      <c r="G77" s="404">
        <f t="shared" ref="G77" si="542">IF(G76="","",G76-G75)</f>
        <v>-9.2013772574578478</v>
      </c>
      <c r="H77" s="404">
        <f t="shared" ref="H77" si="543">IF(H76="","",H76-H75)</f>
        <v>-10.304369742330916</v>
      </c>
      <c r="I77" s="404">
        <f t="shared" ref="I77" si="544">IF(I76="","",I76-I75)</f>
        <v>-10.315444827257348</v>
      </c>
      <c r="J77" s="404">
        <f t="shared" ref="J77" si="545">IF(J76="","",J76-J75)</f>
        <v>-12.392083125213771</v>
      </c>
      <c r="K77" s="404">
        <f t="shared" ref="K77" si="546">IF(K76="","",K76-K75)</f>
        <v>-12.20043727380884</v>
      </c>
      <c r="L77" s="404">
        <f t="shared" ref="L77" si="547">IF(L76="","",L76-L75)</f>
        <v>-11.968757791549757</v>
      </c>
      <c r="M77" s="404">
        <f t="shared" ref="M77" si="548">IF(M76="","",M76-M75)</f>
        <v>-11.749603380203634</v>
      </c>
      <c r="N77" s="404">
        <f t="shared" ref="N77" si="549">IF(N76="","",N76-N75)</f>
        <v>-11.543814308175838</v>
      </c>
      <c r="O77" s="404">
        <f t="shared" ref="O77" si="550">IF(O76="","",O76-O75)</f>
        <v>-11.351538060653702</v>
      </c>
      <c r="P77" s="404">
        <f t="shared" ref="P77" si="551">IF(P76="","",P76-P75)</f>
        <v>-11.17245832315645</v>
      </c>
      <c r="Q77" s="404">
        <f t="shared" ref="Q77" si="552">IF(Q76="","",Q76-Q75)</f>
        <v>-11.005964690100361</v>
      </c>
      <c r="R77" s="404">
        <f t="shared" ref="R77" si="553">IF(R76="","",R76-R75)</f>
        <v>-12.206202269708289</v>
      </c>
      <c r="S77" s="404">
        <f t="shared" ref="S77" si="554">IF(S76="","",S76-S75)</f>
        <v>-11.93168024508666</v>
      </c>
      <c r="T77" s="404">
        <f t="shared" ref="T77" si="555">IF(T76="","",T76-T75)</f>
        <v>-11.680602587282626</v>
      </c>
      <c r="U77" s="404">
        <f t="shared" ref="U77" si="556">IF(U76="","",U76-U75)</f>
        <v>-11.450576129268931</v>
      </c>
      <c r="V77" s="404">
        <f t="shared" ref="V77" si="557">IF(V76="","",V76-V75)</f>
        <v>-11.239429626808922</v>
      </c>
      <c r="W77" s="404">
        <f t="shared" ref="W77" si="558">IF(W76="","",W76-W75)</f>
        <v>-11.045203687533292</v>
      </c>
      <c r="X77" s="404">
        <f t="shared" ref="X77" si="559">IF(X76="","",X76-X75)</f>
        <v>-10.866136949382417</v>
      </c>
      <c r="Y77" s="404">
        <f t="shared" ref="Y77" si="560">IF(Y76="","",Y76-Y75)</f>
        <v>-10.700650444711787</v>
      </c>
      <c r="Z77" s="404">
        <f t="shared" ref="Z77" si="561">IF(Z76="","",Z76-Z75)</f>
        <v>-10.547331421849993</v>
      </c>
    </row>
    <row r="78" spans="1:26" s="3" customFormat="1" ht="13.2">
      <c r="A78" s="389"/>
      <c r="B78" s="390" t="s">
        <v>1242</v>
      </c>
      <c r="C78" s="394">
        <f>IF(C76="","",IFERROR(C77/C75,""))</f>
        <v>-1</v>
      </c>
      <c r="D78" s="394">
        <f t="shared" ref="D78" si="562">IF(D76="","",IFERROR(D77/D75,""))</f>
        <v>-1</v>
      </c>
      <c r="E78" s="394">
        <f t="shared" ref="E78" si="563">IF(E76="","",IFERROR(E77/E75,""))</f>
        <v>-1</v>
      </c>
      <c r="F78" s="394">
        <f t="shared" ref="F78" si="564">IF(F76="","",IFERROR(F77/F75,""))</f>
        <v>-1</v>
      </c>
      <c r="G78" s="394">
        <f t="shared" ref="G78" si="565">IF(G76="","",IFERROR(G77/G75,""))</f>
        <v>-1</v>
      </c>
      <c r="H78" s="394">
        <f t="shared" ref="H78" si="566">IF(H76="","",IFERROR(H77/H75,""))</f>
        <v>-1</v>
      </c>
      <c r="I78" s="394">
        <f t="shared" ref="I78" si="567">IF(I76="","",IFERROR(I77/I75,""))</f>
        <v>-1</v>
      </c>
      <c r="J78" s="394">
        <f t="shared" ref="J78" si="568">IF(J76="","",IFERROR(J77/J75,""))</f>
        <v>-1</v>
      </c>
      <c r="K78" s="394">
        <f t="shared" ref="K78" si="569">IF(K76="","",IFERROR(K77/K75,""))</f>
        <v>-1</v>
      </c>
      <c r="L78" s="394">
        <f t="shared" ref="L78" si="570">IF(L76="","",IFERROR(L77/L75,""))</f>
        <v>-1</v>
      </c>
      <c r="M78" s="394">
        <f t="shared" ref="M78" si="571">IF(M76="","",IFERROR(M77/M75,""))</f>
        <v>-1</v>
      </c>
      <c r="N78" s="394">
        <f t="shared" ref="N78" si="572">IF(N76="","",IFERROR(N77/N75,""))</f>
        <v>-1</v>
      </c>
      <c r="O78" s="394">
        <f t="shared" ref="O78" si="573">IF(O76="","",IFERROR(O77/O75,""))</f>
        <v>-1</v>
      </c>
      <c r="P78" s="394">
        <f t="shared" ref="P78" si="574">IF(P76="","",IFERROR(P77/P75,""))</f>
        <v>-1</v>
      </c>
      <c r="Q78" s="394">
        <f t="shared" ref="Q78" si="575">IF(Q76="","",IFERROR(Q77/Q75,""))</f>
        <v>-1</v>
      </c>
      <c r="R78" s="394">
        <f t="shared" ref="R78" si="576">IF(R76="","",IFERROR(R77/R75,""))</f>
        <v>-1</v>
      </c>
      <c r="S78" s="394">
        <f t="shared" ref="S78" si="577">IF(S76="","",IFERROR(S77/S75,""))</f>
        <v>-1</v>
      </c>
      <c r="T78" s="394">
        <f t="shared" ref="T78" si="578">IF(T76="","",IFERROR(T77/T75,""))</f>
        <v>-1</v>
      </c>
      <c r="U78" s="394">
        <f t="shared" ref="U78" si="579">IF(U76="","",IFERROR(U77/U75,""))</f>
        <v>-1</v>
      </c>
      <c r="V78" s="394">
        <f t="shared" ref="V78" si="580">IF(V76="","",IFERROR(V77/V75,""))</f>
        <v>-1</v>
      </c>
      <c r="W78" s="394">
        <f t="shared" ref="W78" si="581">IF(W76="","",IFERROR(W77/W75,""))</f>
        <v>-1</v>
      </c>
      <c r="X78" s="394">
        <f t="shared" ref="X78" si="582">IF(X76="","",IFERROR(X77/X75,""))</f>
        <v>-1</v>
      </c>
      <c r="Y78" s="394">
        <f t="shared" ref="Y78" si="583">IF(Y76="","",IFERROR(Y77/Y75,""))</f>
        <v>-1</v>
      </c>
      <c r="Z78" s="394">
        <f t="shared" ref="Z78" si="584">IF(Z76="","",IFERROR(Z77/Z75,""))</f>
        <v>-1</v>
      </c>
    </row>
    <row r="79" spans="1:26" s="3" customFormat="1" ht="13.2">
      <c r="A79" s="389"/>
      <c r="B79" s="390" t="s">
        <v>1243</v>
      </c>
      <c r="C79" s="395" t="str">
        <f>IF(C76="","",IF(ABS(C78)&lt;=$B$9,"OK",IF($A75="Headcount","Review",IF(OR($A75="Monthly Net Burn",$A75="CAC Payback",$A75="Logo Churn Rate %"),IF(C76&lt;C75,"Favorable","Review"),IF(C76&gt;C75,"Favorable","Review")))))</f>
        <v>Favorable</v>
      </c>
      <c r="D79" s="395" t="str">
        <f t="shared" ref="D79" si="585">IF(D76="","",IF(ABS(D78)&lt;=$B$9,"OK",IF($A75="Headcount","Review",IF(OR($A75="Monthly Net Burn",$A75="CAC Payback",$A75="Logo Churn Rate %"),IF(D76&lt;D75,"Favorable","Review"),IF(D76&gt;D75,"Favorable","Review")))))</f>
        <v>Favorable</v>
      </c>
      <c r="E79" s="395" t="str">
        <f t="shared" ref="E79" si="586">IF(E76="","",IF(ABS(E78)&lt;=$B$9,"OK",IF($A75="Headcount","Review",IF(OR($A75="Monthly Net Burn",$A75="CAC Payback",$A75="Logo Churn Rate %"),IF(E76&lt;E75,"Favorable","Review"),IF(E76&gt;E75,"Favorable","Review")))))</f>
        <v>Favorable</v>
      </c>
      <c r="F79" s="395" t="str">
        <f t="shared" ref="F79" si="587">IF(F76="","",IF(ABS(F78)&lt;=$B$9,"OK",IF($A75="Headcount","Review",IF(OR($A75="Monthly Net Burn",$A75="CAC Payback",$A75="Logo Churn Rate %"),IF(F76&lt;F75,"Favorable","Review"),IF(F76&gt;F75,"Favorable","Review")))))</f>
        <v>Favorable</v>
      </c>
      <c r="G79" s="395" t="str">
        <f t="shared" ref="G79" si="588">IF(G76="","",IF(ABS(G78)&lt;=$B$9,"OK",IF($A75="Headcount","Review",IF(OR($A75="Monthly Net Burn",$A75="CAC Payback",$A75="Logo Churn Rate %"),IF(G76&lt;G75,"Favorable","Review"),IF(G76&gt;G75,"Favorable","Review")))))</f>
        <v>Favorable</v>
      </c>
      <c r="H79" s="395" t="str">
        <f t="shared" ref="H79" si="589">IF(H76="","",IF(ABS(H78)&lt;=$B$9,"OK",IF($A75="Headcount","Review",IF(OR($A75="Monthly Net Burn",$A75="CAC Payback",$A75="Logo Churn Rate %"),IF(H76&lt;H75,"Favorable","Review"),IF(H76&gt;H75,"Favorable","Review")))))</f>
        <v>Favorable</v>
      </c>
      <c r="I79" s="395" t="str">
        <f t="shared" ref="I79" si="590">IF(I76="","",IF(ABS(I78)&lt;=$B$9,"OK",IF($A75="Headcount","Review",IF(OR($A75="Monthly Net Burn",$A75="CAC Payback",$A75="Logo Churn Rate %"),IF(I76&lt;I75,"Favorable","Review"),IF(I76&gt;I75,"Favorable","Review")))))</f>
        <v>Favorable</v>
      </c>
      <c r="J79" s="395" t="str">
        <f t="shared" ref="J79" si="591">IF(J76="","",IF(ABS(J78)&lt;=$B$9,"OK",IF($A75="Headcount","Review",IF(OR($A75="Monthly Net Burn",$A75="CAC Payback",$A75="Logo Churn Rate %"),IF(J76&lt;J75,"Favorable","Review"),IF(J76&gt;J75,"Favorable","Review")))))</f>
        <v>Favorable</v>
      </c>
      <c r="K79" s="395" t="str">
        <f t="shared" ref="K79" si="592">IF(K76="","",IF(ABS(K78)&lt;=$B$9,"OK",IF($A75="Headcount","Review",IF(OR($A75="Monthly Net Burn",$A75="CAC Payback",$A75="Logo Churn Rate %"),IF(K76&lt;K75,"Favorable","Review"),IF(K76&gt;K75,"Favorable","Review")))))</f>
        <v>Favorable</v>
      </c>
      <c r="L79" s="395" t="str">
        <f t="shared" ref="L79" si="593">IF(L76="","",IF(ABS(L78)&lt;=$B$9,"OK",IF($A75="Headcount","Review",IF(OR($A75="Monthly Net Burn",$A75="CAC Payback",$A75="Logo Churn Rate %"),IF(L76&lt;L75,"Favorable","Review"),IF(L76&gt;L75,"Favorable","Review")))))</f>
        <v>Favorable</v>
      </c>
      <c r="M79" s="395" t="str">
        <f t="shared" ref="M79" si="594">IF(M76="","",IF(ABS(M78)&lt;=$B$9,"OK",IF($A75="Headcount","Review",IF(OR($A75="Monthly Net Burn",$A75="CAC Payback",$A75="Logo Churn Rate %"),IF(M76&lt;M75,"Favorable","Review"),IF(M76&gt;M75,"Favorable","Review")))))</f>
        <v>Favorable</v>
      </c>
      <c r="N79" s="395" t="str">
        <f t="shared" ref="N79" si="595">IF(N76="","",IF(ABS(N78)&lt;=$B$9,"OK",IF($A75="Headcount","Review",IF(OR($A75="Monthly Net Burn",$A75="CAC Payback",$A75="Logo Churn Rate %"),IF(N76&lt;N75,"Favorable","Review"),IF(N76&gt;N75,"Favorable","Review")))))</f>
        <v>Favorable</v>
      </c>
      <c r="O79" s="395" t="str">
        <f t="shared" ref="O79" si="596">IF(O76="","",IF(ABS(O78)&lt;=$B$9,"OK",IF($A75="Headcount","Review",IF(OR($A75="Monthly Net Burn",$A75="CAC Payback",$A75="Logo Churn Rate %"),IF(O76&lt;O75,"Favorable","Review"),IF(O76&gt;O75,"Favorable","Review")))))</f>
        <v>Favorable</v>
      </c>
      <c r="P79" s="395" t="str">
        <f t="shared" ref="P79" si="597">IF(P76="","",IF(ABS(P78)&lt;=$B$9,"OK",IF($A75="Headcount","Review",IF(OR($A75="Monthly Net Burn",$A75="CAC Payback",$A75="Logo Churn Rate %"),IF(P76&lt;P75,"Favorable","Review"),IF(P76&gt;P75,"Favorable","Review")))))</f>
        <v>Favorable</v>
      </c>
      <c r="Q79" s="395" t="str">
        <f t="shared" ref="Q79" si="598">IF(Q76="","",IF(ABS(Q78)&lt;=$B$9,"OK",IF($A75="Headcount","Review",IF(OR($A75="Monthly Net Burn",$A75="CAC Payback",$A75="Logo Churn Rate %"),IF(Q76&lt;Q75,"Favorable","Review"),IF(Q76&gt;Q75,"Favorable","Review")))))</f>
        <v>Favorable</v>
      </c>
      <c r="R79" s="395" t="str">
        <f t="shared" ref="R79" si="599">IF(R76="","",IF(ABS(R78)&lt;=$B$9,"OK",IF($A75="Headcount","Review",IF(OR($A75="Monthly Net Burn",$A75="CAC Payback",$A75="Logo Churn Rate %"),IF(R76&lt;R75,"Favorable","Review"),IF(R76&gt;R75,"Favorable","Review")))))</f>
        <v>Favorable</v>
      </c>
      <c r="S79" s="395" t="str">
        <f t="shared" ref="S79" si="600">IF(S76="","",IF(ABS(S78)&lt;=$B$9,"OK",IF($A75="Headcount","Review",IF(OR($A75="Monthly Net Burn",$A75="CAC Payback",$A75="Logo Churn Rate %"),IF(S76&lt;S75,"Favorable","Review"),IF(S76&gt;S75,"Favorable","Review")))))</f>
        <v>Favorable</v>
      </c>
      <c r="T79" s="395" t="str">
        <f t="shared" ref="T79" si="601">IF(T76="","",IF(ABS(T78)&lt;=$B$9,"OK",IF($A75="Headcount","Review",IF(OR($A75="Monthly Net Burn",$A75="CAC Payback",$A75="Logo Churn Rate %"),IF(T76&lt;T75,"Favorable","Review"),IF(T76&gt;T75,"Favorable","Review")))))</f>
        <v>Favorable</v>
      </c>
      <c r="U79" s="395" t="str">
        <f t="shared" ref="U79" si="602">IF(U76="","",IF(ABS(U78)&lt;=$B$9,"OK",IF($A75="Headcount","Review",IF(OR($A75="Monthly Net Burn",$A75="CAC Payback",$A75="Logo Churn Rate %"),IF(U76&lt;U75,"Favorable","Review"),IF(U76&gt;U75,"Favorable","Review")))))</f>
        <v>Favorable</v>
      </c>
      <c r="V79" s="395" t="str">
        <f t="shared" ref="V79" si="603">IF(V76="","",IF(ABS(V78)&lt;=$B$9,"OK",IF($A75="Headcount","Review",IF(OR($A75="Monthly Net Burn",$A75="CAC Payback",$A75="Logo Churn Rate %"),IF(V76&lt;V75,"Favorable","Review"),IF(V76&gt;V75,"Favorable","Review")))))</f>
        <v>Favorable</v>
      </c>
      <c r="W79" s="395" t="str">
        <f t="shared" ref="W79" si="604">IF(W76="","",IF(ABS(W78)&lt;=$B$9,"OK",IF($A75="Headcount","Review",IF(OR($A75="Monthly Net Burn",$A75="CAC Payback",$A75="Logo Churn Rate %"),IF(W76&lt;W75,"Favorable","Review"),IF(W76&gt;W75,"Favorable","Review")))))</f>
        <v>Favorable</v>
      </c>
      <c r="X79" s="395" t="str">
        <f t="shared" ref="X79" si="605">IF(X76="","",IF(ABS(X78)&lt;=$B$9,"OK",IF($A75="Headcount","Review",IF(OR($A75="Monthly Net Burn",$A75="CAC Payback",$A75="Logo Churn Rate %"),IF(X76&lt;X75,"Favorable","Review"),IF(X76&gt;X75,"Favorable","Review")))))</f>
        <v>Favorable</v>
      </c>
      <c r="Y79" s="395" t="str">
        <f t="shared" ref="Y79" si="606">IF(Y76="","",IF(ABS(Y78)&lt;=$B$9,"OK",IF($A75="Headcount","Review",IF(OR($A75="Monthly Net Burn",$A75="CAC Payback",$A75="Logo Churn Rate %"),IF(Y76&lt;Y75,"Favorable","Review"),IF(Y76&gt;Y75,"Favorable","Review")))))</f>
        <v>Favorable</v>
      </c>
      <c r="Z79" s="395" t="str">
        <f t="shared" ref="Z79" si="607">IF(Z76="","",IF(ABS(Z78)&lt;=$B$9,"OK",IF($A75="Headcount","Review",IF(OR($A75="Monthly Net Burn",$A75="CAC Payback",$A75="Logo Churn Rate %"),IF(Z76&lt;Z75,"Favorable","Review"),IF(Z76&gt;Z75,"Favorable","Review")))))</f>
        <v>Favorable</v>
      </c>
    </row>
    <row r="80" spans="1:26" s="3" customFormat="1" ht="13.2">
      <c r="A80" s="389" t="s">
        <v>1246</v>
      </c>
      <c r="B80" s="390" t="s">
        <v>1239</v>
      </c>
      <c r="C80" s="405" cm="1">
        <f t="array" ref="C80">INDEX('8. Scenarios'!$B$22:$Y$31,MATCH(_xlfn.SWITCH($A80,"Total Monthly Revenue","Revenue",$A80),'8. Scenarios'!$A$22:$A$31,0),MATCH(C$39,'8. Scenarios'!$B$21:$Y$21,0))</f>
        <v>0</v>
      </c>
      <c r="D80" s="405" cm="1">
        <f t="array" ref="D80">INDEX('8. Scenarios'!$B$22:$Y$31,MATCH(_xlfn.SWITCH($A80,"Total Monthly Revenue","Revenue",$A80),'8. Scenarios'!$A$22:$A$31,0),MATCH(D$39,'8. Scenarios'!$B$21:$Y$21,0))</f>
        <v>3.4551151481212475E-2</v>
      </c>
      <c r="E80" s="405" cm="1">
        <f t="array" ref="E80">INDEX('8. Scenarios'!$B$22:$Y$31,MATCH(_xlfn.SWITCH($A80,"Total Monthly Revenue","Revenue",$A80),'8. Scenarios'!$A$22:$A$31,0),MATCH(E$39,'8. Scenarios'!$B$21:$Y$21,0))</f>
        <v>3.4630334857980394E-2</v>
      </c>
      <c r="F80" s="405" cm="1">
        <f t="array" ref="F80">INDEX('8. Scenarios'!$B$22:$Y$31,MATCH(_xlfn.SWITCH($A80,"Total Monthly Revenue","Revenue",$A80),'8. Scenarios'!$A$22:$A$31,0),MATCH(F$39,'8. Scenarios'!$B$21:$Y$21,0))</f>
        <v>3.4688808574089569E-2</v>
      </c>
      <c r="G80" s="405" cm="1">
        <f t="array" ref="G80">INDEX('8. Scenarios'!$B$22:$Y$31,MATCH(_xlfn.SWITCH($A80,"Total Monthly Revenue","Revenue",$A80),'8. Scenarios'!$A$22:$A$31,0),MATCH(G$39,'8. Scenarios'!$B$21:$Y$21,0))</f>
        <v>3.4735732302807319E-2</v>
      </c>
      <c r="H80" s="405" cm="1">
        <f t="array" ref="H80">INDEX('8. Scenarios'!$B$22:$Y$31,MATCH(_xlfn.SWITCH($A80,"Total Monthly Revenue","Revenue",$A80),'8. Scenarios'!$A$22:$A$31,0),MATCH(H$39,'8. Scenarios'!$B$21:$Y$21,0))</f>
        <v>3.4777307644985316E-2</v>
      </c>
      <c r="I80" s="405" cm="1">
        <f t="array" ref="I80">INDEX('8. Scenarios'!$B$22:$Y$31,MATCH(_xlfn.SWITCH($A80,"Total Monthly Revenue","Revenue",$A80),'8. Scenarios'!$A$22:$A$31,0),MATCH(I$39,'8. Scenarios'!$B$21:$Y$21,0))</f>
        <v>3.4785486610389035E-2</v>
      </c>
      <c r="J80" s="405" cm="1">
        <f t="array" ref="J80">INDEX('8. Scenarios'!$B$22:$Y$31,MATCH(_xlfn.SWITCH($A80,"Total Monthly Revenue","Revenue",$A80),'8. Scenarios'!$A$22:$A$31,0),MATCH(J$39,'8. Scenarios'!$B$21:$Y$21,0))</f>
        <v>3.4796481582379281E-2</v>
      </c>
      <c r="K80" s="405" cm="1">
        <f t="array" ref="K80">INDEX('8. Scenarios'!$B$22:$Y$31,MATCH(_xlfn.SWITCH($A80,"Total Monthly Revenue","Revenue",$A80),'8. Scenarios'!$A$22:$A$31,0),MATCH(K$39,'8. Scenarios'!$B$21:$Y$21,0))</f>
        <v>3.4812003916883445E-2</v>
      </c>
      <c r="L80" s="405" cm="1">
        <f t="array" ref="L80">INDEX('8. Scenarios'!$B$22:$Y$31,MATCH(_xlfn.SWITCH($A80,"Total Monthly Revenue","Revenue",$A80),'8. Scenarios'!$A$22:$A$31,0),MATCH(L$39,'8. Scenarios'!$B$21:$Y$21,0))</f>
        <v>3.4833002222200163E-2</v>
      </c>
      <c r="M80" s="405" cm="1">
        <f t="array" ref="M80">INDEX('8. Scenarios'!$B$22:$Y$31,MATCH(_xlfn.SWITCH($A80,"Total Monthly Revenue","Revenue",$A80),'8. Scenarios'!$A$22:$A$31,0),MATCH(M$39,'8. Scenarios'!$B$21:$Y$21,0))</f>
        <v>3.485986187905394E-2</v>
      </c>
      <c r="N80" s="405" cm="1">
        <f t="array" ref="N80">INDEX('8. Scenarios'!$B$22:$Y$31,MATCH(_xlfn.SWITCH($A80,"Total Monthly Revenue","Revenue",$A80),'8. Scenarios'!$A$22:$A$31,0),MATCH(N$39,'8. Scenarios'!$B$21:$Y$21,0))</f>
        <v>3.4892559696617996E-2</v>
      </c>
      <c r="O80" s="405" cm="1">
        <f t="array" ref="O80">INDEX('8. Scenarios'!$B$22:$Y$31,MATCH(_xlfn.SWITCH($A80,"Total Monthly Revenue","Revenue",$A80),'8. Scenarios'!$A$22:$A$31,0),MATCH(O$39,'8. Scenarios'!$B$21:$Y$21,0))</f>
        <v>3.4930785793955713E-2</v>
      </c>
      <c r="P80" s="405" cm="1">
        <f t="array" ref="P80">INDEX('8. Scenarios'!$B$22:$Y$31,MATCH(_xlfn.SWITCH($A80,"Total Monthly Revenue","Revenue",$A80),'8. Scenarios'!$A$22:$A$31,0),MATCH(P$39,'8. Scenarios'!$B$21:$Y$21,0))</f>
        <v>3.4974039948196339E-2</v>
      </c>
      <c r="Q80" s="405" cm="1">
        <f t="array" ref="Q80">INDEX('8. Scenarios'!$B$22:$Y$31,MATCH(_xlfn.SWITCH($A80,"Total Monthly Revenue","Revenue",$A80),'8. Scenarios'!$A$22:$A$31,0),MATCH(Q$39,'8. Scenarios'!$B$21:$Y$21,0))</f>
        <v>3.5021707142832606E-2</v>
      </c>
      <c r="R80" s="405" cm="1">
        <f t="array" ref="R80">INDEX('8. Scenarios'!$B$22:$Y$31,MATCH(_xlfn.SWITCH($A80,"Total Monthly Revenue","Revenue",$A80),'8. Scenarios'!$A$22:$A$31,0),MATCH(R$39,'8. Scenarios'!$B$21:$Y$21,0))</f>
        <v>3.5073115776046403E-2</v>
      </c>
      <c r="S80" s="405" cm="1">
        <f t="array" ref="S80">INDEX('8. Scenarios'!$B$22:$Y$31,MATCH(_xlfn.SWITCH($A80,"Total Monthly Revenue","Revenue",$A80),'8. Scenarios'!$A$22:$A$31,0),MATCH(S$39,'8. Scenarios'!$B$21:$Y$21,0))</f>
        <v>3.5127581337707839E-2</v>
      </c>
      <c r="T80" s="405" cm="1">
        <f t="array" ref="T80">INDEX('8. Scenarios'!$B$22:$Y$31,MATCH(_xlfn.SWITCH($A80,"Total Monthly Revenue","Revenue",$A80),'8. Scenarios'!$A$22:$A$31,0),MATCH(T$39,'8. Scenarios'!$B$21:$Y$21,0))</f>
        <v>3.5184437999399146E-2</v>
      </c>
      <c r="U80" s="405" cm="1">
        <f t="array" ref="U80">INDEX('8. Scenarios'!$B$22:$Y$31,MATCH(_xlfn.SWITCH($A80,"Total Monthly Revenue","Revenue",$A80),'8. Scenarios'!$A$22:$A$31,0),MATCH(U$39,'8. Scenarios'!$B$21:$Y$21,0))</f>
        <v>3.5243060309173527E-2</v>
      </c>
      <c r="V80" s="405" cm="1">
        <f t="array" ref="V80">INDEX('8. Scenarios'!$B$22:$Y$31,MATCH(_xlfn.SWITCH($A80,"Total Monthly Revenue","Revenue",$A80),'8. Scenarios'!$A$22:$A$31,0),MATCH(V$39,'8. Scenarios'!$B$21:$Y$21,0))</f>
        <v>3.530287695875995E-2</v>
      </c>
      <c r="W80" s="405" cm="1">
        <f t="array" ref="W80">INDEX('8. Scenarios'!$B$22:$Y$31,MATCH(_xlfn.SWITCH($A80,"Total Monthly Revenue","Revenue",$A80),'8. Scenarios'!$A$22:$A$31,0),MATCH(W$39,'8. Scenarios'!$B$21:$Y$21,0))</f>
        <v>3.5363378364036108E-2</v>
      </c>
      <c r="X80" s="405" cm="1">
        <f t="array" ref="X80">INDEX('8. Scenarios'!$B$22:$Y$31,MATCH(_xlfn.SWITCH($A80,"Total Monthly Revenue","Revenue",$A80),'8. Scenarios'!$A$22:$A$31,0),MATCH(X$39,'8. Scenarios'!$B$21:$Y$21,0))</f>
        <v>3.5424119564802348E-2</v>
      </c>
      <c r="Y80" s="405" cm="1">
        <f t="array" ref="Y80">INDEX('8. Scenarios'!$B$22:$Y$31,MATCH(_xlfn.SWITCH($A80,"Total Monthly Revenue","Revenue",$A80),'8. Scenarios'!$A$22:$A$31,0),MATCH(Y$39,'8. Scenarios'!$B$21:$Y$21,0))</f>
        <v>3.5484719713806505E-2</v>
      </c>
      <c r="Z80" s="405" cm="1">
        <f t="array" ref="Z80">INDEX('8. Scenarios'!$B$22:$Y$31,MATCH(_xlfn.SWITCH($A80,"Total Monthly Revenue","Revenue",$A80),'8. Scenarios'!$A$22:$A$31,0),MATCH(Z$39,'8. Scenarios'!$B$21:$Y$21,0))</f>
        <v>3.5544859197409726E-2</v>
      </c>
    </row>
    <row r="81" spans="1:26" s="3" customFormat="1" ht="13.2">
      <c r="A81" s="389"/>
      <c r="B81" s="390" t="s">
        <v>1240</v>
      </c>
      <c r="C81" s="406">
        <f>INDEX($C$27:$Z$36,MATCH($A80,$A$27:$A$36,0),MATCH(C$39,$C$26:$Z$26,0))</f>
        <v>0</v>
      </c>
      <c r="D81" s="406">
        <f t="shared" ref="D81" si="608">INDEX($C$27:$Z$36,MATCH($A80,$A$27:$A$36,0),MATCH(D$39,$C$26:$Z$26,0))</f>
        <v>0</v>
      </c>
      <c r="E81" s="406">
        <f t="shared" ref="E81" si="609">INDEX($C$27:$Z$36,MATCH($A80,$A$27:$A$36,0),MATCH(E$39,$C$26:$Z$26,0))</f>
        <v>0</v>
      </c>
      <c r="F81" s="406">
        <f t="shared" ref="F81" si="610">INDEX($C$27:$Z$36,MATCH($A80,$A$27:$A$36,0),MATCH(F$39,$C$26:$Z$26,0))</f>
        <v>0</v>
      </c>
      <c r="G81" s="406">
        <f t="shared" ref="G81" si="611">INDEX($C$27:$Z$36,MATCH($A80,$A$27:$A$36,0),MATCH(G$39,$C$26:$Z$26,0))</f>
        <v>0</v>
      </c>
      <c r="H81" s="406">
        <f t="shared" ref="H81" si="612">INDEX($C$27:$Z$36,MATCH($A80,$A$27:$A$36,0),MATCH(H$39,$C$26:$Z$26,0))</f>
        <v>0</v>
      </c>
      <c r="I81" s="406">
        <f t="shared" ref="I81" si="613">INDEX($C$27:$Z$36,MATCH($A80,$A$27:$A$36,0),MATCH(I$39,$C$26:$Z$26,0))</f>
        <v>0</v>
      </c>
      <c r="J81" s="406">
        <f t="shared" ref="J81" si="614">INDEX($C$27:$Z$36,MATCH($A80,$A$27:$A$36,0),MATCH(J$39,$C$26:$Z$26,0))</f>
        <v>0</v>
      </c>
      <c r="K81" s="406">
        <f t="shared" ref="K81" si="615">INDEX($C$27:$Z$36,MATCH($A80,$A$27:$A$36,0),MATCH(K$39,$C$26:$Z$26,0))</f>
        <v>0</v>
      </c>
      <c r="L81" s="406">
        <f t="shared" ref="L81" si="616">INDEX($C$27:$Z$36,MATCH($A80,$A$27:$A$36,0),MATCH(L$39,$C$26:$Z$26,0))</f>
        <v>0</v>
      </c>
      <c r="M81" s="406">
        <f t="shared" ref="M81" si="617">INDEX($C$27:$Z$36,MATCH($A80,$A$27:$A$36,0),MATCH(M$39,$C$26:$Z$26,0))</f>
        <v>0</v>
      </c>
      <c r="N81" s="406">
        <f t="shared" ref="N81" si="618">INDEX($C$27:$Z$36,MATCH($A80,$A$27:$A$36,0),MATCH(N$39,$C$26:$Z$26,0))</f>
        <v>0</v>
      </c>
      <c r="O81" s="406">
        <f t="shared" ref="O81" si="619">INDEX($C$27:$Z$36,MATCH($A80,$A$27:$A$36,0),MATCH(O$39,$C$26:$Z$26,0))</f>
        <v>0</v>
      </c>
      <c r="P81" s="406">
        <f t="shared" ref="P81" si="620">INDEX($C$27:$Z$36,MATCH($A80,$A$27:$A$36,0),MATCH(P$39,$C$26:$Z$26,0))</f>
        <v>0</v>
      </c>
      <c r="Q81" s="406">
        <f t="shared" ref="Q81" si="621">INDEX($C$27:$Z$36,MATCH($A80,$A$27:$A$36,0),MATCH(Q$39,$C$26:$Z$26,0))</f>
        <v>0</v>
      </c>
      <c r="R81" s="406">
        <f t="shared" ref="R81" si="622">INDEX($C$27:$Z$36,MATCH($A80,$A$27:$A$36,0),MATCH(R$39,$C$26:$Z$26,0))</f>
        <v>0</v>
      </c>
      <c r="S81" s="406">
        <f t="shared" ref="S81" si="623">INDEX($C$27:$Z$36,MATCH($A80,$A$27:$A$36,0),MATCH(S$39,$C$26:$Z$26,0))</f>
        <v>0</v>
      </c>
      <c r="T81" s="406">
        <f t="shared" ref="T81" si="624">INDEX($C$27:$Z$36,MATCH($A80,$A$27:$A$36,0),MATCH(T$39,$C$26:$Z$26,0))</f>
        <v>0</v>
      </c>
      <c r="U81" s="406">
        <f t="shared" ref="U81" si="625">INDEX($C$27:$Z$36,MATCH($A80,$A$27:$A$36,0),MATCH(U$39,$C$26:$Z$26,0))</f>
        <v>0</v>
      </c>
      <c r="V81" s="406">
        <f t="shared" ref="V81" si="626">INDEX($C$27:$Z$36,MATCH($A80,$A$27:$A$36,0),MATCH(V$39,$C$26:$Z$26,0))</f>
        <v>0</v>
      </c>
      <c r="W81" s="406">
        <f t="shared" ref="W81" si="627">INDEX($C$27:$Z$36,MATCH($A80,$A$27:$A$36,0),MATCH(W$39,$C$26:$Z$26,0))</f>
        <v>0</v>
      </c>
      <c r="X81" s="406">
        <f t="shared" ref="X81" si="628">INDEX($C$27:$Z$36,MATCH($A80,$A$27:$A$36,0),MATCH(X$39,$C$26:$Z$26,0))</f>
        <v>0</v>
      </c>
      <c r="Y81" s="406">
        <f t="shared" ref="Y81" si="629">INDEX($C$27:$Z$36,MATCH($A80,$A$27:$A$36,0),MATCH(Y$39,$C$26:$Z$26,0))</f>
        <v>0</v>
      </c>
      <c r="Z81" s="406">
        <f t="shared" ref="Z81" si="630">INDEX($C$27:$Z$36,MATCH($A80,$A$27:$A$36,0),MATCH(Z$39,$C$26:$Z$26,0))</f>
        <v>0</v>
      </c>
    </row>
    <row r="82" spans="1:26" s="3" customFormat="1" ht="13.2">
      <c r="A82" s="389"/>
      <c r="B82" s="390" t="s">
        <v>1241</v>
      </c>
      <c r="C82" s="407">
        <f>IF(C81="","",C81-C80)</f>
        <v>0</v>
      </c>
      <c r="D82" s="407">
        <f t="shared" ref="D82" si="631">IF(D81="","",D81-D80)</f>
        <v>-3.4551151481212475E-2</v>
      </c>
      <c r="E82" s="407">
        <f t="shared" ref="E82" si="632">IF(E81="","",E81-E80)</f>
        <v>-3.4630334857980394E-2</v>
      </c>
      <c r="F82" s="407">
        <f t="shared" ref="F82" si="633">IF(F81="","",F81-F80)</f>
        <v>-3.4688808574089569E-2</v>
      </c>
      <c r="G82" s="407">
        <f t="shared" ref="G82" si="634">IF(G81="","",G81-G80)</f>
        <v>-3.4735732302807319E-2</v>
      </c>
      <c r="H82" s="407">
        <f t="shared" ref="H82" si="635">IF(H81="","",H81-H80)</f>
        <v>-3.4777307644985316E-2</v>
      </c>
      <c r="I82" s="407">
        <f t="shared" ref="I82" si="636">IF(I81="","",I81-I80)</f>
        <v>-3.4785486610389035E-2</v>
      </c>
      <c r="J82" s="407">
        <f t="shared" ref="J82" si="637">IF(J81="","",J81-J80)</f>
        <v>-3.4796481582379281E-2</v>
      </c>
      <c r="K82" s="407">
        <f t="shared" ref="K82" si="638">IF(K81="","",K81-K80)</f>
        <v>-3.4812003916883445E-2</v>
      </c>
      <c r="L82" s="407">
        <f t="shared" ref="L82" si="639">IF(L81="","",L81-L80)</f>
        <v>-3.4833002222200163E-2</v>
      </c>
      <c r="M82" s="407">
        <f t="shared" ref="M82" si="640">IF(M81="","",M81-M80)</f>
        <v>-3.485986187905394E-2</v>
      </c>
      <c r="N82" s="407">
        <f t="shared" ref="N82" si="641">IF(N81="","",N81-N80)</f>
        <v>-3.4892559696617996E-2</v>
      </c>
      <c r="O82" s="407">
        <f t="shared" ref="O82" si="642">IF(O81="","",O81-O80)</f>
        <v>-3.4930785793955713E-2</v>
      </c>
      <c r="P82" s="407">
        <f t="shared" ref="P82" si="643">IF(P81="","",P81-P80)</f>
        <v>-3.4974039948196339E-2</v>
      </c>
      <c r="Q82" s="407">
        <f t="shared" ref="Q82" si="644">IF(Q81="","",Q81-Q80)</f>
        <v>-3.5021707142832606E-2</v>
      </c>
      <c r="R82" s="407">
        <f t="shared" ref="R82" si="645">IF(R81="","",R81-R80)</f>
        <v>-3.5073115776046403E-2</v>
      </c>
      <c r="S82" s="407">
        <f t="shared" ref="S82" si="646">IF(S81="","",S81-S80)</f>
        <v>-3.5127581337707839E-2</v>
      </c>
      <c r="T82" s="407">
        <f t="shared" ref="T82" si="647">IF(T81="","",T81-T80)</f>
        <v>-3.5184437999399146E-2</v>
      </c>
      <c r="U82" s="407">
        <f t="shared" ref="U82" si="648">IF(U81="","",U81-U80)</f>
        <v>-3.5243060309173527E-2</v>
      </c>
      <c r="V82" s="407">
        <f t="shared" ref="V82" si="649">IF(V81="","",V81-V80)</f>
        <v>-3.530287695875995E-2</v>
      </c>
      <c r="W82" s="407">
        <f t="shared" ref="W82" si="650">IF(W81="","",W81-W80)</f>
        <v>-3.5363378364036108E-2</v>
      </c>
      <c r="X82" s="407">
        <f t="shared" ref="X82" si="651">IF(X81="","",X81-X80)</f>
        <v>-3.5424119564802348E-2</v>
      </c>
      <c r="Y82" s="407">
        <f t="shared" ref="Y82" si="652">IF(Y81="","",Y81-Y80)</f>
        <v>-3.5484719713806505E-2</v>
      </c>
      <c r="Z82" s="407">
        <f t="shared" ref="Z82" si="653">IF(Z81="","",Z81-Z80)</f>
        <v>-3.5544859197409726E-2</v>
      </c>
    </row>
    <row r="83" spans="1:26" s="3" customFormat="1" ht="13.2">
      <c r="A83" s="389"/>
      <c r="B83" s="390" t="s">
        <v>1242</v>
      </c>
      <c r="C83" s="399"/>
      <c r="D83" s="394">
        <f t="shared" ref="D83" si="654">IF(D81="","",IFERROR(D82/D80,""))</f>
        <v>-1</v>
      </c>
      <c r="E83" s="394">
        <f t="shared" ref="E83" si="655">IF(E81="","",IFERROR(E82/E80,""))</f>
        <v>-1</v>
      </c>
      <c r="F83" s="394">
        <f t="shared" ref="F83" si="656">IF(F81="","",IFERROR(F82/F80,""))</f>
        <v>-1</v>
      </c>
      <c r="G83" s="394">
        <f t="shared" ref="G83" si="657">IF(G81="","",IFERROR(G82/G80,""))</f>
        <v>-1</v>
      </c>
      <c r="H83" s="394">
        <f t="shared" ref="H83" si="658">IF(H81="","",IFERROR(H82/H80,""))</f>
        <v>-1</v>
      </c>
      <c r="I83" s="394">
        <f t="shared" ref="I83" si="659">IF(I81="","",IFERROR(I82/I80,""))</f>
        <v>-1</v>
      </c>
      <c r="J83" s="394">
        <f t="shared" ref="J83" si="660">IF(J81="","",IFERROR(J82/J80,""))</f>
        <v>-1</v>
      </c>
      <c r="K83" s="394">
        <f t="shared" ref="K83" si="661">IF(K81="","",IFERROR(K82/K80,""))</f>
        <v>-1</v>
      </c>
      <c r="L83" s="394">
        <f t="shared" ref="L83" si="662">IF(L81="","",IFERROR(L82/L80,""))</f>
        <v>-1</v>
      </c>
      <c r="M83" s="394">
        <f t="shared" ref="M83" si="663">IF(M81="","",IFERROR(M82/M80,""))</f>
        <v>-1</v>
      </c>
      <c r="N83" s="394">
        <f t="shared" ref="N83" si="664">IF(N81="","",IFERROR(N82/N80,""))</f>
        <v>-1</v>
      </c>
      <c r="O83" s="394">
        <f t="shared" ref="O83" si="665">IF(O81="","",IFERROR(O82/O80,""))</f>
        <v>-1</v>
      </c>
      <c r="P83" s="394">
        <f t="shared" ref="P83" si="666">IF(P81="","",IFERROR(P82/P80,""))</f>
        <v>-1</v>
      </c>
      <c r="Q83" s="394">
        <f t="shared" ref="Q83" si="667">IF(Q81="","",IFERROR(Q82/Q80,""))</f>
        <v>-1</v>
      </c>
      <c r="R83" s="394">
        <f t="shared" ref="R83" si="668">IF(R81="","",IFERROR(R82/R80,""))</f>
        <v>-1</v>
      </c>
      <c r="S83" s="394">
        <f t="shared" ref="S83" si="669">IF(S81="","",IFERROR(S82/S80,""))</f>
        <v>-1</v>
      </c>
      <c r="T83" s="394">
        <f t="shared" ref="T83" si="670">IF(T81="","",IFERROR(T82/T80,""))</f>
        <v>-1</v>
      </c>
      <c r="U83" s="394">
        <f t="shared" ref="U83" si="671">IF(U81="","",IFERROR(U82/U80,""))</f>
        <v>-1</v>
      </c>
      <c r="V83" s="394">
        <f t="shared" ref="V83" si="672">IF(V81="","",IFERROR(V82/V80,""))</f>
        <v>-1</v>
      </c>
      <c r="W83" s="394">
        <f t="shared" ref="W83" si="673">IF(W81="","",IFERROR(W82/W80,""))</f>
        <v>-1</v>
      </c>
      <c r="X83" s="394">
        <f t="shared" ref="X83" si="674">IF(X81="","",IFERROR(X82/X80,""))</f>
        <v>-1</v>
      </c>
      <c r="Y83" s="394">
        <f t="shared" ref="Y83" si="675">IF(Y81="","",IFERROR(Y82/Y80,""))</f>
        <v>-1</v>
      </c>
      <c r="Z83" s="394">
        <f t="shared" ref="Z83" si="676">IF(Z81="","",IFERROR(Z82/Z80,""))</f>
        <v>-1</v>
      </c>
    </row>
    <row r="84" spans="1:26" s="3" customFormat="1" ht="13.2">
      <c r="A84" s="389"/>
      <c r="B84" s="390" t="s">
        <v>1243</v>
      </c>
      <c r="C84" s="400"/>
      <c r="D84" s="395" t="str">
        <f t="shared" ref="D84" si="677">IF(D81="","",IF(ABS(D83)&lt;=$B$9,"OK",IF($A80="Headcount","Review",IF(OR($A80="Monthly Net Burn",$A80="CAC Payback",$A80="Logo Churn Rate %"),IF(D81&lt;D80,"Favorable","Review"),IF(D81&gt;D80,"Favorable","Review")))))</f>
        <v>Favorable</v>
      </c>
      <c r="E84" s="395" t="str">
        <f t="shared" ref="E84" si="678">IF(E81="","",IF(ABS(E83)&lt;=$B$9,"OK",IF($A80="Headcount","Review",IF(OR($A80="Monthly Net Burn",$A80="CAC Payback",$A80="Logo Churn Rate %"),IF(E81&lt;E80,"Favorable","Review"),IF(E81&gt;E80,"Favorable","Review")))))</f>
        <v>Favorable</v>
      </c>
      <c r="F84" s="395" t="str">
        <f t="shared" ref="F84" si="679">IF(F81="","",IF(ABS(F83)&lt;=$B$9,"OK",IF($A80="Headcount","Review",IF(OR($A80="Monthly Net Burn",$A80="CAC Payback",$A80="Logo Churn Rate %"),IF(F81&lt;F80,"Favorable","Review"),IF(F81&gt;F80,"Favorable","Review")))))</f>
        <v>Favorable</v>
      </c>
      <c r="G84" s="395" t="str">
        <f t="shared" ref="G84" si="680">IF(G81="","",IF(ABS(G83)&lt;=$B$9,"OK",IF($A80="Headcount","Review",IF(OR($A80="Monthly Net Burn",$A80="CAC Payback",$A80="Logo Churn Rate %"),IF(G81&lt;G80,"Favorable","Review"),IF(G81&gt;G80,"Favorable","Review")))))</f>
        <v>Favorable</v>
      </c>
      <c r="H84" s="395" t="str">
        <f t="shared" ref="H84" si="681">IF(H81="","",IF(ABS(H83)&lt;=$B$9,"OK",IF($A80="Headcount","Review",IF(OR($A80="Monthly Net Burn",$A80="CAC Payback",$A80="Logo Churn Rate %"),IF(H81&lt;H80,"Favorable","Review"),IF(H81&gt;H80,"Favorable","Review")))))</f>
        <v>Favorable</v>
      </c>
      <c r="I84" s="395" t="str">
        <f t="shared" ref="I84" si="682">IF(I81="","",IF(ABS(I83)&lt;=$B$9,"OK",IF($A80="Headcount","Review",IF(OR($A80="Monthly Net Burn",$A80="CAC Payback",$A80="Logo Churn Rate %"),IF(I81&lt;I80,"Favorable","Review"),IF(I81&gt;I80,"Favorable","Review")))))</f>
        <v>Favorable</v>
      </c>
      <c r="J84" s="395" t="str">
        <f t="shared" ref="J84" si="683">IF(J81="","",IF(ABS(J83)&lt;=$B$9,"OK",IF($A80="Headcount","Review",IF(OR($A80="Monthly Net Burn",$A80="CAC Payback",$A80="Logo Churn Rate %"),IF(J81&lt;J80,"Favorable","Review"),IF(J81&gt;J80,"Favorable","Review")))))</f>
        <v>Favorable</v>
      </c>
      <c r="K84" s="395" t="str">
        <f t="shared" ref="K84" si="684">IF(K81="","",IF(ABS(K83)&lt;=$B$9,"OK",IF($A80="Headcount","Review",IF(OR($A80="Monthly Net Burn",$A80="CAC Payback",$A80="Logo Churn Rate %"),IF(K81&lt;K80,"Favorable","Review"),IF(K81&gt;K80,"Favorable","Review")))))</f>
        <v>Favorable</v>
      </c>
      <c r="L84" s="395" t="str">
        <f t="shared" ref="L84" si="685">IF(L81="","",IF(ABS(L83)&lt;=$B$9,"OK",IF($A80="Headcount","Review",IF(OR($A80="Monthly Net Burn",$A80="CAC Payback",$A80="Logo Churn Rate %"),IF(L81&lt;L80,"Favorable","Review"),IF(L81&gt;L80,"Favorable","Review")))))</f>
        <v>Favorable</v>
      </c>
      <c r="M84" s="395" t="str">
        <f t="shared" ref="M84" si="686">IF(M81="","",IF(ABS(M83)&lt;=$B$9,"OK",IF($A80="Headcount","Review",IF(OR($A80="Monthly Net Burn",$A80="CAC Payback",$A80="Logo Churn Rate %"),IF(M81&lt;M80,"Favorable","Review"),IF(M81&gt;M80,"Favorable","Review")))))</f>
        <v>Favorable</v>
      </c>
      <c r="N84" s="395" t="str">
        <f t="shared" ref="N84" si="687">IF(N81="","",IF(ABS(N83)&lt;=$B$9,"OK",IF($A80="Headcount","Review",IF(OR($A80="Monthly Net Burn",$A80="CAC Payback",$A80="Logo Churn Rate %"),IF(N81&lt;N80,"Favorable","Review"),IF(N81&gt;N80,"Favorable","Review")))))</f>
        <v>Favorable</v>
      </c>
      <c r="O84" s="395" t="str">
        <f t="shared" ref="O84" si="688">IF(O81="","",IF(ABS(O83)&lt;=$B$9,"OK",IF($A80="Headcount","Review",IF(OR($A80="Monthly Net Burn",$A80="CAC Payback",$A80="Logo Churn Rate %"),IF(O81&lt;O80,"Favorable","Review"),IF(O81&gt;O80,"Favorable","Review")))))</f>
        <v>Favorable</v>
      </c>
      <c r="P84" s="395" t="str">
        <f t="shared" ref="P84" si="689">IF(P81="","",IF(ABS(P83)&lt;=$B$9,"OK",IF($A80="Headcount","Review",IF(OR($A80="Monthly Net Burn",$A80="CAC Payback",$A80="Logo Churn Rate %"),IF(P81&lt;P80,"Favorable","Review"),IF(P81&gt;P80,"Favorable","Review")))))</f>
        <v>Favorable</v>
      </c>
      <c r="Q84" s="395" t="str">
        <f t="shared" ref="Q84" si="690">IF(Q81="","",IF(ABS(Q83)&lt;=$B$9,"OK",IF($A80="Headcount","Review",IF(OR($A80="Monthly Net Burn",$A80="CAC Payback",$A80="Logo Churn Rate %"),IF(Q81&lt;Q80,"Favorable","Review"),IF(Q81&gt;Q80,"Favorable","Review")))))</f>
        <v>Favorable</v>
      </c>
      <c r="R84" s="395" t="str">
        <f t="shared" ref="R84" si="691">IF(R81="","",IF(ABS(R83)&lt;=$B$9,"OK",IF($A80="Headcount","Review",IF(OR($A80="Monthly Net Burn",$A80="CAC Payback",$A80="Logo Churn Rate %"),IF(R81&lt;R80,"Favorable","Review"),IF(R81&gt;R80,"Favorable","Review")))))</f>
        <v>Favorable</v>
      </c>
      <c r="S84" s="395" t="str">
        <f t="shared" ref="S84" si="692">IF(S81="","",IF(ABS(S83)&lt;=$B$9,"OK",IF($A80="Headcount","Review",IF(OR($A80="Monthly Net Burn",$A80="CAC Payback",$A80="Logo Churn Rate %"),IF(S81&lt;S80,"Favorable","Review"),IF(S81&gt;S80,"Favorable","Review")))))</f>
        <v>Favorable</v>
      </c>
      <c r="T84" s="395" t="str">
        <f t="shared" ref="T84" si="693">IF(T81="","",IF(ABS(T83)&lt;=$B$9,"OK",IF($A80="Headcount","Review",IF(OR($A80="Monthly Net Burn",$A80="CAC Payback",$A80="Logo Churn Rate %"),IF(T81&lt;T80,"Favorable","Review"),IF(T81&gt;T80,"Favorable","Review")))))</f>
        <v>Favorable</v>
      </c>
      <c r="U84" s="395" t="str">
        <f t="shared" ref="U84" si="694">IF(U81="","",IF(ABS(U83)&lt;=$B$9,"OK",IF($A80="Headcount","Review",IF(OR($A80="Monthly Net Burn",$A80="CAC Payback",$A80="Logo Churn Rate %"),IF(U81&lt;U80,"Favorable","Review"),IF(U81&gt;U80,"Favorable","Review")))))</f>
        <v>Favorable</v>
      </c>
      <c r="V84" s="395" t="str">
        <f t="shared" ref="V84" si="695">IF(V81="","",IF(ABS(V83)&lt;=$B$9,"OK",IF($A80="Headcount","Review",IF(OR($A80="Monthly Net Burn",$A80="CAC Payback",$A80="Logo Churn Rate %"),IF(V81&lt;V80,"Favorable","Review"),IF(V81&gt;V80,"Favorable","Review")))))</f>
        <v>Favorable</v>
      </c>
      <c r="W84" s="395" t="str">
        <f t="shared" ref="W84" si="696">IF(W81="","",IF(ABS(W83)&lt;=$B$9,"OK",IF($A80="Headcount","Review",IF(OR($A80="Monthly Net Burn",$A80="CAC Payback",$A80="Logo Churn Rate %"),IF(W81&lt;W80,"Favorable","Review"),IF(W81&gt;W80,"Favorable","Review")))))</f>
        <v>Favorable</v>
      </c>
      <c r="X84" s="395" t="str">
        <f t="shared" ref="X84" si="697">IF(X81="","",IF(ABS(X83)&lt;=$B$9,"OK",IF($A80="Headcount","Review",IF(OR($A80="Monthly Net Burn",$A80="CAC Payback",$A80="Logo Churn Rate %"),IF(X81&lt;X80,"Favorable","Review"),IF(X81&gt;X80,"Favorable","Review")))))</f>
        <v>Favorable</v>
      </c>
      <c r="Y84" s="395" t="str">
        <f t="shared" ref="Y84" si="698">IF(Y81="","",IF(ABS(Y83)&lt;=$B$9,"OK",IF($A80="Headcount","Review",IF(OR($A80="Monthly Net Burn",$A80="CAC Payback",$A80="Logo Churn Rate %"),IF(Y81&lt;Y80,"Favorable","Review"),IF(Y81&gt;Y80,"Favorable","Review")))))</f>
        <v>Favorable</v>
      </c>
      <c r="Z84" s="395" t="str">
        <f t="shared" ref="Z84" si="699">IF(Z81="","",IF(ABS(Z83)&lt;=$B$9,"OK",IF($A80="Headcount","Review",IF(OR($A80="Monthly Net Burn",$A80="CAC Payback",$A80="Logo Churn Rate %"),IF(Z81&lt;Z80,"Favorable","Review"),IF(Z81&gt;Z80,"Favorable","Review")))))</f>
        <v>Favorable</v>
      </c>
    </row>
    <row r="85" spans="1:26" s="3" customFormat="1" ht="13.2">
      <c r="A85" s="389" t="s">
        <v>330</v>
      </c>
      <c r="B85" s="390" t="s">
        <v>1239</v>
      </c>
      <c r="C85" s="402" cm="1">
        <f t="array" ref="C85">INDEX('8. Scenarios'!$B$22:$Y$31,MATCH(_xlfn.SWITCH($A85,"Total Monthly Revenue","Revenue",$A85),'8. Scenarios'!$A$22:$A$31,0),MATCH(C$39,'8. Scenarios'!$B$21:$Y$21,0))</f>
        <v>2</v>
      </c>
      <c r="D85" s="402" cm="1">
        <f t="array" ref="D85">INDEX('8. Scenarios'!$B$22:$Y$31,MATCH(_xlfn.SWITCH($A85,"Total Monthly Revenue","Revenue",$A85),'8. Scenarios'!$A$22:$A$31,0),MATCH(D$39,'8. Scenarios'!$B$21:$Y$21,0))</f>
        <v>2</v>
      </c>
      <c r="E85" s="402" cm="1">
        <f t="array" ref="E85">INDEX('8. Scenarios'!$B$22:$Y$31,MATCH(_xlfn.SWITCH($A85,"Total Monthly Revenue","Revenue",$A85),'8. Scenarios'!$A$22:$A$31,0),MATCH(E$39,'8. Scenarios'!$B$21:$Y$21,0))</f>
        <v>3</v>
      </c>
      <c r="F85" s="402" cm="1">
        <f t="array" ref="F85">INDEX('8. Scenarios'!$B$22:$Y$31,MATCH(_xlfn.SWITCH($A85,"Total Monthly Revenue","Revenue",$A85),'8. Scenarios'!$A$22:$A$31,0),MATCH(F$39,'8. Scenarios'!$B$21:$Y$21,0))</f>
        <v>4</v>
      </c>
      <c r="G85" s="402" cm="1">
        <f t="array" ref="G85">INDEX('8. Scenarios'!$B$22:$Y$31,MATCH(_xlfn.SWITCH($A85,"Total Monthly Revenue","Revenue",$A85),'8. Scenarios'!$A$22:$A$31,0),MATCH(G$39,'8. Scenarios'!$B$21:$Y$21,0))</f>
        <v>5</v>
      </c>
      <c r="H85" s="402" cm="1">
        <f t="array" ref="H85">INDEX('8. Scenarios'!$B$22:$Y$31,MATCH(_xlfn.SWITCH($A85,"Total Monthly Revenue","Revenue",$A85),'8. Scenarios'!$A$22:$A$31,0),MATCH(H$39,'8. Scenarios'!$B$21:$Y$21,0))</f>
        <v>6</v>
      </c>
      <c r="I85" s="402" cm="1">
        <f t="array" ref="I85">INDEX('8. Scenarios'!$B$22:$Y$31,MATCH(_xlfn.SWITCH($A85,"Total Monthly Revenue","Revenue",$A85),'8. Scenarios'!$A$22:$A$31,0),MATCH(I$39,'8. Scenarios'!$B$21:$Y$21,0))</f>
        <v>6</v>
      </c>
      <c r="J85" s="402" cm="1">
        <f t="array" ref="J85">INDEX('8. Scenarios'!$B$22:$Y$31,MATCH(_xlfn.SWITCH($A85,"Total Monthly Revenue","Revenue",$A85),'8. Scenarios'!$A$22:$A$31,0),MATCH(J$39,'8. Scenarios'!$B$21:$Y$21,0))</f>
        <v>7</v>
      </c>
      <c r="K85" s="402" cm="1">
        <f t="array" ref="K85">INDEX('8. Scenarios'!$B$22:$Y$31,MATCH(_xlfn.SWITCH($A85,"Total Monthly Revenue","Revenue",$A85),'8. Scenarios'!$A$22:$A$31,0),MATCH(K$39,'8. Scenarios'!$B$21:$Y$21,0))</f>
        <v>8</v>
      </c>
      <c r="L85" s="402" cm="1">
        <f t="array" ref="L85">INDEX('8. Scenarios'!$B$22:$Y$31,MATCH(_xlfn.SWITCH($A85,"Total Monthly Revenue","Revenue",$A85),'8. Scenarios'!$A$22:$A$31,0),MATCH(L$39,'8. Scenarios'!$B$21:$Y$21,0))</f>
        <v>9</v>
      </c>
      <c r="M85" s="402" cm="1">
        <f t="array" ref="M85">INDEX('8. Scenarios'!$B$22:$Y$31,MATCH(_xlfn.SWITCH($A85,"Total Monthly Revenue","Revenue",$A85),'8. Scenarios'!$A$22:$A$31,0),MATCH(M$39,'8. Scenarios'!$B$21:$Y$21,0))</f>
        <v>9</v>
      </c>
      <c r="N85" s="402" cm="1">
        <f t="array" ref="N85">INDEX('8. Scenarios'!$B$22:$Y$31,MATCH(_xlfn.SWITCH($A85,"Total Monthly Revenue","Revenue",$A85),'8. Scenarios'!$A$22:$A$31,0),MATCH(N$39,'8. Scenarios'!$B$21:$Y$21,0))</f>
        <v>10</v>
      </c>
      <c r="O85" s="402" cm="1">
        <f t="array" ref="O85">INDEX('8. Scenarios'!$B$22:$Y$31,MATCH(_xlfn.SWITCH($A85,"Total Monthly Revenue","Revenue",$A85),'8. Scenarios'!$A$22:$A$31,0),MATCH(O$39,'8. Scenarios'!$B$21:$Y$21,0))</f>
        <v>10</v>
      </c>
      <c r="P85" s="402" cm="1">
        <f t="array" ref="P85">INDEX('8. Scenarios'!$B$22:$Y$31,MATCH(_xlfn.SWITCH($A85,"Total Monthly Revenue","Revenue",$A85),'8. Scenarios'!$A$22:$A$31,0),MATCH(P$39,'8. Scenarios'!$B$21:$Y$21,0))</f>
        <v>11</v>
      </c>
      <c r="Q85" s="402" cm="1">
        <f t="array" ref="Q85">INDEX('8. Scenarios'!$B$22:$Y$31,MATCH(_xlfn.SWITCH($A85,"Total Monthly Revenue","Revenue",$A85),'8. Scenarios'!$A$22:$A$31,0),MATCH(Q$39,'8. Scenarios'!$B$21:$Y$21,0))</f>
        <v>11</v>
      </c>
      <c r="R85" s="402" cm="1">
        <f t="array" ref="R85">INDEX('8. Scenarios'!$B$22:$Y$31,MATCH(_xlfn.SWITCH($A85,"Total Monthly Revenue","Revenue",$A85),'8. Scenarios'!$A$22:$A$31,0),MATCH(R$39,'8. Scenarios'!$B$21:$Y$21,0))</f>
        <v>12</v>
      </c>
      <c r="S85" s="402" cm="1">
        <f t="array" ref="S85">INDEX('8. Scenarios'!$B$22:$Y$31,MATCH(_xlfn.SWITCH($A85,"Total Monthly Revenue","Revenue",$A85),'8. Scenarios'!$A$22:$A$31,0),MATCH(S$39,'8. Scenarios'!$B$21:$Y$21,0))</f>
        <v>12</v>
      </c>
      <c r="T85" s="402" cm="1">
        <f t="array" ref="T85">INDEX('8. Scenarios'!$B$22:$Y$31,MATCH(_xlfn.SWITCH($A85,"Total Monthly Revenue","Revenue",$A85),'8. Scenarios'!$A$22:$A$31,0),MATCH(T$39,'8. Scenarios'!$B$21:$Y$21,0))</f>
        <v>12</v>
      </c>
      <c r="U85" s="402" cm="1">
        <f t="array" ref="U85">INDEX('8. Scenarios'!$B$22:$Y$31,MATCH(_xlfn.SWITCH($A85,"Total Monthly Revenue","Revenue",$A85),'8. Scenarios'!$A$22:$A$31,0),MATCH(U$39,'8. Scenarios'!$B$21:$Y$21,0))</f>
        <v>12</v>
      </c>
      <c r="V85" s="402" cm="1">
        <f t="array" ref="V85">INDEX('8. Scenarios'!$B$22:$Y$31,MATCH(_xlfn.SWITCH($A85,"Total Monthly Revenue","Revenue",$A85),'8. Scenarios'!$A$22:$A$31,0),MATCH(V$39,'8. Scenarios'!$B$21:$Y$21,0))</f>
        <v>13</v>
      </c>
      <c r="W85" s="402" cm="1">
        <f t="array" ref="W85">INDEX('8. Scenarios'!$B$22:$Y$31,MATCH(_xlfn.SWITCH($A85,"Total Monthly Revenue","Revenue",$A85),'8. Scenarios'!$A$22:$A$31,0),MATCH(W$39,'8. Scenarios'!$B$21:$Y$21,0))</f>
        <v>13</v>
      </c>
      <c r="X85" s="402" cm="1">
        <f t="array" ref="X85">INDEX('8. Scenarios'!$B$22:$Y$31,MATCH(_xlfn.SWITCH($A85,"Total Monthly Revenue","Revenue",$A85),'8. Scenarios'!$A$22:$A$31,0),MATCH(X$39,'8. Scenarios'!$B$21:$Y$21,0))</f>
        <v>13</v>
      </c>
      <c r="Y85" s="402" cm="1">
        <f t="array" ref="Y85">INDEX('8. Scenarios'!$B$22:$Y$31,MATCH(_xlfn.SWITCH($A85,"Total Monthly Revenue","Revenue",$A85),'8. Scenarios'!$A$22:$A$31,0),MATCH(Y$39,'8. Scenarios'!$B$21:$Y$21,0))</f>
        <v>13</v>
      </c>
      <c r="Z85" s="402" cm="1">
        <f t="array" ref="Z85">INDEX('8. Scenarios'!$B$22:$Y$31,MATCH(_xlfn.SWITCH($A85,"Total Monthly Revenue","Revenue",$A85),'8. Scenarios'!$A$22:$A$31,0),MATCH(Z$39,'8. Scenarios'!$B$21:$Y$21,0))</f>
        <v>13</v>
      </c>
    </row>
    <row r="86" spans="1:26" s="3" customFormat="1" ht="13.2">
      <c r="A86" s="389"/>
      <c r="B86" s="390" t="s">
        <v>1240</v>
      </c>
      <c r="C86" s="403">
        <f>INDEX($C$27:$Z$36,MATCH($A85,$A$27:$A$36,0),MATCH(C$39,$C$26:$Z$26,0))</f>
        <v>0</v>
      </c>
      <c r="D86" s="403">
        <f t="shared" ref="D86" si="700">INDEX($C$27:$Z$36,MATCH($A85,$A$27:$A$36,0),MATCH(D$39,$C$26:$Z$26,0))</f>
        <v>0</v>
      </c>
      <c r="E86" s="403">
        <f t="shared" ref="E86" si="701">INDEX($C$27:$Z$36,MATCH($A85,$A$27:$A$36,0),MATCH(E$39,$C$26:$Z$26,0))</f>
        <v>0</v>
      </c>
      <c r="F86" s="403">
        <f t="shared" ref="F86" si="702">INDEX($C$27:$Z$36,MATCH($A85,$A$27:$A$36,0),MATCH(F$39,$C$26:$Z$26,0))</f>
        <v>0</v>
      </c>
      <c r="G86" s="403">
        <f t="shared" ref="G86" si="703">INDEX($C$27:$Z$36,MATCH($A85,$A$27:$A$36,0),MATCH(G$39,$C$26:$Z$26,0))</f>
        <v>0</v>
      </c>
      <c r="H86" s="403">
        <f t="shared" ref="H86" si="704">INDEX($C$27:$Z$36,MATCH($A85,$A$27:$A$36,0),MATCH(H$39,$C$26:$Z$26,0))</f>
        <v>0</v>
      </c>
      <c r="I86" s="403">
        <f t="shared" ref="I86" si="705">INDEX($C$27:$Z$36,MATCH($A85,$A$27:$A$36,0),MATCH(I$39,$C$26:$Z$26,0))</f>
        <v>0</v>
      </c>
      <c r="J86" s="403">
        <f t="shared" ref="J86" si="706">INDEX($C$27:$Z$36,MATCH($A85,$A$27:$A$36,0),MATCH(J$39,$C$26:$Z$26,0))</f>
        <v>0</v>
      </c>
      <c r="K86" s="403">
        <f t="shared" ref="K86" si="707">INDEX($C$27:$Z$36,MATCH($A85,$A$27:$A$36,0),MATCH(K$39,$C$26:$Z$26,0))</f>
        <v>0</v>
      </c>
      <c r="L86" s="403">
        <f t="shared" ref="L86" si="708">INDEX($C$27:$Z$36,MATCH($A85,$A$27:$A$36,0),MATCH(L$39,$C$26:$Z$26,0))</f>
        <v>0</v>
      </c>
      <c r="M86" s="403">
        <f t="shared" ref="M86" si="709">INDEX($C$27:$Z$36,MATCH($A85,$A$27:$A$36,0),MATCH(M$39,$C$26:$Z$26,0))</f>
        <v>0</v>
      </c>
      <c r="N86" s="403">
        <f t="shared" ref="N86" si="710">INDEX($C$27:$Z$36,MATCH($A85,$A$27:$A$36,0),MATCH(N$39,$C$26:$Z$26,0))</f>
        <v>0</v>
      </c>
      <c r="O86" s="403">
        <f t="shared" ref="O86" si="711">INDEX($C$27:$Z$36,MATCH($A85,$A$27:$A$36,0),MATCH(O$39,$C$26:$Z$26,0))</f>
        <v>0</v>
      </c>
      <c r="P86" s="403">
        <f t="shared" ref="P86" si="712">INDEX($C$27:$Z$36,MATCH($A85,$A$27:$A$36,0),MATCH(P$39,$C$26:$Z$26,0))</f>
        <v>0</v>
      </c>
      <c r="Q86" s="403">
        <f t="shared" ref="Q86" si="713">INDEX($C$27:$Z$36,MATCH($A85,$A$27:$A$36,0),MATCH(Q$39,$C$26:$Z$26,0))</f>
        <v>0</v>
      </c>
      <c r="R86" s="403">
        <f t="shared" ref="R86" si="714">INDEX($C$27:$Z$36,MATCH($A85,$A$27:$A$36,0),MATCH(R$39,$C$26:$Z$26,0))</f>
        <v>0</v>
      </c>
      <c r="S86" s="403">
        <f t="shared" ref="S86" si="715">INDEX($C$27:$Z$36,MATCH($A85,$A$27:$A$36,0),MATCH(S$39,$C$26:$Z$26,0))</f>
        <v>0</v>
      </c>
      <c r="T86" s="403">
        <f t="shared" ref="T86" si="716">INDEX($C$27:$Z$36,MATCH($A85,$A$27:$A$36,0),MATCH(T$39,$C$26:$Z$26,0))</f>
        <v>0</v>
      </c>
      <c r="U86" s="403">
        <f t="shared" ref="U86" si="717">INDEX($C$27:$Z$36,MATCH($A85,$A$27:$A$36,0),MATCH(U$39,$C$26:$Z$26,0))</f>
        <v>0</v>
      </c>
      <c r="V86" s="403">
        <f t="shared" ref="V86" si="718">INDEX($C$27:$Z$36,MATCH($A85,$A$27:$A$36,0),MATCH(V$39,$C$26:$Z$26,0))</f>
        <v>0</v>
      </c>
      <c r="W86" s="403">
        <f t="shared" ref="W86" si="719">INDEX($C$27:$Z$36,MATCH($A85,$A$27:$A$36,0),MATCH(W$39,$C$26:$Z$26,0))</f>
        <v>0</v>
      </c>
      <c r="X86" s="403">
        <f t="shared" ref="X86" si="720">INDEX($C$27:$Z$36,MATCH($A85,$A$27:$A$36,0),MATCH(X$39,$C$26:$Z$26,0))</f>
        <v>0</v>
      </c>
      <c r="Y86" s="403">
        <f t="shared" ref="Y86" si="721">INDEX($C$27:$Z$36,MATCH($A85,$A$27:$A$36,0),MATCH(Y$39,$C$26:$Z$26,0))</f>
        <v>0</v>
      </c>
      <c r="Z86" s="403">
        <f t="shared" ref="Z86" si="722">INDEX($C$27:$Z$36,MATCH($A85,$A$27:$A$36,0),MATCH(Z$39,$C$26:$Z$26,0))</f>
        <v>0</v>
      </c>
    </row>
    <row r="87" spans="1:26" s="3" customFormat="1" ht="13.2">
      <c r="A87" s="389"/>
      <c r="B87" s="390" t="s">
        <v>1241</v>
      </c>
      <c r="C87" s="404">
        <f>IF(C86="","",C86-C85)</f>
        <v>-2</v>
      </c>
      <c r="D87" s="404">
        <f t="shared" ref="D87" si="723">IF(D86="","",D86-D85)</f>
        <v>-2</v>
      </c>
      <c r="E87" s="404">
        <f t="shared" ref="E87" si="724">IF(E86="","",E86-E85)</f>
        <v>-3</v>
      </c>
      <c r="F87" s="404">
        <f t="shared" ref="F87" si="725">IF(F86="","",F86-F85)</f>
        <v>-4</v>
      </c>
      <c r="G87" s="404">
        <f t="shared" ref="G87" si="726">IF(G86="","",G86-G85)</f>
        <v>-5</v>
      </c>
      <c r="H87" s="404">
        <f t="shared" ref="H87" si="727">IF(H86="","",H86-H85)</f>
        <v>-6</v>
      </c>
      <c r="I87" s="404">
        <f t="shared" ref="I87" si="728">IF(I86="","",I86-I85)</f>
        <v>-6</v>
      </c>
      <c r="J87" s="404">
        <f t="shared" ref="J87" si="729">IF(J86="","",J86-J85)</f>
        <v>-7</v>
      </c>
      <c r="K87" s="404">
        <f t="shared" ref="K87" si="730">IF(K86="","",K86-K85)</f>
        <v>-8</v>
      </c>
      <c r="L87" s="404">
        <f t="shared" ref="L87" si="731">IF(L86="","",L86-L85)</f>
        <v>-9</v>
      </c>
      <c r="M87" s="404">
        <f t="shared" ref="M87" si="732">IF(M86="","",M86-M85)</f>
        <v>-9</v>
      </c>
      <c r="N87" s="404">
        <f t="shared" ref="N87" si="733">IF(N86="","",N86-N85)</f>
        <v>-10</v>
      </c>
      <c r="O87" s="404">
        <f t="shared" ref="O87" si="734">IF(O86="","",O86-O85)</f>
        <v>-10</v>
      </c>
      <c r="P87" s="404">
        <f t="shared" ref="P87" si="735">IF(P86="","",P86-P85)</f>
        <v>-11</v>
      </c>
      <c r="Q87" s="404">
        <f t="shared" ref="Q87" si="736">IF(Q86="","",Q86-Q85)</f>
        <v>-11</v>
      </c>
      <c r="R87" s="404">
        <f t="shared" ref="R87" si="737">IF(R86="","",R86-R85)</f>
        <v>-12</v>
      </c>
      <c r="S87" s="404">
        <f t="shared" ref="S87" si="738">IF(S86="","",S86-S85)</f>
        <v>-12</v>
      </c>
      <c r="T87" s="404">
        <f t="shared" ref="T87" si="739">IF(T86="","",T86-T85)</f>
        <v>-12</v>
      </c>
      <c r="U87" s="404">
        <f t="shared" ref="U87" si="740">IF(U86="","",U86-U85)</f>
        <v>-12</v>
      </c>
      <c r="V87" s="404">
        <f t="shared" ref="V87" si="741">IF(V86="","",V86-V85)</f>
        <v>-13</v>
      </c>
      <c r="W87" s="404">
        <f t="shared" ref="W87" si="742">IF(W86="","",W86-W85)</f>
        <v>-13</v>
      </c>
      <c r="X87" s="404">
        <f t="shared" ref="X87" si="743">IF(X86="","",X86-X85)</f>
        <v>-13</v>
      </c>
      <c r="Y87" s="404">
        <f t="shared" ref="Y87" si="744">IF(Y86="","",Y86-Y85)</f>
        <v>-13</v>
      </c>
      <c r="Z87" s="404">
        <f t="shared" ref="Z87" si="745">IF(Z86="","",Z86-Z85)</f>
        <v>-13</v>
      </c>
    </row>
    <row r="88" spans="1:26" s="3" customFormat="1" ht="13.2">
      <c r="A88" s="389"/>
      <c r="B88" s="390" t="s">
        <v>1242</v>
      </c>
      <c r="C88" s="394">
        <f>IF(C86="","",IFERROR(C87/C85,""))</f>
        <v>-1</v>
      </c>
      <c r="D88" s="394">
        <f t="shared" ref="D88" si="746">IF(D86="","",IFERROR(D87/D85,""))</f>
        <v>-1</v>
      </c>
      <c r="E88" s="394">
        <f t="shared" ref="E88" si="747">IF(E86="","",IFERROR(E87/E85,""))</f>
        <v>-1</v>
      </c>
      <c r="F88" s="394">
        <f t="shared" ref="F88" si="748">IF(F86="","",IFERROR(F87/F85,""))</f>
        <v>-1</v>
      </c>
      <c r="G88" s="394">
        <f t="shared" ref="G88" si="749">IF(G86="","",IFERROR(G87/G85,""))</f>
        <v>-1</v>
      </c>
      <c r="H88" s="394">
        <f t="shared" ref="H88" si="750">IF(H86="","",IFERROR(H87/H85,""))</f>
        <v>-1</v>
      </c>
      <c r="I88" s="394">
        <f t="shared" ref="I88" si="751">IF(I86="","",IFERROR(I87/I85,""))</f>
        <v>-1</v>
      </c>
      <c r="J88" s="394">
        <f t="shared" ref="J88" si="752">IF(J86="","",IFERROR(J87/J85,""))</f>
        <v>-1</v>
      </c>
      <c r="K88" s="394">
        <f t="shared" ref="K88" si="753">IF(K86="","",IFERROR(K87/K85,""))</f>
        <v>-1</v>
      </c>
      <c r="L88" s="394">
        <f t="shared" ref="L88" si="754">IF(L86="","",IFERROR(L87/L85,""))</f>
        <v>-1</v>
      </c>
      <c r="M88" s="394">
        <f t="shared" ref="M88" si="755">IF(M86="","",IFERROR(M87/M85,""))</f>
        <v>-1</v>
      </c>
      <c r="N88" s="394">
        <f t="shared" ref="N88" si="756">IF(N86="","",IFERROR(N87/N85,""))</f>
        <v>-1</v>
      </c>
      <c r="O88" s="394">
        <f t="shared" ref="O88" si="757">IF(O86="","",IFERROR(O87/O85,""))</f>
        <v>-1</v>
      </c>
      <c r="P88" s="394">
        <f t="shared" ref="P88" si="758">IF(P86="","",IFERROR(P87/P85,""))</f>
        <v>-1</v>
      </c>
      <c r="Q88" s="394">
        <f t="shared" ref="Q88" si="759">IF(Q86="","",IFERROR(Q87/Q85,""))</f>
        <v>-1</v>
      </c>
      <c r="R88" s="394">
        <f t="shared" ref="R88" si="760">IF(R86="","",IFERROR(R87/R85,""))</f>
        <v>-1</v>
      </c>
      <c r="S88" s="394">
        <f t="shared" ref="S88" si="761">IF(S86="","",IFERROR(S87/S85,""))</f>
        <v>-1</v>
      </c>
      <c r="T88" s="394">
        <f t="shared" ref="T88" si="762">IF(T86="","",IFERROR(T87/T85,""))</f>
        <v>-1</v>
      </c>
      <c r="U88" s="394">
        <f t="shared" ref="U88" si="763">IF(U86="","",IFERROR(U87/U85,""))</f>
        <v>-1</v>
      </c>
      <c r="V88" s="394">
        <f t="shared" ref="V88" si="764">IF(V86="","",IFERROR(V87/V85,""))</f>
        <v>-1</v>
      </c>
      <c r="W88" s="394">
        <f t="shared" ref="W88" si="765">IF(W86="","",IFERROR(W87/W85,""))</f>
        <v>-1</v>
      </c>
      <c r="X88" s="394">
        <f t="shared" ref="X88" si="766">IF(X86="","",IFERROR(X87/X85,""))</f>
        <v>-1</v>
      </c>
      <c r="Y88" s="394">
        <f t="shared" ref="Y88" si="767">IF(Y86="","",IFERROR(Y87/Y85,""))</f>
        <v>-1</v>
      </c>
      <c r="Z88" s="394">
        <f t="shared" ref="Z88" si="768">IF(Z86="","",IFERROR(Z87/Z85,""))</f>
        <v>-1</v>
      </c>
    </row>
    <row r="89" spans="1:26" s="3" customFormat="1" ht="13.2">
      <c r="A89" s="389"/>
      <c r="B89" s="390" t="s">
        <v>1243</v>
      </c>
      <c r="C89" s="395" t="str">
        <f>IF(C86="","",IF(ABS(C88)&lt;=$B$9,"OK",IF($A85="Headcount","Review",IF(OR($A85="Monthly Net Burn",$A85="CAC Payback",$A85="Logo Churn Rate %"),IF(C86&lt;C85,"Favorable","Review"),IF(C86&gt;C85,"Favorable","Review")))))</f>
        <v>Review</v>
      </c>
      <c r="D89" s="395" t="str">
        <f t="shared" ref="D89" si="769">IF(D86="","",IF(ABS(D88)&lt;=$B$9,"OK",IF($A85="Headcount","Review",IF(OR($A85="Monthly Net Burn",$A85="CAC Payback",$A85="Logo Churn Rate %"),IF(D86&lt;D85,"Favorable","Review"),IF(D86&gt;D85,"Favorable","Review")))))</f>
        <v>Review</v>
      </c>
      <c r="E89" s="395" t="str">
        <f t="shared" ref="E89" si="770">IF(E86="","",IF(ABS(E88)&lt;=$B$9,"OK",IF($A85="Headcount","Review",IF(OR($A85="Monthly Net Burn",$A85="CAC Payback",$A85="Logo Churn Rate %"),IF(E86&lt;E85,"Favorable","Review"),IF(E86&gt;E85,"Favorable","Review")))))</f>
        <v>Review</v>
      </c>
      <c r="F89" s="395" t="str">
        <f t="shared" ref="F89" si="771">IF(F86="","",IF(ABS(F88)&lt;=$B$9,"OK",IF($A85="Headcount","Review",IF(OR($A85="Monthly Net Burn",$A85="CAC Payback",$A85="Logo Churn Rate %"),IF(F86&lt;F85,"Favorable","Review"),IF(F86&gt;F85,"Favorable","Review")))))</f>
        <v>Review</v>
      </c>
      <c r="G89" s="395" t="str">
        <f t="shared" ref="G89" si="772">IF(G86="","",IF(ABS(G88)&lt;=$B$9,"OK",IF($A85="Headcount","Review",IF(OR($A85="Monthly Net Burn",$A85="CAC Payback",$A85="Logo Churn Rate %"),IF(G86&lt;G85,"Favorable","Review"),IF(G86&gt;G85,"Favorable","Review")))))</f>
        <v>Review</v>
      </c>
      <c r="H89" s="395" t="str">
        <f t="shared" ref="H89" si="773">IF(H86="","",IF(ABS(H88)&lt;=$B$9,"OK",IF($A85="Headcount","Review",IF(OR($A85="Monthly Net Burn",$A85="CAC Payback",$A85="Logo Churn Rate %"),IF(H86&lt;H85,"Favorable","Review"),IF(H86&gt;H85,"Favorable","Review")))))</f>
        <v>Review</v>
      </c>
      <c r="I89" s="395" t="str">
        <f t="shared" ref="I89" si="774">IF(I86="","",IF(ABS(I88)&lt;=$B$9,"OK",IF($A85="Headcount","Review",IF(OR($A85="Monthly Net Burn",$A85="CAC Payback",$A85="Logo Churn Rate %"),IF(I86&lt;I85,"Favorable","Review"),IF(I86&gt;I85,"Favorable","Review")))))</f>
        <v>Review</v>
      </c>
      <c r="J89" s="395" t="str">
        <f t="shared" ref="J89" si="775">IF(J86="","",IF(ABS(J88)&lt;=$B$9,"OK",IF($A85="Headcount","Review",IF(OR($A85="Monthly Net Burn",$A85="CAC Payback",$A85="Logo Churn Rate %"),IF(J86&lt;J85,"Favorable","Review"),IF(J86&gt;J85,"Favorable","Review")))))</f>
        <v>Review</v>
      </c>
      <c r="K89" s="395" t="str">
        <f t="shared" ref="K89" si="776">IF(K86="","",IF(ABS(K88)&lt;=$B$9,"OK",IF($A85="Headcount","Review",IF(OR($A85="Monthly Net Burn",$A85="CAC Payback",$A85="Logo Churn Rate %"),IF(K86&lt;K85,"Favorable","Review"),IF(K86&gt;K85,"Favorable","Review")))))</f>
        <v>Review</v>
      </c>
      <c r="L89" s="395" t="str">
        <f t="shared" ref="L89" si="777">IF(L86="","",IF(ABS(L88)&lt;=$B$9,"OK",IF($A85="Headcount","Review",IF(OR($A85="Monthly Net Burn",$A85="CAC Payback",$A85="Logo Churn Rate %"),IF(L86&lt;L85,"Favorable","Review"),IF(L86&gt;L85,"Favorable","Review")))))</f>
        <v>Review</v>
      </c>
      <c r="M89" s="395" t="str">
        <f t="shared" ref="M89" si="778">IF(M86="","",IF(ABS(M88)&lt;=$B$9,"OK",IF($A85="Headcount","Review",IF(OR($A85="Monthly Net Burn",$A85="CAC Payback",$A85="Logo Churn Rate %"),IF(M86&lt;M85,"Favorable","Review"),IF(M86&gt;M85,"Favorable","Review")))))</f>
        <v>Review</v>
      </c>
      <c r="N89" s="395" t="str">
        <f t="shared" ref="N89" si="779">IF(N86="","",IF(ABS(N88)&lt;=$B$9,"OK",IF($A85="Headcount","Review",IF(OR($A85="Monthly Net Burn",$A85="CAC Payback",$A85="Logo Churn Rate %"),IF(N86&lt;N85,"Favorable","Review"),IF(N86&gt;N85,"Favorable","Review")))))</f>
        <v>Review</v>
      </c>
      <c r="O89" s="395" t="str">
        <f t="shared" ref="O89" si="780">IF(O86="","",IF(ABS(O88)&lt;=$B$9,"OK",IF($A85="Headcount","Review",IF(OR($A85="Monthly Net Burn",$A85="CAC Payback",$A85="Logo Churn Rate %"),IF(O86&lt;O85,"Favorable","Review"),IF(O86&gt;O85,"Favorable","Review")))))</f>
        <v>Review</v>
      </c>
      <c r="P89" s="395" t="str">
        <f t="shared" ref="P89" si="781">IF(P86="","",IF(ABS(P88)&lt;=$B$9,"OK",IF($A85="Headcount","Review",IF(OR($A85="Monthly Net Burn",$A85="CAC Payback",$A85="Logo Churn Rate %"),IF(P86&lt;P85,"Favorable","Review"),IF(P86&gt;P85,"Favorable","Review")))))</f>
        <v>Review</v>
      </c>
      <c r="Q89" s="395" t="str">
        <f t="shared" ref="Q89" si="782">IF(Q86="","",IF(ABS(Q88)&lt;=$B$9,"OK",IF($A85="Headcount","Review",IF(OR($A85="Monthly Net Burn",$A85="CAC Payback",$A85="Logo Churn Rate %"),IF(Q86&lt;Q85,"Favorable","Review"),IF(Q86&gt;Q85,"Favorable","Review")))))</f>
        <v>Review</v>
      </c>
      <c r="R89" s="395" t="str">
        <f t="shared" ref="R89" si="783">IF(R86="","",IF(ABS(R88)&lt;=$B$9,"OK",IF($A85="Headcount","Review",IF(OR($A85="Monthly Net Burn",$A85="CAC Payback",$A85="Logo Churn Rate %"),IF(R86&lt;R85,"Favorable","Review"),IF(R86&gt;R85,"Favorable","Review")))))</f>
        <v>Review</v>
      </c>
      <c r="S89" s="395" t="str">
        <f t="shared" ref="S89" si="784">IF(S86="","",IF(ABS(S88)&lt;=$B$9,"OK",IF($A85="Headcount","Review",IF(OR($A85="Monthly Net Burn",$A85="CAC Payback",$A85="Logo Churn Rate %"),IF(S86&lt;S85,"Favorable","Review"),IF(S86&gt;S85,"Favorable","Review")))))</f>
        <v>Review</v>
      </c>
      <c r="T89" s="395" t="str">
        <f t="shared" ref="T89" si="785">IF(T86="","",IF(ABS(T88)&lt;=$B$9,"OK",IF($A85="Headcount","Review",IF(OR($A85="Monthly Net Burn",$A85="CAC Payback",$A85="Logo Churn Rate %"),IF(T86&lt;T85,"Favorable","Review"),IF(T86&gt;T85,"Favorable","Review")))))</f>
        <v>Review</v>
      </c>
      <c r="U89" s="395" t="str">
        <f t="shared" ref="U89" si="786">IF(U86="","",IF(ABS(U88)&lt;=$B$9,"OK",IF($A85="Headcount","Review",IF(OR($A85="Monthly Net Burn",$A85="CAC Payback",$A85="Logo Churn Rate %"),IF(U86&lt;U85,"Favorable","Review"),IF(U86&gt;U85,"Favorable","Review")))))</f>
        <v>Review</v>
      </c>
      <c r="V89" s="395" t="str">
        <f t="shared" ref="V89" si="787">IF(V86="","",IF(ABS(V88)&lt;=$B$9,"OK",IF($A85="Headcount","Review",IF(OR($A85="Monthly Net Burn",$A85="CAC Payback",$A85="Logo Churn Rate %"),IF(V86&lt;V85,"Favorable","Review"),IF(V86&gt;V85,"Favorable","Review")))))</f>
        <v>Review</v>
      </c>
      <c r="W89" s="395" t="str">
        <f t="shared" ref="W89" si="788">IF(W86="","",IF(ABS(W88)&lt;=$B$9,"OK",IF($A85="Headcount","Review",IF(OR($A85="Monthly Net Burn",$A85="CAC Payback",$A85="Logo Churn Rate %"),IF(W86&lt;W85,"Favorable","Review"),IF(W86&gt;W85,"Favorable","Review")))))</f>
        <v>Review</v>
      </c>
      <c r="X89" s="395" t="str">
        <f t="shared" ref="X89" si="789">IF(X86="","",IF(ABS(X88)&lt;=$B$9,"OK",IF($A85="Headcount","Review",IF(OR($A85="Monthly Net Burn",$A85="CAC Payback",$A85="Logo Churn Rate %"),IF(X86&lt;X85,"Favorable","Review"),IF(X86&gt;X85,"Favorable","Review")))))</f>
        <v>Review</v>
      </c>
      <c r="Y89" s="395" t="str">
        <f t="shared" ref="Y89" si="790">IF(Y86="","",IF(ABS(Y88)&lt;=$B$9,"OK",IF($A85="Headcount","Review",IF(OR($A85="Monthly Net Burn",$A85="CAC Payback",$A85="Logo Churn Rate %"),IF(Y86&lt;Y85,"Favorable","Review"),IF(Y86&gt;Y85,"Favorable","Review")))))</f>
        <v>Review</v>
      </c>
      <c r="Z89" s="395" t="str">
        <f t="shared" ref="Z89" si="791">IF(Z86="","",IF(ABS(Z88)&lt;=$B$9,"OK",IF($A85="Headcount","Review",IF(OR($A85="Monthly Net Burn",$A85="CAC Payback",$A85="Logo Churn Rate %"),IF(Z86&lt;Z85,"Favorable","Review"),IF(Z86&gt;Z85,"Favorable","Review")))))</f>
        <v>Review</v>
      </c>
    </row>
    <row r="90" spans="1:26" s="3" customFormat="1" ht="13.2">
      <c r="A90" s="311"/>
      <c r="B90" s="311"/>
      <c r="C90" s="311"/>
      <c r="D90" s="311"/>
      <c r="E90" s="311"/>
      <c r="F90" s="311"/>
      <c r="G90" s="311"/>
      <c r="H90" s="311"/>
      <c r="J90" s="311"/>
      <c r="K90" s="311"/>
      <c r="L90" s="311"/>
      <c r="M90" s="311"/>
      <c r="N90" s="311"/>
      <c r="O90" s="311"/>
      <c r="P90" s="311"/>
      <c r="Q90" s="311"/>
      <c r="S90" s="311"/>
      <c r="T90" s="311"/>
      <c r="U90" s="311"/>
      <c r="V90" s="311"/>
      <c r="W90" s="311"/>
      <c r="X90" s="311"/>
      <c r="Y90" s="311"/>
    </row>
    <row r="91" spans="1:26" s="3" customFormat="1" ht="13.2">
      <c r="A91" s="313" t="s">
        <v>1250</v>
      </c>
      <c r="B91" s="313"/>
      <c r="C91" s="313"/>
      <c r="D91" s="313"/>
      <c r="E91" s="313"/>
      <c r="F91" s="313"/>
      <c r="G91" s="313"/>
      <c r="H91" s="313"/>
    </row>
    <row r="92" spans="1:26" s="3" customFormat="1" ht="13.2">
      <c r="A92" s="104" t="s">
        <v>159</v>
      </c>
      <c r="B92" s="104" t="s">
        <v>4</v>
      </c>
      <c r="C92" s="104" t="s">
        <v>1251</v>
      </c>
      <c r="D92" s="104" t="s">
        <v>1252</v>
      </c>
      <c r="E92" s="104" t="s">
        <v>1253</v>
      </c>
      <c r="F92" s="104" t="s">
        <v>1245</v>
      </c>
      <c r="G92" s="104" t="s">
        <v>1143</v>
      </c>
      <c r="H92" s="104" t="s">
        <v>1243</v>
      </c>
    </row>
    <row r="93" spans="1:26" s="3" customFormat="1" ht="13.2">
      <c r="A93" s="386" t="str">
        <f>IF(B93="","",$B$8)</f>
        <v>Month 3</v>
      </c>
      <c r="B93" s="387" t="s">
        <v>24</v>
      </c>
      <c r="C93" s="386" t="str" cm="1">
        <f t="array" ref="C93">IF(B93="","",_xlfn.SWITCH(B93,"ARR","Growth","MRR","Growth","Total Monthly Revenue","Revenue","Gross Margin %","Margin","Ending Cash","Cash","Monthly Net Burn","Burn","Runway Months","Runway","CAC Payback","GTM Efficiency","Logo Churn Rate %","Retention","Headcount","Hiring",""))</f>
        <v>Growth</v>
      </c>
      <c r="D93" s="386" t="str">
        <f>IF(B93="","",IF(INDEX($C$14:$C$23,MATCH(B93,$A$14:$A$23,0))&gt;INDEX($B$14:$B$23,MATCH(B93,$A$14:$A$23,0)),"Above Budget",IF(INDEX($C$14:$C$23,MATCH(B93,$A$14:$A$23,0))&lt;INDEX($B$14:$B$23,MATCH(B93,$A$14:$A$23,0)),"Below Budget","In Line")))</f>
        <v>Below Budget</v>
      </c>
      <c r="E93" s="388"/>
      <c r="F93" s="388"/>
      <c r="G93" s="386" t="str">
        <f>IF(B93="","",INDEX($H$14:$H$23,MATCH(B93,$A$14:$A$23,0)))</f>
        <v>CEO/Growth</v>
      </c>
      <c r="H93" s="386"/>
    </row>
    <row r="94" spans="1:26" s="3" customFormat="1" ht="13.2">
      <c r="A94" s="386" t="str">
        <f t="shared" ref="A94:A102" si="792">IF(B94="","",$B$8)</f>
        <v>Month 3</v>
      </c>
      <c r="B94" s="387" t="s">
        <v>1085</v>
      </c>
      <c r="C94" s="386" t="str" cm="1">
        <f t="array" ref="C94">IF(B94="","",_xlfn.SWITCH(B94,"ARR","Growth","MRR","Growth","Total Monthly Revenue","Revenue","Gross Margin %","Margin","Ending Cash","Cash","Monthly Net Burn","Burn","Runway Months","Runway","CAC Payback","GTM Efficiency","Logo Churn Rate %","Retention","Headcount","Hiring",""))</f>
        <v>Growth</v>
      </c>
      <c r="D94" s="386" t="str">
        <f t="shared" ref="D94:D102" si="793">IF(B94="","",IF(INDEX($C$14:$C$23,MATCH(B94,$A$14:$A$23,0))&gt;INDEX($B$14:$B$23,MATCH(B94,$A$14:$A$23,0)),"Above Budget",IF(INDEX($C$14:$C$23,MATCH(B94,$A$14:$A$23,0))&lt;INDEX($B$14:$B$23,MATCH(B94,$A$14:$A$23,0)),"Below Budget","In Line")))</f>
        <v>Below Budget</v>
      </c>
      <c r="E94" s="388"/>
      <c r="F94" s="388"/>
      <c r="G94" s="386" t="str">
        <f t="shared" ref="G94:G102" si="794">IF(B94="","",INDEX($H$14:$H$23,MATCH(B94,$A$14:$A$23,0)))</f>
        <v>CEO/Growth</v>
      </c>
      <c r="H94" s="386"/>
    </row>
    <row r="95" spans="1:26" s="3" customFormat="1" ht="13.2">
      <c r="A95" s="386" t="str">
        <f t="shared" si="792"/>
        <v>Month 3</v>
      </c>
      <c r="B95" s="387" t="s">
        <v>790</v>
      </c>
      <c r="C95" s="386" t="str" cm="1">
        <f t="array" ref="C95">IF(B95="","",_xlfn.SWITCH(B95,"ARR","Growth","MRR","Growth","Total Monthly Revenue","Revenue","Gross Margin %","Margin","Ending Cash","Cash","Monthly Net Burn","Burn","Runway Months","Runway","CAC Payback","GTM Efficiency","Logo Churn Rate %","Retention","Headcount","Hiring",""))</f>
        <v>Revenue</v>
      </c>
      <c r="D95" s="386" t="str">
        <f t="shared" si="793"/>
        <v>Below Budget</v>
      </c>
      <c r="E95" s="388"/>
      <c r="F95" s="388"/>
      <c r="G95" s="386" t="str">
        <f t="shared" si="794"/>
        <v>CEO/CFO</v>
      </c>
      <c r="H95" s="386"/>
    </row>
    <row r="96" spans="1:26" s="3" customFormat="1" ht="13.2">
      <c r="A96" s="386" t="str">
        <f t="shared" si="792"/>
        <v>Month 3</v>
      </c>
      <c r="B96" s="387" t="s">
        <v>936</v>
      </c>
      <c r="C96" s="386" t="str" cm="1">
        <f t="array" ref="C96">IF(B96="","",_xlfn.SWITCH(B96,"ARR","Growth","MRR","Growth","Total Monthly Revenue","Revenue","Gross Margin %","Margin","Ending Cash","Cash","Monthly Net Burn","Burn","Runway Months","Runway","CAC Payback","GTM Efficiency","Logo Churn Rate %","Retention","Headcount","Hiring",""))</f>
        <v>Margin</v>
      </c>
      <c r="D96" s="386" t="str">
        <f t="shared" si="793"/>
        <v>Below Budget</v>
      </c>
      <c r="E96" s="388"/>
      <c r="F96" s="388"/>
      <c r="G96" s="386" t="str">
        <f t="shared" si="794"/>
        <v>COO/Engineering</v>
      </c>
      <c r="H96" s="386"/>
    </row>
    <row r="97" spans="1:9" s="3" customFormat="1" ht="13.2">
      <c r="A97" s="386" t="str">
        <f t="shared" si="792"/>
        <v>Month 3</v>
      </c>
      <c r="B97" s="387" t="s">
        <v>1086</v>
      </c>
      <c r="C97" s="386" t="str" cm="1">
        <f t="array" ref="C97">IF(B97="","",_xlfn.SWITCH(B97,"ARR","Growth","MRR","Growth","Total Monthly Revenue","Revenue","Gross Margin %","Margin","Ending Cash","Cash","Monthly Net Burn","Burn","Runway Months","Runway","CAC Payback","GTM Efficiency","Logo Churn Rate %","Retention","Headcount","Hiring",""))</f>
        <v>Cash</v>
      </c>
      <c r="D97" s="386" t="str">
        <f t="shared" si="793"/>
        <v>Below Budget</v>
      </c>
      <c r="E97" s="388"/>
      <c r="F97" s="388"/>
      <c r="G97" s="386" t="str">
        <f t="shared" si="794"/>
        <v>CFO</v>
      </c>
      <c r="H97" s="386"/>
    </row>
    <row r="98" spans="1:9" s="3" customFormat="1" ht="13.2">
      <c r="A98" s="386" t="str">
        <f t="shared" si="792"/>
        <v>Month 3</v>
      </c>
      <c r="B98" s="387" t="s">
        <v>1087</v>
      </c>
      <c r="C98" s="386" t="str" cm="1">
        <f t="array" ref="C98">IF(B98="","",_xlfn.SWITCH(B98,"ARR","Growth","MRR","Growth","Total Monthly Revenue","Revenue","Gross Margin %","Margin","Ending Cash","Cash","Monthly Net Burn","Burn","Runway Months","Runway","CAC Payback","GTM Efficiency","Logo Churn Rate %","Retention","Headcount","Hiring",""))</f>
        <v>Burn</v>
      </c>
      <c r="D98" s="386" t="str">
        <f t="shared" si="793"/>
        <v>Below Budget</v>
      </c>
      <c r="E98" s="388"/>
      <c r="F98" s="388"/>
      <c r="G98" s="386" t="str">
        <f t="shared" si="794"/>
        <v>CFO</v>
      </c>
      <c r="H98" s="386"/>
    </row>
    <row r="99" spans="1:9" s="3" customFormat="1" ht="13.2">
      <c r="A99" s="386" t="str">
        <f t="shared" si="792"/>
        <v>Month 3</v>
      </c>
      <c r="B99" s="387" t="s">
        <v>1059</v>
      </c>
      <c r="C99" s="386" t="str" cm="1">
        <f t="array" ref="C99">IF(B99="","",_xlfn.SWITCH(B99,"ARR","Growth","MRR","Growth","Total Monthly Revenue","Revenue","Gross Margin %","Margin","Ending Cash","Cash","Monthly Net Burn","Burn","Runway Months","Runway","CAC Payback","GTM Efficiency","Logo Churn Rate %","Retention","Headcount","Hiring",""))</f>
        <v>Runway</v>
      </c>
      <c r="D99" s="386" t="str">
        <f t="shared" si="793"/>
        <v>Below Budget</v>
      </c>
      <c r="E99" s="388"/>
      <c r="F99" s="388"/>
      <c r="G99" s="386" t="str">
        <f t="shared" si="794"/>
        <v>CFO</v>
      </c>
      <c r="H99" s="386"/>
    </row>
    <row r="100" spans="1:9" s="3" customFormat="1" ht="13.2">
      <c r="A100" s="386" t="str">
        <f t="shared" si="792"/>
        <v>Month 3</v>
      </c>
      <c r="B100" s="387" t="s">
        <v>973</v>
      </c>
      <c r="C100" s="386" t="str" cm="1">
        <f t="array" ref="C100">IF(B100="","",_xlfn.SWITCH(B100,"ARR","Growth","MRR","Growth","Total Monthly Revenue","Revenue","Gross Margin %","Margin","Ending Cash","Cash","Monthly Net Burn","Burn","Runway Months","Runway","CAC Payback","GTM Efficiency","Logo Churn Rate %","Retention","Headcount","Hiring",""))</f>
        <v>GTM Efficiency</v>
      </c>
      <c r="D100" s="386" t="str">
        <f t="shared" si="793"/>
        <v>Below Budget</v>
      </c>
      <c r="E100" s="388"/>
      <c r="F100" s="388"/>
      <c r="G100" s="386" t="str">
        <f t="shared" si="794"/>
        <v>CEO/Growth</v>
      </c>
      <c r="H100" s="386"/>
    </row>
    <row r="101" spans="1:9" s="3" customFormat="1" ht="13.2">
      <c r="A101" s="386" t="str">
        <f t="shared" si="792"/>
        <v>Month 3</v>
      </c>
      <c r="B101" s="387" t="s">
        <v>1246</v>
      </c>
      <c r="C101" s="386" t="str" cm="1">
        <f t="array" ref="C101">IF(B101="","",_xlfn.SWITCH(B101,"ARR","Growth","MRR","Growth","Total Monthly Revenue","Revenue","Gross Margin %","Margin","Ending Cash","Cash","Monthly Net Burn","Burn","Runway Months","Runway","CAC Payback","GTM Efficiency","Logo Churn Rate %","Retention","Headcount","Hiring",""))</f>
        <v>Retention</v>
      </c>
      <c r="D101" s="386" t="str">
        <f t="shared" si="793"/>
        <v>Below Budget</v>
      </c>
      <c r="E101" s="388"/>
      <c r="F101" s="388"/>
      <c r="G101" s="386" t="str">
        <f t="shared" si="794"/>
        <v>COO/CS</v>
      </c>
      <c r="H101" s="386"/>
    </row>
    <row r="102" spans="1:9" s="3" customFormat="1" ht="13.2">
      <c r="A102" s="386" t="str">
        <f t="shared" si="792"/>
        <v>Month 3</v>
      </c>
      <c r="B102" s="387" t="s">
        <v>330</v>
      </c>
      <c r="C102" s="386" t="str" cm="1">
        <f t="array" ref="C102">IF(B102="","",_xlfn.SWITCH(B102,"ARR","Growth","MRR","Growth","Total Monthly Revenue","Revenue","Gross Margin %","Margin","Ending Cash","Cash","Monthly Net Burn","Burn","Runway Months","Runway","CAC Payback","GTM Efficiency","Logo Churn Rate %","Retention","Headcount","Hiring",""))</f>
        <v>Hiring</v>
      </c>
      <c r="D102" s="386" t="str">
        <f t="shared" si="793"/>
        <v>Below Budget</v>
      </c>
      <c r="E102" s="388"/>
      <c r="F102" s="388"/>
      <c r="G102" s="386" t="str">
        <f t="shared" si="794"/>
        <v>CEO/CFO</v>
      </c>
      <c r="H102" s="386"/>
    </row>
    <row r="103" spans="1:9" s="3" customFormat="1" ht="13.2"/>
    <row r="104" spans="1:9" s="3" customFormat="1" ht="13.2">
      <c r="A104" s="313" t="s">
        <v>1254</v>
      </c>
      <c r="B104" s="313"/>
      <c r="C104" s="313"/>
      <c r="D104" s="313"/>
      <c r="E104" s="313"/>
      <c r="F104" s="313"/>
      <c r="G104" s="313"/>
      <c r="H104" s="313"/>
      <c r="I104" s="313"/>
    </row>
    <row r="105" spans="1:9" s="3" customFormat="1" ht="13.2">
      <c r="A105" s="104" t="s">
        <v>1255</v>
      </c>
      <c r="B105" s="104" t="s">
        <v>1141</v>
      </c>
      <c r="C105" s="104" t="s">
        <v>1256</v>
      </c>
      <c r="D105" s="104" t="s">
        <v>1257</v>
      </c>
      <c r="E105" s="104" t="s">
        <v>1258</v>
      </c>
      <c r="F105" s="104" t="s">
        <v>1259</v>
      </c>
      <c r="G105" s="104" t="s">
        <v>1143</v>
      </c>
      <c r="H105" s="104" t="s">
        <v>1260</v>
      </c>
      <c r="I105" s="104" t="s">
        <v>3</v>
      </c>
    </row>
    <row r="106" spans="1:9" s="3" customFormat="1" ht="13.2">
      <c r="A106" s="381">
        <v>46112</v>
      </c>
      <c r="B106" s="382" t="s">
        <v>1261</v>
      </c>
      <c r="C106" s="382" t="s">
        <v>24</v>
      </c>
      <c r="D106" s="383">
        <f>IF(C106="","",INDEX($B$14:$B$23,MATCH(C106,$A$14:$A$23,0)))</f>
        <v>574101.17035420542</v>
      </c>
      <c r="E106" s="382">
        <f>IF(C106="","",INDEX($C$14:$C$23,MATCH(C106,$A$14:$A$23,0)))</f>
        <v>0</v>
      </c>
      <c r="F106" s="382" t="s">
        <v>1266</v>
      </c>
      <c r="G106" s="382" t="str">
        <f>IF(C106="","",INDEX($H$14:$H$23,MATCH(C106,$A$14:$A$23,0)))</f>
        <v>CEO/Growth</v>
      </c>
      <c r="H106" s="382" t="s">
        <v>667</v>
      </c>
      <c r="I106" s="382"/>
    </row>
    <row r="107" spans="1:9" s="3" customFormat="1" ht="13.2">
      <c r="A107" s="381">
        <v>46112</v>
      </c>
      <c r="B107" s="382" t="s">
        <v>1262</v>
      </c>
      <c r="C107" s="382" t="s">
        <v>1085</v>
      </c>
      <c r="D107" s="383">
        <f t="shared" ref="D107:D113" si="795">IF(C107="","",INDEX($B$14:$B$23,MATCH(C107,$A$14:$A$23,0)))</f>
        <v>47841.764196183787</v>
      </c>
      <c r="E107" s="382">
        <f t="shared" ref="E107:E113" si="796">IF(C107="","",INDEX($C$14:$C$23,MATCH(C107,$A$14:$A$23,0)))</f>
        <v>0</v>
      </c>
      <c r="F107" s="382" t="s">
        <v>1267</v>
      </c>
      <c r="G107" s="382" t="str">
        <f t="shared" ref="G107:G113" si="797">IF(C107="","",INDEX($H$14:$H$23,MATCH(C107,$A$14:$A$23,0)))</f>
        <v>CEO/Growth</v>
      </c>
      <c r="H107" s="382" t="s">
        <v>667</v>
      </c>
      <c r="I107" s="382"/>
    </row>
    <row r="108" spans="1:9" s="3" customFormat="1" ht="13.2">
      <c r="A108" s="381">
        <v>46112</v>
      </c>
      <c r="B108" s="382" t="s">
        <v>1157</v>
      </c>
      <c r="C108" s="382" t="s">
        <v>790</v>
      </c>
      <c r="D108" s="383">
        <f t="shared" si="795"/>
        <v>47841.764196183787</v>
      </c>
      <c r="E108" s="382">
        <f t="shared" si="796"/>
        <v>0</v>
      </c>
      <c r="F108" s="382" t="s">
        <v>1268</v>
      </c>
      <c r="G108" s="382" t="str">
        <f t="shared" si="797"/>
        <v>CEO/CFO</v>
      </c>
      <c r="H108" s="382" t="s">
        <v>667</v>
      </c>
      <c r="I108" s="382"/>
    </row>
    <row r="109" spans="1:9" s="3" customFormat="1" ht="13.2">
      <c r="A109" s="381">
        <v>46112</v>
      </c>
      <c r="B109" s="382" t="s">
        <v>1263</v>
      </c>
      <c r="C109" s="382" t="s">
        <v>936</v>
      </c>
      <c r="D109" s="384">
        <f t="shared" si="795"/>
        <v>0.82048996233543603</v>
      </c>
      <c r="E109" s="384">
        <f t="shared" si="796"/>
        <v>0</v>
      </c>
      <c r="F109" s="382" t="s">
        <v>1269</v>
      </c>
      <c r="G109" s="382" t="str">
        <f t="shared" si="797"/>
        <v>COO/Engineering</v>
      </c>
      <c r="H109" s="382" t="s">
        <v>667</v>
      </c>
      <c r="I109" s="382"/>
    </row>
    <row r="110" spans="1:9" s="3" customFormat="1" ht="13.2">
      <c r="A110" s="381">
        <v>46112</v>
      </c>
      <c r="B110" s="382" t="s">
        <v>1264</v>
      </c>
      <c r="C110" s="382" t="s">
        <v>1086</v>
      </c>
      <c r="D110" s="383">
        <f t="shared" si="795"/>
        <v>1490023.7528328798</v>
      </c>
      <c r="E110" s="382">
        <f t="shared" si="796"/>
        <v>0</v>
      </c>
      <c r="F110" s="382" t="s">
        <v>1270</v>
      </c>
      <c r="G110" s="382" t="str">
        <f t="shared" si="797"/>
        <v>CFO</v>
      </c>
      <c r="H110" s="382" t="s">
        <v>667</v>
      </c>
      <c r="I110" s="382"/>
    </row>
    <row r="111" spans="1:9" s="3" customFormat="1" ht="13.2">
      <c r="A111" s="381">
        <v>46112</v>
      </c>
      <c r="B111" s="382" t="s">
        <v>1265</v>
      </c>
      <c r="C111" s="382" t="s">
        <v>1087</v>
      </c>
      <c r="D111" s="383">
        <f t="shared" si="795"/>
        <v>18172.971500578569</v>
      </c>
      <c r="E111" s="382">
        <f t="shared" si="796"/>
        <v>0</v>
      </c>
      <c r="F111" s="382" t="s">
        <v>1271</v>
      </c>
      <c r="G111" s="382" t="str">
        <f t="shared" si="797"/>
        <v>CFO</v>
      </c>
      <c r="H111" s="382" t="s">
        <v>667</v>
      </c>
      <c r="I111" s="382"/>
    </row>
    <row r="112" spans="1:9" s="3" customFormat="1" ht="13.2">
      <c r="A112" s="381">
        <v>46112</v>
      </c>
      <c r="B112" s="382" t="s">
        <v>1262</v>
      </c>
      <c r="C112" s="382" t="s">
        <v>1059</v>
      </c>
      <c r="D112" s="385">
        <f t="shared" si="795"/>
        <v>81.991200656724857</v>
      </c>
      <c r="E112" s="385">
        <f t="shared" si="796"/>
        <v>0</v>
      </c>
      <c r="F112" s="382" t="s">
        <v>1272</v>
      </c>
      <c r="G112" s="382" t="str">
        <f t="shared" si="797"/>
        <v>CFO</v>
      </c>
      <c r="H112" s="382" t="s">
        <v>667</v>
      </c>
      <c r="I112" s="382"/>
    </row>
    <row r="113" spans="1:9" s="3" customFormat="1" ht="13.2">
      <c r="A113" s="381">
        <v>46112</v>
      </c>
      <c r="B113" s="382" t="s">
        <v>1262</v>
      </c>
      <c r="C113" s="382" t="s">
        <v>973</v>
      </c>
      <c r="D113" s="385">
        <f t="shared" si="795"/>
        <v>8.975294022107386</v>
      </c>
      <c r="E113" s="385">
        <f t="shared" si="796"/>
        <v>0</v>
      </c>
      <c r="F113" s="382" t="s">
        <v>1268</v>
      </c>
      <c r="G113" s="382" t="str">
        <f t="shared" si="797"/>
        <v>CEO/Growth</v>
      </c>
      <c r="H113" s="382" t="s">
        <v>667</v>
      </c>
      <c r="I113" s="382"/>
    </row>
  </sheetData>
  <conditionalFormatting sqref="B33:Y36">
    <cfRule type="expression" dxfId="3" priority="1">
      <formula>ISNUMBER(SEARCH("RAISE",B33))</formula>
    </cfRule>
    <cfRule type="expression" dxfId="2" priority="2">
      <formula>ISNUMBER(SEARCH("DELAY",B33))</formula>
    </cfRule>
    <cfRule type="expression" dxfId="1" priority="3">
      <formula>ISNUMBER(SEARCH("ACCELERATE",B33))</formula>
    </cfRule>
    <cfRule type="expression" dxfId="0" priority="4">
      <formula>ISNUMBER(SEARCH("WATCH",B33))</formula>
    </cfRule>
  </conditionalFormatting>
  <dataValidations count="8">
    <dataValidation type="list" sqref="B10 B5" xr:uid="{212516C5-DE60-421E-8B56-D4F97F3BD4C1}">
      <formula1>"Bear,Base,Bull"</formula1>
    </dataValidation>
    <dataValidation type="list" sqref="B7:B8" xr:uid="{F6DEC205-2DAD-4F4F-8CCC-BDAB3AFC13B6}">
      <formula1>"Month 1,Month 2,Month 3,Month 4,Month 5,Month 6,Month 7,Month 8,Month 9,Month 10,Month 11,Month 12,Month 13,Month 14,Month 15,Month 16,Month 17,Month 18,Month 19,Month 20,Month 21,Month 22,Month 23,Month 24"</formula1>
    </dataValidation>
    <dataValidation type="list" sqref="D93:D102" xr:uid="{77EB6C09-C913-4F98-A7BF-E3B5B4B12A75}">
      <formula1>"Favorable,Unfavorable,Mixed"</formula1>
    </dataValidation>
    <dataValidation type="list" sqref="H101:H102" xr:uid="{F0C73EE8-40A5-4E19-A42A-66844DA344AE}">
      <formula1>"Open,In Progress,Resolved,Deferred"</formula1>
    </dataValidation>
    <dataValidation type="list" allowBlank="1" showInputMessage="1" showErrorMessage="1" sqref="B93:B102 C106:C113" xr:uid="{39E4A293-05CB-4EBA-9A2C-2A5541519282}">
      <formula1>$A$14:$A$23</formula1>
    </dataValidation>
    <dataValidation type="list" sqref="H93:H100" xr:uid="{50A8F861-C758-4D53-AB4A-E7EFE2B115D7}">
      <formula1>"Open,In Progress,Closed"</formula1>
    </dataValidation>
    <dataValidation type="list" allowBlank="1" showInputMessage="1" showErrorMessage="1" sqref="B106:B113" xr:uid="{50D17743-883D-4E3F-AC7F-29D76295B213}">
      <formula1>"Variance &gt; Threshold,Cash Runway Change,GTM Inefficiency,Hiring Gate Breach,Forecast Scenario Change,Management Override"</formula1>
    </dataValidation>
    <dataValidation type="list" allowBlank="1" showInputMessage="1" showErrorMessage="1" sqref="F106:F113" xr:uid="{FCE0D12D-5709-4D72-8F7F-A1E969C4BD22}">
      <formula1>"No Reforecast,Reforecast Required,Delay Hiring,Cut Spend,Pull Forward Raise,Switch Scenario,Monitor"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 README</vt:lpstr>
      <vt:lpstr>1. Assumptions</vt:lpstr>
      <vt:lpstr>2. Dashboard</vt:lpstr>
      <vt:lpstr>3. Revenue Model</vt:lpstr>
      <vt:lpstr>4. Headcount</vt:lpstr>
      <vt:lpstr>5. COGS </vt:lpstr>
      <vt:lpstr>6. Unit Economics</vt:lpstr>
      <vt:lpstr>7. P&amp;L + cash</vt:lpstr>
      <vt:lpstr>8. Scenarios</vt:lpstr>
      <vt:lpstr>9. Budget Vs 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Siddhant Khatiwada</dc:creator>
  <cp:lastModifiedBy>Siddhant Khatiwada</cp:lastModifiedBy>
  <cp:lastPrinted>2026-05-11T23:01:03Z</cp:lastPrinted>
  <dcterms:created xsi:type="dcterms:W3CDTF">2015-06-05T18:17:20Z</dcterms:created>
  <dcterms:modified xsi:type="dcterms:W3CDTF">2026-05-12T03:51:18Z</dcterms:modified>
</cp:coreProperties>
</file>